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neg\ungerrymanderamerica\AugustPrimaryAnalysis\"/>
    </mc:Choice>
  </mc:AlternateContent>
  <xr:revisionPtr revIDLastSave="0" documentId="13_ncr:1_{B856B1F0-0EF3-4180-B6CF-A3877A51D35C}" xr6:coauthVersionLast="47" xr6:coauthVersionMax="47" xr10:uidLastSave="{00000000-0000-0000-0000-000000000000}"/>
  <bookViews>
    <workbookView xWindow="-108" yWindow="-108" windowWidth="23256" windowHeight="13896" firstSheet="1" activeTab="2" xr2:uid="{0B7EDBB4-8ED5-4418-9B99-6A5FBAF0EE58}"/>
  </bookViews>
  <sheets>
    <sheet name="StatewideResultsTable" sheetId="5" r:id="rId1"/>
    <sheet name="KeyRacesTable" sheetId="7" r:id="rId2"/>
    <sheet name="StatewideResultsFinal" sheetId="10" r:id="rId3"/>
    <sheet name="LegislativeAnalysis" sheetId="9" r:id="rId4"/>
    <sheet name="CongressionalAnalysis" sheetId="4" r:id="rId5"/>
    <sheet name="KeyRaces" sheetId="2" r:id="rId6"/>
    <sheet name="StatewideResults_Aug13" sheetId="8" r:id="rId7"/>
    <sheet name="August2026Primary_Tracking" sheetId="3" r:id="rId8"/>
    <sheet name="Sources" sheetId="6" r:id="rId9"/>
  </sheets>
  <definedNames>
    <definedName name="_xlnm._FilterDatabase" localSheetId="3" hidden="1">LegislativeAnalysis!$A$1:$B$133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1" i="2" l="1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E4" i="7" s="1"/>
  <c r="C100" i="2"/>
  <c r="D99" i="2"/>
  <c r="C99" i="2"/>
  <c r="D98" i="2"/>
  <c r="E7" i="7" s="1"/>
  <c r="C98" i="2"/>
  <c r="D97" i="2"/>
  <c r="E6" i="7" s="1"/>
  <c r="C97" i="2"/>
  <c r="D96" i="2"/>
  <c r="C96" i="2"/>
  <c r="D95" i="2"/>
  <c r="E15" i="7" s="1"/>
  <c r="C95" i="2"/>
  <c r="D94" i="2"/>
  <c r="E14" i="7" s="1"/>
  <c r="C94" i="2"/>
  <c r="D93" i="2"/>
  <c r="E13" i="7" s="1"/>
  <c r="C93" i="2"/>
  <c r="D92" i="2"/>
  <c r="C92" i="2"/>
  <c r="D91" i="2"/>
  <c r="E12" i="7" s="1"/>
  <c r="C91" i="2"/>
  <c r="D90" i="2"/>
  <c r="E11" i="7" s="1"/>
  <c r="C90" i="2"/>
  <c r="D89" i="2"/>
  <c r="E10" i="7" s="1"/>
  <c r="C89" i="2"/>
  <c r="D88" i="2"/>
  <c r="C88" i="2"/>
  <c r="D87" i="2"/>
  <c r="C87" i="2"/>
  <c r="D86" i="2"/>
  <c r="E9" i="7" s="1"/>
  <c r="C86" i="2"/>
  <c r="D85" i="2"/>
  <c r="C85" i="2"/>
  <c r="D84" i="2"/>
  <c r="C84" i="2"/>
  <c r="D83" i="2"/>
  <c r="C83" i="2"/>
  <c r="D82" i="2"/>
  <c r="E8" i="7" s="1"/>
  <c r="C82" i="2"/>
  <c r="D81" i="2"/>
  <c r="C81" i="2"/>
  <c r="M14" i="8"/>
  <c r="M11" i="8"/>
  <c r="M10" i="8"/>
  <c r="M9" i="8"/>
  <c r="M8" i="8"/>
  <c r="M7" i="8"/>
  <c r="M6" i="8"/>
  <c r="M5" i="8"/>
  <c r="M4" i="8"/>
  <c r="C123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F111" i="2"/>
  <c r="E111" i="2"/>
  <c r="G111" i="2" s="1"/>
  <c r="H111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F110" i="2"/>
  <c r="E110" i="2"/>
  <c r="G110" i="2" s="1"/>
  <c r="H110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F109" i="2"/>
  <c r="E109" i="2"/>
  <c r="G109" i="2" s="1"/>
  <c r="H109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F108" i="2"/>
  <c r="E108" i="2"/>
  <c r="G108" i="2" s="1"/>
  <c r="H108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F107" i="2"/>
  <c r="E107" i="2"/>
  <c r="G107" i="2" s="1"/>
  <c r="H107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F106" i="2"/>
  <c r="E106" i="2"/>
  <c r="G106" i="2" s="1"/>
  <c r="H106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F105" i="2"/>
  <c r="E105" i="2"/>
  <c r="G105" i="2" s="1"/>
  <c r="H105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F104" i="2"/>
  <c r="E104" i="2"/>
  <c r="G104" i="2" s="1"/>
  <c r="H104" i="2"/>
  <c r="I104" i="2" s="1"/>
  <c r="J104" i="2" s="1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F103" i="2"/>
  <c r="E103" i="2"/>
  <c r="G103" i="2" s="1"/>
  <c r="H103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F102" i="2"/>
  <c r="E102" i="2"/>
  <c r="G102" i="2" s="1"/>
  <c r="H102" i="2"/>
  <c r="AN101" i="2"/>
  <c r="AM101" i="2"/>
  <c r="AL101" i="2"/>
  <c r="AK101" i="2"/>
  <c r="AJ101" i="2"/>
  <c r="AI101" i="2"/>
  <c r="AH101" i="2"/>
  <c r="AG101" i="2"/>
  <c r="AF101" i="2"/>
  <c r="E5" i="7" s="1"/>
  <c r="AE101" i="2"/>
  <c r="H101" i="2" s="1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F101" i="2"/>
  <c r="E101" i="2"/>
  <c r="G101" i="2" s="1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F100" i="2"/>
  <c r="E100" i="2"/>
  <c r="G100" i="2" s="1"/>
  <c r="H100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F99" i="2"/>
  <c r="E99" i="2"/>
  <c r="G99" i="2" s="1"/>
  <c r="H99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F98" i="2"/>
  <c r="E98" i="2"/>
  <c r="G98" i="2" s="1"/>
  <c r="H98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F97" i="2"/>
  <c r="E97" i="2"/>
  <c r="G97" i="2" s="1"/>
  <c r="H97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F96" i="2"/>
  <c r="E96" i="2"/>
  <c r="G96" i="2" s="1"/>
  <c r="H96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F95" i="2"/>
  <c r="E95" i="2"/>
  <c r="G95" i="2" s="1"/>
  <c r="H95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F94" i="2"/>
  <c r="E94" i="2"/>
  <c r="G94" i="2" s="1"/>
  <c r="H94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F93" i="2"/>
  <c r="E93" i="2"/>
  <c r="G93" i="2" s="1"/>
  <c r="H93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F92" i="2"/>
  <c r="E92" i="2"/>
  <c r="G92" i="2" s="1"/>
  <c r="H92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F91" i="2"/>
  <c r="E91" i="2"/>
  <c r="G91" i="2" s="1"/>
  <c r="H91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F90" i="2"/>
  <c r="E90" i="2"/>
  <c r="G90" i="2" s="1"/>
  <c r="H90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F89" i="2"/>
  <c r="E89" i="2"/>
  <c r="G89" i="2" s="1"/>
  <c r="H89" i="2"/>
  <c r="I89" i="2" s="1"/>
  <c r="J89" i="2" s="1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F88" i="2"/>
  <c r="E88" i="2"/>
  <c r="G88" i="2" s="1"/>
  <c r="H88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F87" i="2"/>
  <c r="E87" i="2"/>
  <c r="G87" i="2" s="1"/>
  <c r="H87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F86" i="2"/>
  <c r="E86" i="2"/>
  <c r="G86" i="2" s="1"/>
  <c r="H86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F85" i="2"/>
  <c r="E85" i="2"/>
  <c r="G85" i="2" s="1"/>
  <c r="H85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F84" i="2"/>
  <c r="E84" i="2"/>
  <c r="G84" i="2" s="1"/>
  <c r="H84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F83" i="2"/>
  <c r="E83" i="2"/>
  <c r="G83" i="2" s="1"/>
  <c r="H83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F82" i="2"/>
  <c r="E82" i="2"/>
  <c r="G82" i="2" s="1"/>
  <c r="H82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F81" i="2"/>
  <c r="E81" i="2"/>
  <c r="G81" i="2" s="1"/>
  <c r="H81" i="2"/>
  <c r="AN80" i="2"/>
  <c r="AN55" i="4" s="1"/>
  <c r="AM80" i="2"/>
  <c r="AM55" i="4" s="1"/>
  <c r="AL80" i="2"/>
  <c r="AL55" i="4" s="1"/>
  <c r="AK80" i="2"/>
  <c r="AJ80" i="2"/>
  <c r="AI80" i="2"/>
  <c r="AI55" i="4" s="1"/>
  <c r="AH80" i="2"/>
  <c r="AH55" i="4" s="1"/>
  <c r="AG80" i="2"/>
  <c r="AG55" i="4" s="1"/>
  <c r="AF80" i="2"/>
  <c r="AF55" i="4" s="1"/>
  <c r="AE80" i="2"/>
  <c r="AE55" i="4" s="1"/>
  <c r="AD80" i="2"/>
  <c r="AD55" i="4" s="1"/>
  <c r="AC80" i="2"/>
  <c r="AC55" i="4" s="1"/>
  <c r="AB80" i="2"/>
  <c r="AB55" i="4" s="1"/>
  <c r="AA80" i="2"/>
  <c r="AA55" i="4" s="1"/>
  <c r="Z80" i="2"/>
  <c r="Z55" i="4" s="1"/>
  <c r="Y80" i="2"/>
  <c r="Y55" i="4" s="1"/>
  <c r="X80" i="2"/>
  <c r="X55" i="4" s="1"/>
  <c r="W80" i="2"/>
  <c r="W55" i="4" s="1"/>
  <c r="V80" i="2"/>
  <c r="V55" i="4" s="1"/>
  <c r="U80" i="2"/>
  <c r="U55" i="4" s="1"/>
  <c r="T80" i="2"/>
  <c r="T55" i="4" s="1"/>
  <c r="S80" i="2"/>
  <c r="S55" i="4" s="1"/>
  <c r="R80" i="2"/>
  <c r="Q80" i="2"/>
  <c r="Q55" i="4" s="1"/>
  <c r="R55" i="4" s="1"/>
  <c r="P80" i="2"/>
  <c r="P55" i="4" s="1"/>
  <c r="O80" i="2"/>
  <c r="O55" i="4" s="1"/>
  <c r="N80" i="2"/>
  <c r="N55" i="4" s="1"/>
  <c r="M80" i="2"/>
  <c r="L80" i="2"/>
  <c r="L55" i="4" s="1"/>
  <c r="M55" i="4" s="1"/>
  <c r="O22" i="5" s="1"/>
  <c r="K80" i="2"/>
  <c r="K55" i="4" s="1"/>
  <c r="F80" i="2"/>
  <c r="E80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F79" i="2"/>
  <c r="E79" i="2"/>
  <c r="G79" i="2" s="1"/>
  <c r="D79" i="2"/>
  <c r="C79" i="2"/>
  <c r="H79" i="2" s="1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F78" i="2"/>
  <c r="E78" i="2"/>
  <c r="G78" i="2" s="1"/>
  <c r="D78" i="2"/>
  <c r="C78" i="2"/>
  <c r="H78" i="2" s="1"/>
  <c r="AN77" i="2"/>
  <c r="AN57" i="4" s="1"/>
  <c r="AM77" i="2"/>
  <c r="AM57" i="4" s="1"/>
  <c r="AL77" i="2"/>
  <c r="AL57" i="4" s="1"/>
  <c r="AK77" i="2"/>
  <c r="AK57" i="4" s="1"/>
  <c r="E57" i="4" s="1"/>
  <c r="I22" i="5" s="1"/>
  <c r="AJ77" i="2"/>
  <c r="AJ57" i="4" s="1"/>
  <c r="D57" i="4" s="1"/>
  <c r="AI77" i="2"/>
  <c r="AI57" i="4" s="1"/>
  <c r="AH77" i="2"/>
  <c r="AH57" i="4" s="1"/>
  <c r="AG77" i="2"/>
  <c r="AG57" i="4" s="1"/>
  <c r="AF77" i="2"/>
  <c r="AF57" i="4" s="1"/>
  <c r="AE77" i="2"/>
  <c r="AE57" i="4" s="1"/>
  <c r="AD77" i="2"/>
  <c r="AD57" i="4" s="1"/>
  <c r="AC77" i="2"/>
  <c r="AC57" i="4" s="1"/>
  <c r="AB77" i="2"/>
  <c r="AB57" i="4" s="1"/>
  <c r="AA77" i="2"/>
  <c r="AA57" i="4" s="1"/>
  <c r="Z77" i="2"/>
  <c r="Z57" i="4" s="1"/>
  <c r="Y77" i="2"/>
  <c r="Y57" i="4" s="1"/>
  <c r="X77" i="2"/>
  <c r="X57" i="4" s="1"/>
  <c r="W77" i="2"/>
  <c r="W57" i="4" s="1"/>
  <c r="V77" i="2"/>
  <c r="V57" i="4" s="1"/>
  <c r="U77" i="2"/>
  <c r="U57" i="4" s="1"/>
  <c r="T77" i="2"/>
  <c r="T57" i="4" s="1"/>
  <c r="S77" i="2"/>
  <c r="S57" i="4" s="1"/>
  <c r="R77" i="2"/>
  <c r="Q77" i="2"/>
  <c r="Q57" i="4" s="1"/>
  <c r="P77" i="2"/>
  <c r="P57" i="4" s="1"/>
  <c r="O77" i="2"/>
  <c r="O57" i="4" s="1"/>
  <c r="N77" i="2"/>
  <c r="N57" i="4" s="1"/>
  <c r="M77" i="2"/>
  <c r="L77" i="2"/>
  <c r="L57" i="4" s="1"/>
  <c r="K77" i="2"/>
  <c r="K57" i="4" s="1"/>
  <c r="F77" i="2"/>
  <c r="G57" i="4" s="1"/>
  <c r="E77" i="2"/>
  <c r="D77" i="2"/>
  <c r="C77" i="2"/>
  <c r="H77" i="2" s="1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F76" i="2"/>
  <c r="E76" i="2"/>
  <c r="G76" i="2" s="1"/>
  <c r="D76" i="2"/>
  <c r="C76" i="2"/>
  <c r="H76" i="2" s="1"/>
  <c r="AN75" i="2"/>
  <c r="AN56" i="4" s="1"/>
  <c r="AM75" i="2"/>
  <c r="AM56" i="4" s="1"/>
  <c r="AL75" i="2"/>
  <c r="AL56" i="4" s="1"/>
  <c r="AK75" i="2"/>
  <c r="AK56" i="4" s="1"/>
  <c r="E56" i="4" s="1"/>
  <c r="H22" i="5" s="1"/>
  <c r="AJ75" i="2"/>
  <c r="AJ56" i="4" s="1"/>
  <c r="D56" i="4" s="1"/>
  <c r="AI75" i="2"/>
  <c r="AI56" i="4" s="1"/>
  <c r="AH75" i="2"/>
  <c r="AH56" i="4" s="1"/>
  <c r="AG75" i="2"/>
  <c r="AG56" i="4" s="1"/>
  <c r="AF75" i="2"/>
  <c r="AF56" i="4" s="1"/>
  <c r="AE75" i="2"/>
  <c r="AE56" i="4" s="1"/>
  <c r="AD75" i="2"/>
  <c r="AD56" i="4" s="1"/>
  <c r="AC75" i="2"/>
  <c r="AC56" i="4" s="1"/>
  <c r="AB75" i="2"/>
  <c r="AB56" i="4" s="1"/>
  <c r="AA75" i="2"/>
  <c r="AA56" i="4" s="1"/>
  <c r="Z75" i="2"/>
  <c r="Z56" i="4" s="1"/>
  <c r="Y75" i="2"/>
  <c r="Y56" i="4" s="1"/>
  <c r="X75" i="2"/>
  <c r="X56" i="4" s="1"/>
  <c r="W75" i="2"/>
  <c r="W56" i="4" s="1"/>
  <c r="V75" i="2"/>
  <c r="V56" i="4" s="1"/>
  <c r="U75" i="2"/>
  <c r="U56" i="4" s="1"/>
  <c r="T75" i="2"/>
  <c r="T56" i="4" s="1"/>
  <c r="S75" i="2"/>
  <c r="S56" i="4" s="1"/>
  <c r="R75" i="2"/>
  <c r="Q75" i="2"/>
  <c r="Q56" i="4" s="1"/>
  <c r="P75" i="2"/>
  <c r="P56" i="4" s="1"/>
  <c r="O75" i="2"/>
  <c r="O56" i="4" s="1"/>
  <c r="N75" i="2"/>
  <c r="N56" i="4" s="1"/>
  <c r="M75" i="2"/>
  <c r="L75" i="2"/>
  <c r="L56" i="4" s="1"/>
  <c r="K75" i="2"/>
  <c r="K56" i="4" s="1"/>
  <c r="F75" i="2"/>
  <c r="G56" i="4" s="1"/>
  <c r="E75" i="2"/>
  <c r="D75" i="2"/>
  <c r="C75" i="2"/>
  <c r="H75" i="2" s="1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F74" i="2"/>
  <c r="E74" i="2"/>
  <c r="G74" i="2" s="1"/>
  <c r="D74" i="2"/>
  <c r="C74" i="2"/>
  <c r="H74" i="2" s="1"/>
  <c r="AN73" i="2"/>
  <c r="AN49" i="4" s="1"/>
  <c r="AM73" i="2"/>
  <c r="AM49" i="4" s="1"/>
  <c r="AL73" i="2"/>
  <c r="AL49" i="4" s="1"/>
  <c r="AK73" i="2"/>
  <c r="AK49" i="4" s="1"/>
  <c r="E49" i="4" s="1"/>
  <c r="F21" i="5" s="1"/>
  <c r="AJ73" i="2"/>
  <c r="AJ49" i="4" s="1"/>
  <c r="D49" i="4" s="1"/>
  <c r="H49" i="4" s="1"/>
  <c r="AI73" i="2"/>
  <c r="AI49" i="4" s="1"/>
  <c r="AH73" i="2"/>
  <c r="AH49" i="4" s="1"/>
  <c r="AG73" i="2"/>
  <c r="AG49" i="4" s="1"/>
  <c r="AF73" i="2"/>
  <c r="AF49" i="4" s="1"/>
  <c r="AE73" i="2"/>
  <c r="AE49" i="4" s="1"/>
  <c r="AD73" i="2"/>
  <c r="AD49" i="4" s="1"/>
  <c r="AC73" i="2"/>
  <c r="AC49" i="4" s="1"/>
  <c r="AB73" i="2"/>
  <c r="AB49" i="4" s="1"/>
  <c r="AA73" i="2"/>
  <c r="AA49" i="4" s="1"/>
  <c r="Z73" i="2"/>
  <c r="Z49" i="4" s="1"/>
  <c r="Y73" i="2"/>
  <c r="Y49" i="4" s="1"/>
  <c r="X73" i="2"/>
  <c r="X49" i="4" s="1"/>
  <c r="W73" i="2"/>
  <c r="W49" i="4" s="1"/>
  <c r="V73" i="2"/>
  <c r="V49" i="4" s="1"/>
  <c r="U73" i="2"/>
  <c r="U49" i="4" s="1"/>
  <c r="T73" i="2"/>
  <c r="T49" i="4" s="1"/>
  <c r="S73" i="2"/>
  <c r="R73" i="2"/>
  <c r="Q73" i="2"/>
  <c r="P73" i="2"/>
  <c r="O73" i="2"/>
  <c r="N73" i="2"/>
  <c r="M73" i="2"/>
  <c r="L73" i="2"/>
  <c r="K73" i="2"/>
  <c r="F73" i="2"/>
  <c r="E73" i="2"/>
  <c r="G73" i="2" s="1"/>
  <c r="D73" i="2"/>
  <c r="C73" i="2"/>
  <c r="H73" i="2" s="1"/>
  <c r="AN72" i="2"/>
  <c r="AM72" i="2"/>
  <c r="AL72" i="2"/>
  <c r="AK72" i="2"/>
  <c r="AJ72" i="2"/>
  <c r="AI72" i="2"/>
  <c r="AH72" i="2"/>
  <c r="AH50" i="4" s="1"/>
  <c r="AG72" i="2"/>
  <c r="AG50" i="4" s="1"/>
  <c r="AF72" i="2"/>
  <c r="AF50" i="4" s="1"/>
  <c r="AE72" i="2"/>
  <c r="AE50" i="4" s="1"/>
  <c r="AD72" i="2"/>
  <c r="AD50" i="4" s="1"/>
  <c r="AC72" i="2"/>
  <c r="AC50" i="4" s="1"/>
  <c r="AB72" i="2"/>
  <c r="AB50" i="4" s="1"/>
  <c r="AA72" i="2"/>
  <c r="AA50" i="4" s="1"/>
  <c r="Z72" i="2"/>
  <c r="Z50" i="4" s="1"/>
  <c r="Y72" i="2"/>
  <c r="Y50" i="4" s="1"/>
  <c r="X72" i="2"/>
  <c r="X50" i="4" s="1"/>
  <c r="W72" i="2"/>
  <c r="W50" i="4" s="1"/>
  <c r="V72" i="2"/>
  <c r="V50" i="4" s="1"/>
  <c r="U72" i="2"/>
  <c r="U50" i="4" s="1"/>
  <c r="T72" i="2"/>
  <c r="T50" i="4" s="1"/>
  <c r="S72" i="2"/>
  <c r="S50" i="4" s="1"/>
  <c r="R72" i="2"/>
  <c r="Q72" i="2"/>
  <c r="Q50" i="4" s="1"/>
  <c r="P72" i="2"/>
  <c r="P50" i="4" s="1"/>
  <c r="O72" i="2"/>
  <c r="O50" i="4" s="1"/>
  <c r="N72" i="2"/>
  <c r="N50" i="4" s="1"/>
  <c r="M72" i="2"/>
  <c r="L72" i="2"/>
  <c r="L50" i="4" s="1"/>
  <c r="M50" i="4" s="1"/>
  <c r="O21" i="5" s="1"/>
  <c r="K72" i="2"/>
  <c r="K50" i="4" s="1"/>
  <c r="F72" i="2"/>
  <c r="G50" i="4" s="1"/>
  <c r="E72" i="2"/>
  <c r="D72" i="2"/>
  <c r="C72" i="2"/>
  <c r="H72" i="2" s="1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F71" i="2"/>
  <c r="E71" i="2"/>
  <c r="G71" i="2" s="1"/>
  <c r="D71" i="2"/>
  <c r="C71" i="2"/>
  <c r="H71" i="2" s="1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F70" i="2"/>
  <c r="E70" i="2"/>
  <c r="G70" i="2" s="1"/>
  <c r="D70" i="2"/>
  <c r="C70" i="2"/>
  <c r="H70" i="2" s="1"/>
  <c r="AN69" i="2"/>
  <c r="AN52" i="4" s="1"/>
  <c r="AM69" i="2"/>
  <c r="AM52" i="4" s="1"/>
  <c r="AL69" i="2"/>
  <c r="AL52" i="4" s="1"/>
  <c r="AK69" i="2"/>
  <c r="AJ69" i="2"/>
  <c r="AI69" i="2"/>
  <c r="AI52" i="4" s="1"/>
  <c r="AH69" i="2"/>
  <c r="AH52" i="4" s="1"/>
  <c r="AG69" i="2"/>
  <c r="AG52" i="4" s="1"/>
  <c r="AF69" i="2"/>
  <c r="AF52" i="4" s="1"/>
  <c r="AE69" i="2"/>
  <c r="AE52" i="4" s="1"/>
  <c r="AD69" i="2"/>
  <c r="AD52" i="4" s="1"/>
  <c r="AC69" i="2"/>
  <c r="AC52" i="4" s="1"/>
  <c r="AB69" i="2"/>
  <c r="AB52" i="4" s="1"/>
  <c r="AA69" i="2"/>
  <c r="AA52" i="4" s="1"/>
  <c r="Z69" i="2"/>
  <c r="Z52" i="4" s="1"/>
  <c r="Y69" i="2"/>
  <c r="Y52" i="4" s="1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F69" i="2"/>
  <c r="E69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F68" i="2"/>
  <c r="E68" i="2"/>
  <c r="G68" i="2" s="1"/>
  <c r="D68" i="2"/>
  <c r="C68" i="2"/>
  <c r="H68" i="2" s="1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F67" i="2"/>
  <c r="E67" i="2"/>
  <c r="G67" i="2" s="1"/>
  <c r="D67" i="2"/>
  <c r="C67" i="2"/>
  <c r="H67" i="2" s="1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F66" i="2"/>
  <c r="E66" i="2"/>
  <c r="G66" i="2" s="1"/>
  <c r="D66" i="2"/>
  <c r="C66" i="2"/>
  <c r="H66" i="2" s="1"/>
  <c r="AN65" i="2"/>
  <c r="AN47" i="4" s="1"/>
  <c r="AM65" i="2"/>
  <c r="AM47" i="4" s="1"/>
  <c r="AL65" i="2"/>
  <c r="AK65" i="2"/>
  <c r="AJ65" i="2"/>
  <c r="AI65" i="2"/>
  <c r="AI47" i="4" s="1"/>
  <c r="AH65" i="2"/>
  <c r="AG65" i="2"/>
  <c r="AF65" i="2"/>
  <c r="AE65" i="2"/>
  <c r="AD65" i="2"/>
  <c r="AD47" i="4" s="1"/>
  <c r="AC65" i="2"/>
  <c r="AB65" i="2"/>
  <c r="AA65" i="2"/>
  <c r="Z65" i="2"/>
  <c r="Y65" i="2"/>
  <c r="X65" i="2"/>
  <c r="W65" i="2"/>
  <c r="V65" i="2"/>
  <c r="U65" i="2"/>
  <c r="T65" i="2"/>
  <c r="S65" i="2"/>
  <c r="S47" i="4" s="1"/>
  <c r="R65" i="2"/>
  <c r="Q65" i="2"/>
  <c r="P65" i="2"/>
  <c r="O65" i="2"/>
  <c r="N65" i="2"/>
  <c r="M65" i="2"/>
  <c r="L65" i="2"/>
  <c r="L47" i="4" s="1"/>
  <c r="M47" i="4" s="1"/>
  <c r="Q20" i="5" s="1"/>
  <c r="K65" i="2"/>
  <c r="F65" i="2"/>
  <c r="G47" i="4" s="1"/>
  <c r="E65" i="2"/>
  <c r="D65" i="2"/>
  <c r="C65" i="2"/>
  <c r="H65" i="2" s="1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F64" i="2"/>
  <c r="E64" i="2"/>
  <c r="G64" i="2" s="1"/>
  <c r="D64" i="2"/>
  <c r="C64" i="2"/>
  <c r="H64" i="2" s="1"/>
  <c r="AN63" i="2"/>
  <c r="AN45" i="4" s="1"/>
  <c r="AM63" i="2"/>
  <c r="AM45" i="4" s="1"/>
  <c r="AL63" i="2"/>
  <c r="AL45" i="4" s="1"/>
  <c r="AK63" i="2"/>
  <c r="AK45" i="4" s="1"/>
  <c r="E45" i="4" s="1"/>
  <c r="G20" i="5" s="1"/>
  <c r="AJ63" i="2"/>
  <c r="AJ45" i="4" s="1"/>
  <c r="D45" i="4" s="1"/>
  <c r="H45" i="4" s="1"/>
  <c r="AI63" i="2"/>
  <c r="AI45" i="4" s="1"/>
  <c r="AH63" i="2"/>
  <c r="AH45" i="4" s="1"/>
  <c r="AG63" i="2"/>
  <c r="AG45" i="4" s="1"/>
  <c r="AF63" i="2"/>
  <c r="AF45" i="4" s="1"/>
  <c r="AE63" i="2"/>
  <c r="AE45" i="4" s="1"/>
  <c r="AD63" i="2"/>
  <c r="AD45" i="4" s="1"/>
  <c r="AC63" i="2"/>
  <c r="AC45" i="4" s="1"/>
  <c r="AB63" i="2"/>
  <c r="AB45" i="4" s="1"/>
  <c r="AA63" i="2"/>
  <c r="AA45" i="4" s="1"/>
  <c r="Z63" i="2"/>
  <c r="Z45" i="4" s="1"/>
  <c r="Y63" i="2"/>
  <c r="Y45" i="4" s="1"/>
  <c r="X63" i="2"/>
  <c r="X45" i="4" s="1"/>
  <c r="W63" i="2"/>
  <c r="W45" i="4" s="1"/>
  <c r="V63" i="2"/>
  <c r="V45" i="4" s="1"/>
  <c r="U63" i="2"/>
  <c r="U45" i="4" s="1"/>
  <c r="T63" i="2"/>
  <c r="T45" i="4" s="1"/>
  <c r="S63" i="2"/>
  <c r="S45" i="4" s="1"/>
  <c r="R63" i="2"/>
  <c r="Q63" i="2"/>
  <c r="Q45" i="4" s="1"/>
  <c r="P63" i="2"/>
  <c r="P45" i="4" s="1"/>
  <c r="O63" i="2"/>
  <c r="O45" i="4" s="1"/>
  <c r="N63" i="2"/>
  <c r="N45" i="4" s="1"/>
  <c r="M63" i="2"/>
  <c r="L63" i="2"/>
  <c r="L45" i="4" s="1"/>
  <c r="K63" i="2"/>
  <c r="K45" i="4" s="1"/>
  <c r="F63" i="2"/>
  <c r="G45" i="4" s="1"/>
  <c r="E63" i="2"/>
  <c r="G63" i="2" s="1"/>
  <c r="D63" i="2"/>
  <c r="C63" i="2"/>
  <c r="H63" i="2" s="1"/>
  <c r="AN62" i="2"/>
  <c r="AN44" i="4" s="1"/>
  <c r="AM62" i="2"/>
  <c r="AM44" i="4" s="1"/>
  <c r="AL62" i="2"/>
  <c r="AL44" i="4" s="1"/>
  <c r="AK62" i="2"/>
  <c r="AK44" i="4" s="1"/>
  <c r="E44" i="4" s="1"/>
  <c r="F20" i="5" s="1"/>
  <c r="AJ62" i="2"/>
  <c r="AI62" i="2"/>
  <c r="AI44" i="4" s="1"/>
  <c r="AH62" i="2"/>
  <c r="AH44" i="4" s="1"/>
  <c r="AG62" i="2"/>
  <c r="AG44" i="4" s="1"/>
  <c r="AF62" i="2"/>
  <c r="AF44" i="4" s="1"/>
  <c r="AE62" i="2"/>
  <c r="AE44" i="4" s="1"/>
  <c r="AD62" i="2"/>
  <c r="AD44" i="4" s="1"/>
  <c r="AC62" i="2"/>
  <c r="AC44" i="4" s="1"/>
  <c r="AB62" i="2"/>
  <c r="AB44" i="4" s="1"/>
  <c r="AA62" i="2"/>
  <c r="AA44" i="4" s="1"/>
  <c r="Z62" i="2"/>
  <c r="Z44" i="4" s="1"/>
  <c r="Y62" i="2"/>
  <c r="Y44" i="4" s="1"/>
  <c r="X62" i="2"/>
  <c r="X44" i="4" s="1"/>
  <c r="W62" i="2"/>
  <c r="W44" i="4" s="1"/>
  <c r="V62" i="2"/>
  <c r="V44" i="4" s="1"/>
  <c r="U62" i="2"/>
  <c r="U44" i="4" s="1"/>
  <c r="T62" i="2"/>
  <c r="T44" i="4" s="1"/>
  <c r="S62" i="2"/>
  <c r="S44" i="4" s="1"/>
  <c r="R62" i="2"/>
  <c r="Q62" i="2"/>
  <c r="Q44" i="4" s="1"/>
  <c r="P62" i="2"/>
  <c r="P44" i="4" s="1"/>
  <c r="O62" i="2"/>
  <c r="O44" i="4" s="1"/>
  <c r="N62" i="2"/>
  <c r="N44" i="4" s="1"/>
  <c r="M62" i="2"/>
  <c r="L62" i="2"/>
  <c r="L44" i="4" s="1"/>
  <c r="K62" i="2"/>
  <c r="K44" i="4" s="1"/>
  <c r="F62" i="2"/>
  <c r="G44" i="4" s="1"/>
  <c r="E62" i="2"/>
  <c r="D62" i="2"/>
  <c r="C62" i="2"/>
  <c r="H62" i="2" s="1"/>
  <c r="AN61" i="2"/>
  <c r="AN43" i="4" s="1"/>
  <c r="AM61" i="2"/>
  <c r="AM43" i="4" s="1"/>
  <c r="AL61" i="2"/>
  <c r="AL43" i="4" s="1"/>
  <c r="AK61" i="2"/>
  <c r="AK43" i="4" s="1"/>
  <c r="AJ61" i="2"/>
  <c r="AJ43" i="4" s="1"/>
  <c r="D43" i="4" s="1"/>
  <c r="AI61" i="2"/>
  <c r="AI43" i="4" s="1"/>
  <c r="AH61" i="2"/>
  <c r="AH43" i="4" s="1"/>
  <c r="AG61" i="2"/>
  <c r="AG43" i="4" s="1"/>
  <c r="AF61" i="2"/>
  <c r="AF43" i="4" s="1"/>
  <c r="AE61" i="2"/>
  <c r="AE43" i="4" s="1"/>
  <c r="AD61" i="2"/>
  <c r="AD43" i="4" s="1"/>
  <c r="AC61" i="2"/>
  <c r="AC43" i="4" s="1"/>
  <c r="AB61" i="2"/>
  <c r="AB43" i="4" s="1"/>
  <c r="AA61" i="2"/>
  <c r="AA43" i="4" s="1"/>
  <c r="Z61" i="2"/>
  <c r="Z43" i="4" s="1"/>
  <c r="Y61" i="2"/>
  <c r="Y43" i="4" s="1"/>
  <c r="X61" i="2"/>
  <c r="X43" i="4" s="1"/>
  <c r="W61" i="2"/>
  <c r="W43" i="4" s="1"/>
  <c r="V61" i="2"/>
  <c r="V43" i="4" s="1"/>
  <c r="U61" i="2"/>
  <c r="U43" i="4" s="1"/>
  <c r="T61" i="2"/>
  <c r="T43" i="4" s="1"/>
  <c r="S61" i="2"/>
  <c r="S43" i="4" s="1"/>
  <c r="R61" i="2"/>
  <c r="Q61" i="2"/>
  <c r="Q43" i="4" s="1"/>
  <c r="P61" i="2"/>
  <c r="P43" i="4" s="1"/>
  <c r="O61" i="2"/>
  <c r="O43" i="4" s="1"/>
  <c r="N61" i="2"/>
  <c r="N43" i="4" s="1"/>
  <c r="M61" i="2"/>
  <c r="L61" i="2"/>
  <c r="L43" i="4" s="1"/>
  <c r="M20" i="5" s="1"/>
  <c r="K61" i="2"/>
  <c r="K43" i="4" s="1"/>
  <c r="F61" i="2"/>
  <c r="G43" i="4" s="1"/>
  <c r="E61" i="2"/>
  <c r="D61" i="2"/>
  <c r="C61" i="2"/>
  <c r="H61" i="2" s="1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F60" i="2"/>
  <c r="E60" i="2"/>
  <c r="G60" i="2" s="1"/>
  <c r="D60" i="2"/>
  <c r="C60" i="2"/>
  <c r="H60" i="2" s="1"/>
  <c r="AN59" i="2"/>
  <c r="AN40" i="4" s="1"/>
  <c r="AM59" i="2"/>
  <c r="AM40" i="4" s="1"/>
  <c r="AL59" i="2"/>
  <c r="AL40" i="4" s="1"/>
  <c r="AK59" i="2"/>
  <c r="AK40" i="4" s="1"/>
  <c r="E40" i="4" s="1"/>
  <c r="G19" i="5" s="1"/>
  <c r="AJ59" i="2"/>
  <c r="AJ40" i="4" s="1"/>
  <c r="D40" i="4" s="1"/>
  <c r="AI59" i="2"/>
  <c r="AI40" i="4" s="1"/>
  <c r="AH59" i="2"/>
  <c r="AH40" i="4" s="1"/>
  <c r="AG59" i="2"/>
  <c r="AG40" i="4" s="1"/>
  <c r="AF59" i="2"/>
  <c r="AF40" i="4" s="1"/>
  <c r="AE59" i="2"/>
  <c r="AE40" i="4" s="1"/>
  <c r="AD59" i="2"/>
  <c r="AD40" i="4" s="1"/>
  <c r="AC59" i="2"/>
  <c r="AC40" i="4" s="1"/>
  <c r="AB59" i="2"/>
  <c r="AB40" i="4" s="1"/>
  <c r="AA59" i="2"/>
  <c r="AA40" i="4" s="1"/>
  <c r="Z59" i="2"/>
  <c r="Z40" i="4" s="1"/>
  <c r="Y59" i="2"/>
  <c r="Y40" i="4" s="1"/>
  <c r="X59" i="2"/>
  <c r="X40" i="4" s="1"/>
  <c r="W59" i="2"/>
  <c r="W40" i="4" s="1"/>
  <c r="V59" i="2"/>
  <c r="V40" i="4" s="1"/>
  <c r="U59" i="2"/>
  <c r="U40" i="4" s="1"/>
  <c r="T59" i="2"/>
  <c r="T40" i="4" s="1"/>
  <c r="S59" i="2"/>
  <c r="S40" i="4" s="1"/>
  <c r="R59" i="2"/>
  <c r="Q59" i="2"/>
  <c r="Q40" i="4" s="1"/>
  <c r="P59" i="2"/>
  <c r="P40" i="4" s="1"/>
  <c r="O59" i="2"/>
  <c r="O40" i="4" s="1"/>
  <c r="N59" i="2"/>
  <c r="N40" i="4" s="1"/>
  <c r="M59" i="2"/>
  <c r="L59" i="2"/>
  <c r="L40" i="4" s="1"/>
  <c r="K59" i="2"/>
  <c r="K40" i="4" s="1"/>
  <c r="F59" i="2"/>
  <c r="G40" i="4" s="1"/>
  <c r="E59" i="2"/>
  <c r="D59" i="2"/>
  <c r="C59" i="2"/>
  <c r="H59" i="2" s="1"/>
  <c r="AN58" i="2"/>
  <c r="AN41" i="4" s="1"/>
  <c r="AM58" i="2"/>
  <c r="AM41" i="4" s="1"/>
  <c r="AM5" i="4" s="1"/>
  <c r="AL58" i="2"/>
  <c r="AL41" i="4" s="1"/>
  <c r="AK58" i="2"/>
  <c r="AK41" i="4" s="1"/>
  <c r="E41" i="4" s="1"/>
  <c r="H19" i="5" s="1"/>
  <c r="AJ58" i="2"/>
  <c r="AJ41" i="4" s="1"/>
  <c r="AI58" i="2"/>
  <c r="AI41" i="4" s="1"/>
  <c r="AH58" i="2"/>
  <c r="AH41" i="4" s="1"/>
  <c r="AH5" i="4" s="1"/>
  <c r="AG58" i="2"/>
  <c r="AG41" i="4" s="1"/>
  <c r="AF58" i="2"/>
  <c r="AF41" i="4" s="1"/>
  <c r="AE58" i="2"/>
  <c r="AE41" i="4" s="1"/>
  <c r="AE5" i="4" s="1"/>
  <c r="AD58" i="2"/>
  <c r="AD41" i="4" s="1"/>
  <c r="AC58" i="2"/>
  <c r="AC41" i="4" s="1"/>
  <c r="AC5" i="4" s="1"/>
  <c r="AB58" i="2"/>
  <c r="AB41" i="4" s="1"/>
  <c r="AA58" i="2"/>
  <c r="AA41" i="4" s="1"/>
  <c r="Z58" i="2"/>
  <c r="Z41" i="4" s="1"/>
  <c r="Z5" i="4" s="1"/>
  <c r="Y58" i="2"/>
  <c r="Y41" i="4" s="1"/>
  <c r="X58" i="2"/>
  <c r="X41" i="4" s="1"/>
  <c r="X5" i="4" s="1"/>
  <c r="W58" i="2"/>
  <c r="W41" i="4" s="1"/>
  <c r="V58" i="2"/>
  <c r="V41" i="4" s="1"/>
  <c r="U58" i="2"/>
  <c r="U41" i="4" s="1"/>
  <c r="U5" i="4" s="1"/>
  <c r="T58" i="2"/>
  <c r="T41" i="4" s="1"/>
  <c r="S58" i="2"/>
  <c r="S41" i="4" s="1"/>
  <c r="S5" i="4" s="1"/>
  <c r="R58" i="2"/>
  <c r="Q58" i="2"/>
  <c r="Q41" i="4" s="1"/>
  <c r="P58" i="2"/>
  <c r="P41" i="4" s="1"/>
  <c r="P5" i="4" s="1"/>
  <c r="O58" i="2"/>
  <c r="O41" i="4" s="1"/>
  <c r="N58" i="2"/>
  <c r="N41" i="4" s="1"/>
  <c r="N5" i="4" s="1"/>
  <c r="M58" i="2"/>
  <c r="L58" i="2"/>
  <c r="L41" i="4" s="1"/>
  <c r="K58" i="2"/>
  <c r="K41" i="4" s="1"/>
  <c r="F58" i="2"/>
  <c r="G41" i="4" s="1"/>
  <c r="E58" i="2"/>
  <c r="D58" i="2"/>
  <c r="C58" i="2"/>
  <c r="H58" i="2" s="1"/>
  <c r="AN57" i="2"/>
  <c r="AN42" i="4" s="1"/>
  <c r="AM57" i="2"/>
  <c r="AM42" i="4" s="1"/>
  <c r="AL57" i="2"/>
  <c r="AL42" i="4" s="1"/>
  <c r="AK57" i="2"/>
  <c r="AK42" i="4" s="1"/>
  <c r="E42" i="4" s="1"/>
  <c r="I19" i="5" s="1"/>
  <c r="AJ57" i="2"/>
  <c r="AJ42" i="4" s="1"/>
  <c r="D42" i="4" s="1"/>
  <c r="AI57" i="2"/>
  <c r="AI42" i="4" s="1"/>
  <c r="AH57" i="2"/>
  <c r="AH42" i="4" s="1"/>
  <c r="AG57" i="2"/>
  <c r="AG42" i="4" s="1"/>
  <c r="AF57" i="2"/>
  <c r="AF42" i="4" s="1"/>
  <c r="AE57" i="2"/>
  <c r="AE42" i="4" s="1"/>
  <c r="AD57" i="2"/>
  <c r="AD42" i="4" s="1"/>
  <c r="AC57" i="2"/>
  <c r="AC42" i="4" s="1"/>
  <c r="AB57" i="2"/>
  <c r="AB42" i="4" s="1"/>
  <c r="AA57" i="2"/>
  <c r="AA42" i="4" s="1"/>
  <c r="Z57" i="2"/>
  <c r="Z42" i="4" s="1"/>
  <c r="Y57" i="2"/>
  <c r="Y42" i="4" s="1"/>
  <c r="X57" i="2"/>
  <c r="X42" i="4" s="1"/>
  <c r="W57" i="2"/>
  <c r="W42" i="4" s="1"/>
  <c r="V57" i="2"/>
  <c r="V42" i="4" s="1"/>
  <c r="U57" i="2"/>
  <c r="U42" i="4" s="1"/>
  <c r="T57" i="2"/>
  <c r="T42" i="4" s="1"/>
  <c r="S57" i="2"/>
  <c r="S42" i="4" s="1"/>
  <c r="R57" i="2"/>
  <c r="Q57" i="2"/>
  <c r="Q42" i="4" s="1"/>
  <c r="P57" i="2"/>
  <c r="P42" i="4" s="1"/>
  <c r="O57" i="2"/>
  <c r="O42" i="4" s="1"/>
  <c r="N57" i="2"/>
  <c r="N42" i="4" s="1"/>
  <c r="M57" i="2"/>
  <c r="L57" i="2"/>
  <c r="L42" i="4" s="1"/>
  <c r="M42" i="4" s="1"/>
  <c r="Q19" i="5" s="1"/>
  <c r="K57" i="2"/>
  <c r="K42" i="4" s="1"/>
  <c r="F57" i="2"/>
  <c r="G42" i="4" s="1"/>
  <c r="E57" i="2"/>
  <c r="D57" i="2"/>
  <c r="C57" i="2"/>
  <c r="H57" i="2" s="1"/>
  <c r="AN56" i="2"/>
  <c r="AN38" i="4" s="1"/>
  <c r="AM56" i="2"/>
  <c r="AM38" i="4" s="1"/>
  <c r="AL56" i="2"/>
  <c r="AL38" i="4" s="1"/>
  <c r="AK56" i="2"/>
  <c r="AK38" i="4" s="1"/>
  <c r="AJ56" i="2"/>
  <c r="AJ38" i="4" s="1"/>
  <c r="D38" i="4" s="1"/>
  <c r="AI56" i="2"/>
  <c r="AI38" i="4" s="1"/>
  <c r="AH56" i="2"/>
  <c r="AH38" i="4" s="1"/>
  <c r="AG56" i="2"/>
  <c r="AG38" i="4" s="1"/>
  <c r="AF56" i="2"/>
  <c r="AF38" i="4" s="1"/>
  <c r="AE56" i="2"/>
  <c r="AE38" i="4" s="1"/>
  <c r="AD56" i="2"/>
  <c r="AD38" i="4" s="1"/>
  <c r="AC56" i="2"/>
  <c r="AC38" i="4" s="1"/>
  <c r="AB56" i="2"/>
  <c r="AB38" i="4" s="1"/>
  <c r="AA56" i="2"/>
  <c r="AA38" i="4" s="1"/>
  <c r="Z56" i="2"/>
  <c r="Z38" i="4" s="1"/>
  <c r="Y56" i="2"/>
  <c r="Y38" i="4" s="1"/>
  <c r="X56" i="2"/>
  <c r="X38" i="4" s="1"/>
  <c r="W56" i="2"/>
  <c r="W38" i="4" s="1"/>
  <c r="V56" i="2"/>
  <c r="V38" i="4" s="1"/>
  <c r="U56" i="2"/>
  <c r="U38" i="4" s="1"/>
  <c r="T56" i="2"/>
  <c r="T38" i="4" s="1"/>
  <c r="S56" i="2"/>
  <c r="S38" i="4" s="1"/>
  <c r="R56" i="2"/>
  <c r="Q56" i="2"/>
  <c r="Q38" i="4" s="1"/>
  <c r="P56" i="2"/>
  <c r="P38" i="4" s="1"/>
  <c r="O56" i="2"/>
  <c r="O38" i="4" s="1"/>
  <c r="N56" i="2"/>
  <c r="N38" i="4" s="1"/>
  <c r="M56" i="2"/>
  <c r="L56" i="2"/>
  <c r="L38" i="4" s="1"/>
  <c r="M19" i="5" s="1"/>
  <c r="K56" i="2"/>
  <c r="K38" i="4" s="1"/>
  <c r="F56" i="2"/>
  <c r="G38" i="4" s="1"/>
  <c r="E56" i="2"/>
  <c r="D56" i="2"/>
  <c r="C56" i="2"/>
  <c r="H56" i="2" s="1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F55" i="2"/>
  <c r="E55" i="2"/>
  <c r="G55" i="2" s="1"/>
  <c r="D55" i="2"/>
  <c r="C55" i="2"/>
  <c r="H55" i="2" s="1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F54" i="2"/>
  <c r="E54" i="2"/>
  <c r="G54" i="2" s="1"/>
  <c r="D54" i="2"/>
  <c r="C54" i="2"/>
  <c r="H54" i="2" s="1"/>
  <c r="AN53" i="2"/>
  <c r="AN35" i="4" s="1"/>
  <c r="AM53" i="2"/>
  <c r="AM35" i="4" s="1"/>
  <c r="AL53" i="2"/>
  <c r="AL35" i="4" s="1"/>
  <c r="AK53" i="2"/>
  <c r="AK35" i="4" s="1"/>
  <c r="E35" i="4" s="1"/>
  <c r="G18" i="5" s="1"/>
  <c r="AJ53" i="2"/>
  <c r="AJ35" i="4" s="1"/>
  <c r="D35" i="4" s="1"/>
  <c r="AI53" i="2"/>
  <c r="AI35" i="4" s="1"/>
  <c r="AH53" i="2"/>
  <c r="AH35" i="4" s="1"/>
  <c r="AG53" i="2"/>
  <c r="AG35" i="4" s="1"/>
  <c r="AF53" i="2"/>
  <c r="AF35" i="4" s="1"/>
  <c r="AE53" i="2"/>
  <c r="AE35" i="4" s="1"/>
  <c r="AD53" i="2"/>
  <c r="AD35" i="4" s="1"/>
  <c r="AC53" i="2"/>
  <c r="AC35" i="4" s="1"/>
  <c r="AB53" i="2"/>
  <c r="AB35" i="4" s="1"/>
  <c r="AA53" i="2"/>
  <c r="AA35" i="4" s="1"/>
  <c r="Z53" i="2"/>
  <c r="Z35" i="4" s="1"/>
  <c r="Y53" i="2"/>
  <c r="Y35" i="4" s="1"/>
  <c r="X53" i="2"/>
  <c r="X35" i="4" s="1"/>
  <c r="W53" i="2"/>
  <c r="W35" i="4" s="1"/>
  <c r="V53" i="2"/>
  <c r="V35" i="4" s="1"/>
  <c r="U53" i="2"/>
  <c r="U35" i="4" s="1"/>
  <c r="T53" i="2"/>
  <c r="T35" i="4" s="1"/>
  <c r="S53" i="2"/>
  <c r="S35" i="4" s="1"/>
  <c r="R53" i="2"/>
  <c r="Q53" i="2"/>
  <c r="Q35" i="4" s="1"/>
  <c r="P53" i="2"/>
  <c r="P35" i="4" s="1"/>
  <c r="O53" i="2"/>
  <c r="O35" i="4" s="1"/>
  <c r="N53" i="2"/>
  <c r="N35" i="4" s="1"/>
  <c r="M53" i="2"/>
  <c r="L53" i="2"/>
  <c r="L35" i="4" s="1"/>
  <c r="K53" i="2"/>
  <c r="K35" i="4" s="1"/>
  <c r="F53" i="2"/>
  <c r="G35" i="4" s="1"/>
  <c r="E53" i="2"/>
  <c r="D53" i="2"/>
  <c r="C53" i="2"/>
  <c r="H53" i="2" s="1"/>
  <c r="AN52" i="2"/>
  <c r="AN37" i="4" s="1"/>
  <c r="AM52" i="2"/>
  <c r="AM37" i="4" s="1"/>
  <c r="AM6" i="4" s="1"/>
  <c r="AL52" i="2"/>
  <c r="AL37" i="4" s="1"/>
  <c r="AK52" i="2"/>
  <c r="AK37" i="4" s="1"/>
  <c r="E37" i="4" s="1"/>
  <c r="I18" i="5" s="1"/>
  <c r="AJ52" i="2"/>
  <c r="AJ37" i="4" s="1"/>
  <c r="AI52" i="2"/>
  <c r="AI37" i="4" s="1"/>
  <c r="AH52" i="2"/>
  <c r="AH37" i="4" s="1"/>
  <c r="AH6" i="4" s="1"/>
  <c r="AG52" i="2"/>
  <c r="AG37" i="4" s="1"/>
  <c r="AF52" i="2"/>
  <c r="AF37" i="4" s="1"/>
  <c r="AE52" i="2"/>
  <c r="AE37" i="4" s="1"/>
  <c r="AE6" i="4" s="1"/>
  <c r="AD52" i="2"/>
  <c r="AD37" i="4" s="1"/>
  <c r="AC52" i="2"/>
  <c r="AC37" i="4" s="1"/>
  <c r="AC6" i="4" s="1"/>
  <c r="AB52" i="2"/>
  <c r="AB37" i="4" s="1"/>
  <c r="AA52" i="2"/>
  <c r="AA37" i="4" s="1"/>
  <c r="Z52" i="2"/>
  <c r="Z37" i="4" s="1"/>
  <c r="Z6" i="4" s="1"/>
  <c r="Y52" i="2"/>
  <c r="Y37" i="4" s="1"/>
  <c r="X52" i="2"/>
  <c r="X37" i="4" s="1"/>
  <c r="X6" i="4" s="1"/>
  <c r="W52" i="2"/>
  <c r="W37" i="4" s="1"/>
  <c r="V52" i="2"/>
  <c r="V37" i="4" s="1"/>
  <c r="U52" i="2"/>
  <c r="U37" i="4" s="1"/>
  <c r="U6" i="4" s="1"/>
  <c r="T52" i="2"/>
  <c r="T37" i="4" s="1"/>
  <c r="S52" i="2"/>
  <c r="S37" i="4" s="1"/>
  <c r="S6" i="4" s="1"/>
  <c r="R52" i="2"/>
  <c r="Q52" i="2"/>
  <c r="Q37" i="4" s="1"/>
  <c r="P52" i="2"/>
  <c r="P37" i="4" s="1"/>
  <c r="P6" i="4" s="1"/>
  <c r="O52" i="2"/>
  <c r="O37" i="4" s="1"/>
  <c r="N52" i="2"/>
  <c r="N37" i="4" s="1"/>
  <c r="N6" i="4" s="1"/>
  <c r="M52" i="2"/>
  <c r="L52" i="2"/>
  <c r="L37" i="4" s="1"/>
  <c r="K52" i="2"/>
  <c r="K37" i="4" s="1"/>
  <c r="K6" i="4" s="1"/>
  <c r="F52" i="2"/>
  <c r="G37" i="4" s="1"/>
  <c r="E52" i="2"/>
  <c r="D52" i="2"/>
  <c r="C52" i="2"/>
  <c r="H52" i="2" s="1"/>
  <c r="AN51" i="2"/>
  <c r="AN34" i="4" s="1"/>
  <c r="AM51" i="2"/>
  <c r="AM34" i="4" s="1"/>
  <c r="AL51" i="2"/>
  <c r="AL34" i="4" s="1"/>
  <c r="AK51" i="2"/>
  <c r="AK34" i="4" s="1"/>
  <c r="E34" i="4" s="1"/>
  <c r="F18" i="5" s="1"/>
  <c r="AJ51" i="2"/>
  <c r="AJ34" i="4" s="1"/>
  <c r="D34" i="4" s="1"/>
  <c r="AI51" i="2"/>
  <c r="AI34" i="4" s="1"/>
  <c r="AH51" i="2"/>
  <c r="AH34" i="4" s="1"/>
  <c r="AG51" i="2"/>
  <c r="AG34" i="4" s="1"/>
  <c r="AF51" i="2"/>
  <c r="AF34" i="4" s="1"/>
  <c r="AE51" i="2"/>
  <c r="AE34" i="4" s="1"/>
  <c r="AD51" i="2"/>
  <c r="AD34" i="4" s="1"/>
  <c r="AC51" i="2"/>
  <c r="AC34" i="4" s="1"/>
  <c r="AB51" i="2"/>
  <c r="AB34" i="4" s="1"/>
  <c r="AA51" i="2"/>
  <c r="AA34" i="4" s="1"/>
  <c r="Z51" i="2"/>
  <c r="Z34" i="4" s="1"/>
  <c r="Y51" i="2"/>
  <c r="Y34" i="4" s="1"/>
  <c r="X51" i="2"/>
  <c r="X34" i="4" s="1"/>
  <c r="W51" i="2"/>
  <c r="W34" i="4" s="1"/>
  <c r="V51" i="2"/>
  <c r="V34" i="4" s="1"/>
  <c r="U51" i="2"/>
  <c r="U34" i="4" s="1"/>
  <c r="T51" i="2"/>
  <c r="T34" i="4" s="1"/>
  <c r="S51" i="2"/>
  <c r="S34" i="4" s="1"/>
  <c r="R51" i="2"/>
  <c r="Q51" i="2"/>
  <c r="Q34" i="4" s="1"/>
  <c r="P51" i="2"/>
  <c r="P34" i="4" s="1"/>
  <c r="O51" i="2"/>
  <c r="O34" i="4" s="1"/>
  <c r="N51" i="2"/>
  <c r="N34" i="4" s="1"/>
  <c r="M51" i="2"/>
  <c r="L51" i="2"/>
  <c r="L34" i="4" s="1"/>
  <c r="K51" i="2"/>
  <c r="K34" i="4" s="1"/>
  <c r="F51" i="2"/>
  <c r="G34" i="4" s="1"/>
  <c r="E51" i="2"/>
  <c r="D51" i="2"/>
  <c r="C51" i="2"/>
  <c r="H51" i="2" s="1"/>
  <c r="AN50" i="2"/>
  <c r="AN33" i="4" s="1"/>
  <c r="AM50" i="2"/>
  <c r="AM33" i="4" s="1"/>
  <c r="AL50" i="2"/>
  <c r="AL33" i="4" s="1"/>
  <c r="AK50" i="2"/>
  <c r="AK33" i="4" s="1"/>
  <c r="AJ50" i="2"/>
  <c r="AJ33" i="4" s="1"/>
  <c r="D33" i="4" s="1"/>
  <c r="AI50" i="2"/>
  <c r="AI33" i="4" s="1"/>
  <c r="AH50" i="2"/>
  <c r="AH33" i="4" s="1"/>
  <c r="AG50" i="2"/>
  <c r="AG33" i="4" s="1"/>
  <c r="AF50" i="2"/>
  <c r="AF33" i="4" s="1"/>
  <c r="AE50" i="2"/>
  <c r="AE33" i="4" s="1"/>
  <c r="AD50" i="2"/>
  <c r="AD33" i="4" s="1"/>
  <c r="AC50" i="2"/>
  <c r="AC33" i="4" s="1"/>
  <c r="AB50" i="2"/>
  <c r="AB33" i="4" s="1"/>
  <c r="AA50" i="2"/>
  <c r="AA33" i="4" s="1"/>
  <c r="Z50" i="2"/>
  <c r="Z33" i="4" s="1"/>
  <c r="Y50" i="2"/>
  <c r="Y33" i="4" s="1"/>
  <c r="X50" i="2"/>
  <c r="X33" i="4" s="1"/>
  <c r="W50" i="2"/>
  <c r="W33" i="4" s="1"/>
  <c r="W2" i="4" s="1"/>
  <c r="V50" i="2"/>
  <c r="V33" i="4" s="1"/>
  <c r="V2" i="4" s="1"/>
  <c r="U50" i="2"/>
  <c r="U33" i="4" s="1"/>
  <c r="U2" i="4" s="1"/>
  <c r="T50" i="2"/>
  <c r="T33" i="4" s="1"/>
  <c r="T2" i="4" s="1"/>
  <c r="S50" i="2"/>
  <c r="S33" i="4" s="1"/>
  <c r="S2" i="4" s="1"/>
  <c r="R50" i="2"/>
  <c r="Q50" i="2"/>
  <c r="Q33" i="4" s="1"/>
  <c r="P50" i="2"/>
  <c r="P33" i="4" s="1"/>
  <c r="P2" i="4" s="1"/>
  <c r="O50" i="2"/>
  <c r="O33" i="4" s="1"/>
  <c r="N50" i="2"/>
  <c r="N33" i="4" s="1"/>
  <c r="N2" i="4" s="1"/>
  <c r="M50" i="2"/>
  <c r="L50" i="2"/>
  <c r="L33" i="4" s="1"/>
  <c r="M18" i="5" s="1"/>
  <c r="K50" i="2"/>
  <c r="K33" i="4" s="1"/>
  <c r="K2" i="4" s="1"/>
  <c r="F50" i="2"/>
  <c r="G33" i="4" s="1"/>
  <c r="E50" i="2"/>
  <c r="D50" i="2"/>
  <c r="C50" i="2"/>
  <c r="H50" i="2" s="1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K29" i="4" s="1"/>
  <c r="F49" i="2"/>
  <c r="G29" i="4" s="1"/>
  <c r="E49" i="2"/>
  <c r="D49" i="2"/>
  <c r="C49" i="2"/>
  <c r="H49" i="2" s="1"/>
  <c r="I49" i="2" s="1"/>
  <c r="J49" i="2" s="1"/>
  <c r="AN48" i="2"/>
  <c r="AN29" i="4" s="1"/>
  <c r="AM48" i="2"/>
  <c r="AM29" i="4" s="1"/>
  <c r="AL48" i="2"/>
  <c r="AL29" i="4" s="1"/>
  <c r="AK48" i="2"/>
  <c r="AJ48" i="2"/>
  <c r="AI48" i="2"/>
  <c r="AI29" i="4" s="1"/>
  <c r="AH48" i="2"/>
  <c r="AH29" i="4" s="1"/>
  <c r="AG48" i="2"/>
  <c r="AG29" i="4" s="1"/>
  <c r="AF48" i="2"/>
  <c r="AF29" i="4" s="1"/>
  <c r="AE48" i="2"/>
  <c r="AE29" i="4" s="1"/>
  <c r="AD48" i="2"/>
  <c r="AD29" i="4" s="1"/>
  <c r="AC48" i="2"/>
  <c r="AC29" i="4" s="1"/>
  <c r="AB48" i="2"/>
  <c r="AB29" i="4" s="1"/>
  <c r="AA48" i="2"/>
  <c r="AA29" i="4" s="1"/>
  <c r="Z48" i="2"/>
  <c r="Z29" i="4" s="1"/>
  <c r="Y48" i="2"/>
  <c r="Y29" i="4" s="1"/>
  <c r="X48" i="2"/>
  <c r="X29" i="4" s="1"/>
  <c r="W48" i="2"/>
  <c r="W29" i="4" s="1"/>
  <c r="V48" i="2"/>
  <c r="V29" i="4" s="1"/>
  <c r="U48" i="2"/>
  <c r="U29" i="4" s="1"/>
  <c r="T48" i="2"/>
  <c r="T29" i="4" s="1"/>
  <c r="S48" i="2"/>
  <c r="S29" i="4" s="1"/>
  <c r="R48" i="2"/>
  <c r="Q48" i="2"/>
  <c r="Q29" i="4" s="1"/>
  <c r="R29" i="4" s="1"/>
  <c r="P48" i="2"/>
  <c r="P29" i="4" s="1"/>
  <c r="O48" i="2"/>
  <c r="O29" i="4" s="1"/>
  <c r="N48" i="2"/>
  <c r="N29" i="4" s="1"/>
  <c r="M48" i="2"/>
  <c r="L48" i="2"/>
  <c r="L29" i="4" s="1"/>
  <c r="M29" i="4" s="1"/>
  <c r="N17" i="5" s="1"/>
  <c r="K48" i="2"/>
  <c r="F48" i="2"/>
  <c r="E48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F47" i="2"/>
  <c r="E47" i="2"/>
  <c r="G47" i="2" s="1"/>
  <c r="D47" i="2"/>
  <c r="C47" i="2"/>
  <c r="H47" i="2" s="1"/>
  <c r="I47" i="2" s="1"/>
  <c r="J47" i="2" s="1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F46" i="2"/>
  <c r="E46" i="2"/>
  <c r="G46" i="2" s="1"/>
  <c r="D46" i="2"/>
  <c r="C46" i="2"/>
  <c r="H46" i="2" s="1"/>
  <c r="I46" i="2" s="1"/>
  <c r="J46" i="2" s="1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F45" i="2"/>
  <c r="E45" i="2"/>
  <c r="G45" i="2" s="1"/>
  <c r="D45" i="2"/>
  <c r="C45" i="2"/>
  <c r="H45" i="2" s="1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F44" i="2"/>
  <c r="E44" i="2"/>
  <c r="G44" i="2" s="1"/>
  <c r="D44" i="2"/>
  <c r="C44" i="2"/>
  <c r="H44" i="2" s="1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F43" i="2"/>
  <c r="E43" i="2"/>
  <c r="G43" i="2" s="1"/>
  <c r="D43" i="2"/>
  <c r="C43" i="2"/>
  <c r="H43" i="2" s="1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F42" i="2"/>
  <c r="E42" i="2"/>
  <c r="G42" i="2" s="1"/>
  <c r="D42" i="2"/>
  <c r="C42" i="2"/>
  <c r="H42" i="2" s="1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F41" i="2"/>
  <c r="E41" i="2"/>
  <c r="G41" i="2" s="1"/>
  <c r="D41" i="2"/>
  <c r="C41" i="2"/>
  <c r="H41" i="2" s="1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F40" i="2"/>
  <c r="E40" i="2"/>
  <c r="G40" i="2" s="1"/>
  <c r="D40" i="2"/>
  <c r="C40" i="2"/>
  <c r="H40" i="2" s="1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F39" i="2"/>
  <c r="E39" i="2"/>
  <c r="G39" i="2" s="1"/>
  <c r="D39" i="2"/>
  <c r="C39" i="2"/>
  <c r="H39" i="2" s="1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F38" i="2"/>
  <c r="E38" i="2"/>
  <c r="G38" i="2" s="1"/>
  <c r="D38" i="2"/>
  <c r="C38" i="2"/>
  <c r="H38" i="2" s="1"/>
  <c r="AN37" i="2"/>
  <c r="AM37" i="2"/>
  <c r="AL37" i="2"/>
  <c r="AK37" i="2"/>
  <c r="D37" i="2" s="1"/>
  <c r="AJ37" i="2"/>
  <c r="C37" i="2" s="1"/>
  <c r="H37" i="2" s="1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F37" i="2"/>
  <c r="E37" i="2"/>
  <c r="G37" i="2" s="1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F36" i="2"/>
  <c r="E36" i="2"/>
  <c r="G36" i="2" s="1"/>
  <c r="D36" i="2"/>
  <c r="C36" i="2"/>
  <c r="H36" i="2" s="1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F35" i="2"/>
  <c r="E35" i="2"/>
  <c r="G35" i="2" s="1"/>
  <c r="D35" i="2"/>
  <c r="C35" i="2"/>
  <c r="H35" i="2" s="1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F34" i="2"/>
  <c r="E34" i="2"/>
  <c r="G34" i="2" s="1"/>
  <c r="D34" i="2"/>
  <c r="C34" i="2"/>
  <c r="H34" i="2" s="1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F33" i="2"/>
  <c r="E33" i="2"/>
  <c r="G33" i="2" s="1"/>
  <c r="D33" i="2"/>
  <c r="C33" i="2"/>
  <c r="H33" i="2" s="1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F32" i="2"/>
  <c r="E32" i="2"/>
  <c r="G32" i="2" s="1"/>
  <c r="D32" i="2"/>
  <c r="C32" i="2"/>
  <c r="H32" i="2" s="1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F31" i="2"/>
  <c r="E31" i="2"/>
  <c r="G31" i="2" s="1"/>
  <c r="D31" i="2"/>
  <c r="C31" i="2"/>
  <c r="H31" i="2" s="1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F30" i="2"/>
  <c r="E30" i="2"/>
  <c r="G30" i="2" s="1"/>
  <c r="D30" i="2"/>
  <c r="C30" i="2"/>
  <c r="H30" i="2" s="1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F29" i="2"/>
  <c r="E29" i="2"/>
  <c r="G29" i="2" s="1"/>
  <c r="D29" i="2"/>
  <c r="C29" i="2"/>
  <c r="H29" i="2" s="1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F28" i="2"/>
  <c r="E28" i="2"/>
  <c r="G28" i="2" s="1"/>
  <c r="D28" i="2"/>
  <c r="C28" i="2"/>
  <c r="H28" i="2" s="1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F27" i="2"/>
  <c r="E27" i="2"/>
  <c r="G27" i="2" s="1"/>
  <c r="D27" i="2"/>
  <c r="C27" i="2"/>
  <c r="H27" i="2" s="1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F26" i="2"/>
  <c r="E26" i="2"/>
  <c r="G26" i="2" s="1"/>
  <c r="D26" i="2"/>
  <c r="C26" i="2"/>
  <c r="H26" i="2" s="1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F25" i="2"/>
  <c r="E25" i="2"/>
  <c r="G25" i="2" s="1"/>
  <c r="D25" i="2"/>
  <c r="C25" i="2"/>
  <c r="H25" i="2" s="1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F24" i="2"/>
  <c r="E24" i="2"/>
  <c r="G24" i="2" s="1"/>
  <c r="D24" i="2"/>
  <c r="C24" i="2"/>
  <c r="H24" i="2" s="1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F23" i="2"/>
  <c r="E23" i="2"/>
  <c r="G23" i="2" s="1"/>
  <c r="D23" i="2"/>
  <c r="C23" i="2"/>
  <c r="H23" i="2" s="1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F22" i="2"/>
  <c r="E22" i="2"/>
  <c r="G22" i="2" s="1"/>
  <c r="D22" i="2"/>
  <c r="C22" i="2"/>
  <c r="H22" i="2" s="1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F21" i="2"/>
  <c r="E21" i="2"/>
  <c r="G21" i="2" s="1"/>
  <c r="D21" i="2"/>
  <c r="C21" i="2"/>
  <c r="H21" i="2" s="1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F20" i="2"/>
  <c r="E20" i="2"/>
  <c r="G20" i="2" s="1"/>
  <c r="D20" i="2"/>
  <c r="C20" i="2"/>
  <c r="H20" i="2" s="1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F19" i="2"/>
  <c r="E19" i="2"/>
  <c r="G19" i="2" s="1"/>
  <c r="D19" i="2"/>
  <c r="C19" i="2"/>
  <c r="H19" i="2" s="1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F18" i="2"/>
  <c r="E18" i="2"/>
  <c r="G18" i="2" s="1"/>
  <c r="D18" i="2"/>
  <c r="C18" i="2"/>
  <c r="H18" i="2" s="1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F17" i="2"/>
  <c r="E17" i="2"/>
  <c r="G17" i="2" s="1"/>
  <c r="D17" i="2"/>
  <c r="C17" i="2"/>
  <c r="H17" i="2" s="1"/>
  <c r="AN16" i="2"/>
  <c r="AM16" i="2"/>
  <c r="AL16" i="2"/>
  <c r="AK16" i="2"/>
  <c r="D16" i="2" s="1"/>
  <c r="AJ16" i="2"/>
  <c r="C16" i="2" s="1"/>
  <c r="H16" i="2" s="1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F16" i="2"/>
  <c r="E16" i="2"/>
  <c r="G16" i="2" s="1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F15" i="2"/>
  <c r="E15" i="2"/>
  <c r="G15" i="2" s="1"/>
  <c r="D15" i="2"/>
  <c r="C15" i="2"/>
  <c r="H15" i="2" s="1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F14" i="2"/>
  <c r="E14" i="2"/>
  <c r="G14" i="2" s="1"/>
  <c r="D14" i="2"/>
  <c r="C14" i="2"/>
  <c r="H14" i="2" s="1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F13" i="2"/>
  <c r="E13" i="2"/>
  <c r="G13" i="2" s="1"/>
  <c r="D13" i="2"/>
  <c r="C13" i="2"/>
  <c r="H13" i="2" s="1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F12" i="2"/>
  <c r="E12" i="2"/>
  <c r="G12" i="2" s="1"/>
  <c r="D12" i="2"/>
  <c r="C12" i="2"/>
  <c r="H12" i="2" s="1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F11" i="2"/>
  <c r="E11" i="2"/>
  <c r="G11" i="2" s="1"/>
  <c r="D11" i="2"/>
  <c r="C11" i="2"/>
  <c r="H11" i="2" s="1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F10" i="2"/>
  <c r="E10" i="2"/>
  <c r="G10" i="2" s="1"/>
  <c r="D10" i="2"/>
  <c r="C10" i="2"/>
  <c r="H10" i="2" s="1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F9" i="2"/>
  <c r="E9" i="2"/>
  <c r="G9" i="2" s="1"/>
  <c r="D9" i="2"/>
  <c r="C9" i="2"/>
  <c r="H9" i="2" s="1"/>
  <c r="I9" i="2" s="1"/>
  <c r="J9" i="2" s="1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F8" i="2"/>
  <c r="E8" i="2"/>
  <c r="G8" i="2" s="1"/>
  <c r="D8" i="2"/>
  <c r="C8" i="2"/>
  <c r="H8" i="2" s="1"/>
  <c r="I8" i="2" s="1"/>
  <c r="J8" i="2" s="1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F7" i="2"/>
  <c r="E7" i="2"/>
  <c r="G7" i="2" s="1"/>
  <c r="D7" i="2"/>
  <c r="C7" i="2"/>
  <c r="H7" i="2" s="1"/>
  <c r="I7" i="2" s="1"/>
  <c r="J7" i="2" s="1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F6" i="2"/>
  <c r="E6" i="2"/>
  <c r="G6" i="2" s="1"/>
  <c r="D6" i="2"/>
  <c r="C6" i="2"/>
  <c r="H6" i="2" s="1"/>
  <c r="I6" i="2" s="1"/>
  <c r="J6" i="2" s="1"/>
  <c r="AN5" i="2"/>
  <c r="AM5" i="2"/>
  <c r="AL5" i="2"/>
  <c r="AK5" i="2"/>
  <c r="D5" i="2" s="1"/>
  <c r="AJ5" i="2"/>
  <c r="C5" i="2" s="1"/>
  <c r="H5" i="2" s="1"/>
  <c r="I5" i="2" s="1"/>
  <c r="J5" i="2" s="1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F5" i="2"/>
  <c r="E5" i="2"/>
  <c r="G5" i="2" s="1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F4" i="2"/>
  <c r="E4" i="2"/>
  <c r="G4" i="2" s="1"/>
  <c r="D4" i="2"/>
  <c r="C4" i="2"/>
  <c r="H4" i="2" s="1"/>
  <c r="I4" i="2" s="1"/>
  <c r="J4" i="2" s="1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F3" i="2"/>
  <c r="E3" i="2"/>
  <c r="G3" i="2" s="1"/>
  <c r="D3" i="2"/>
  <c r="C3" i="2"/>
  <c r="H3" i="2" s="1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F2" i="2"/>
  <c r="E2" i="2"/>
  <c r="G2" i="2" s="1"/>
  <c r="D2" i="2"/>
  <c r="C2" i="2"/>
  <c r="H2" i="2" s="1"/>
  <c r="G55" i="4"/>
  <c r="F55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Q54" i="4"/>
  <c r="R54" i="4" s="1"/>
  <c r="P54" i="4"/>
  <c r="O54" i="4"/>
  <c r="N54" i="4"/>
  <c r="L54" i="4"/>
  <c r="M54" i="4" s="1"/>
  <c r="N22" i="5" s="1"/>
  <c r="K54" i="4"/>
  <c r="G54" i="4"/>
  <c r="F54" i="4"/>
  <c r="E54" i="4"/>
  <c r="D54" i="4"/>
  <c r="H54" i="4" s="1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Q53" i="4"/>
  <c r="P53" i="4"/>
  <c r="O53" i="4"/>
  <c r="N53" i="4"/>
  <c r="L53" i="4"/>
  <c r="K53" i="4"/>
  <c r="G53" i="4"/>
  <c r="F53" i="4"/>
  <c r="D53" i="4"/>
  <c r="H53" i="4" s="1"/>
  <c r="X52" i="4"/>
  <c r="W52" i="4"/>
  <c r="V52" i="4"/>
  <c r="U52" i="4"/>
  <c r="T52" i="4"/>
  <c r="S52" i="4"/>
  <c r="Q52" i="4"/>
  <c r="R52" i="4" s="1"/>
  <c r="P52" i="4"/>
  <c r="O52" i="4"/>
  <c r="N52" i="4"/>
  <c r="L52" i="4"/>
  <c r="M52" i="4" s="1"/>
  <c r="Q21" i="5" s="1"/>
  <c r="K52" i="4"/>
  <c r="G52" i="4"/>
  <c r="F52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Q51" i="4"/>
  <c r="R51" i="4" s="1"/>
  <c r="P51" i="4"/>
  <c r="O51" i="4"/>
  <c r="N51" i="4"/>
  <c r="L51" i="4"/>
  <c r="M51" i="4" s="1"/>
  <c r="P21" i="5" s="1"/>
  <c r="K51" i="4"/>
  <c r="G51" i="4"/>
  <c r="F51" i="4"/>
  <c r="E51" i="4"/>
  <c r="D51" i="4"/>
  <c r="H51" i="4" s="1"/>
  <c r="AN50" i="4"/>
  <c r="AM50" i="4"/>
  <c r="AL50" i="4"/>
  <c r="AK50" i="4"/>
  <c r="E50" i="4" s="1"/>
  <c r="G21" i="5" s="1"/>
  <c r="AJ50" i="4"/>
  <c r="D50" i="4" s="1"/>
  <c r="AI50" i="4"/>
  <c r="S49" i="4"/>
  <c r="Q49" i="4"/>
  <c r="R49" i="4" s="1"/>
  <c r="P49" i="4"/>
  <c r="O49" i="4"/>
  <c r="N49" i="4"/>
  <c r="L49" i="4"/>
  <c r="M49" i="4" s="1"/>
  <c r="N21" i="5" s="1"/>
  <c r="K49" i="4"/>
  <c r="G49" i="4"/>
  <c r="F49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Q48" i="4"/>
  <c r="P48" i="4"/>
  <c r="O48" i="4"/>
  <c r="N48" i="4"/>
  <c r="L48" i="4"/>
  <c r="K48" i="4"/>
  <c r="G48" i="4"/>
  <c r="F48" i="4"/>
  <c r="D48" i="4"/>
  <c r="H48" i="4" s="1"/>
  <c r="AL47" i="4"/>
  <c r="AK47" i="4"/>
  <c r="AJ47" i="4"/>
  <c r="AH47" i="4"/>
  <c r="AG47" i="4"/>
  <c r="AF47" i="4"/>
  <c r="AE47" i="4"/>
  <c r="AC47" i="4"/>
  <c r="AB47" i="4"/>
  <c r="AA47" i="4"/>
  <c r="Z47" i="4"/>
  <c r="Y47" i="4"/>
  <c r="X47" i="4"/>
  <c r="W47" i="4"/>
  <c r="V47" i="4"/>
  <c r="U47" i="4"/>
  <c r="T47" i="4"/>
  <c r="Q47" i="4"/>
  <c r="P47" i="4"/>
  <c r="O47" i="4"/>
  <c r="N47" i="4"/>
  <c r="K47" i="4"/>
  <c r="E47" i="4"/>
  <c r="D47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Q46" i="4"/>
  <c r="R46" i="4" s="1"/>
  <c r="P46" i="4"/>
  <c r="O46" i="4"/>
  <c r="N46" i="4"/>
  <c r="L46" i="4"/>
  <c r="M46" i="4" s="1"/>
  <c r="P20" i="5" s="1"/>
  <c r="K46" i="4"/>
  <c r="G46" i="4"/>
  <c r="F46" i="4"/>
  <c r="E46" i="4"/>
  <c r="D46" i="4"/>
  <c r="H46" i="4" s="1"/>
  <c r="F45" i="4"/>
  <c r="AJ44" i="4"/>
  <c r="D44" i="4"/>
  <c r="AN39" i="4"/>
  <c r="AM39" i="4"/>
  <c r="AL39" i="4"/>
  <c r="AK39" i="4"/>
  <c r="E39" i="4" s="1"/>
  <c r="F19" i="5" s="1"/>
  <c r="AJ39" i="4"/>
  <c r="D39" i="4" s="1"/>
  <c r="H39" i="4" s="1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Q39" i="4"/>
  <c r="R39" i="4" s="1"/>
  <c r="P39" i="4"/>
  <c r="O39" i="4"/>
  <c r="N39" i="4"/>
  <c r="L39" i="4"/>
  <c r="M39" i="4" s="1"/>
  <c r="N19" i="5" s="1"/>
  <c r="K39" i="4"/>
  <c r="G39" i="4"/>
  <c r="F39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Q36" i="4"/>
  <c r="R36" i="4" s="1"/>
  <c r="P36" i="4"/>
  <c r="O36" i="4"/>
  <c r="N36" i="4"/>
  <c r="L36" i="4"/>
  <c r="M36" i="4" s="1"/>
  <c r="P18" i="5" s="1"/>
  <c r="K36" i="4"/>
  <c r="G36" i="4"/>
  <c r="F36" i="4"/>
  <c r="E36" i="4"/>
  <c r="D36" i="4"/>
  <c r="H36" i="4" s="1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Q32" i="4"/>
  <c r="R32" i="4" s="1"/>
  <c r="P32" i="4"/>
  <c r="O32" i="4"/>
  <c r="N32" i="4"/>
  <c r="L32" i="4"/>
  <c r="M32" i="4" s="1"/>
  <c r="Q17" i="5" s="1"/>
  <c r="K32" i="4"/>
  <c r="G32" i="4"/>
  <c r="F32" i="4"/>
  <c r="E32" i="4"/>
  <c r="D32" i="4"/>
  <c r="H32" i="4" s="1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Q31" i="4"/>
  <c r="R31" i="4" s="1"/>
  <c r="P31" i="4"/>
  <c r="O31" i="4"/>
  <c r="N31" i="4"/>
  <c r="L31" i="4"/>
  <c r="M31" i="4" s="1"/>
  <c r="P17" i="5" s="1"/>
  <c r="K31" i="4"/>
  <c r="G31" i="4"/>
  <c r="F31" i="4"/>
  <c r="E31" i="4"/>
  <c r="D31" i="4"/>
  <c r="H31" i="4" s="1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Q30" i="4"/>
  <c r="R30" i="4" s="1"/>
  <c r="P30" i="4"/>
  <c r="O30" i="4"/>
  <c r="N30" i="4"/>
  <c r="L30" i="4"/>
  <c r="M30" i="4" s="1"/>
  <c r="O17" i="5" s="1"/>
  <c r="K30" i="4"/>
  <c r="G30" i="4"/>
  <c r="F30" i="4"/>
  <c r="E30" i="4"/>
  <c r="D30" i="4"/>
  <c r="H30" i="4" s="1"/>
  <c r="AN28" i="4"/>
  <c r="AM28" i="4"/>
  <c r="AL28" i="4"/>
  <c r="AK28" i="4"/>
  <c r="AJ28" i="4"/>
  <c r="D28" i="4" s="1"/>
  <c r="H28" i="4" s="1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Q28" i="4"/>
  <c r="P28" i="4"/>
  <c r="O28" i="4"/>
  <c r="N28" i="4"/>
  <c r="L28" i="4"/>
  <c r="K28" i="4"/>
  <c r="G28" i="4"/>
  <c r="F28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Q27" i="4"/>
  <c r="R27" i="4" s="1"/>
  <c r="P27" i="4"/>
  <c r="O27" i="4"/>
  <c r="N27" i="4"/>
  <c r="L27" i="4"/>
  <c r="M27" i="4" s="1"/>
  <c r="Q16" i="5" s="1"/>
  <c r="K27" i="4"/>
  <c r="G27" i="4"/>
  <c r="F27" i="4"/>
  <c r="E27" i="4"/>
  <c r="D27" i="4"/>
  <c r="H27" i="4" s="1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Q26" i="4"/>
  <c r="R26" i="4" s="1"/>
  <c r="P26" i="4"/>
  <c r="O26" i="4"/>
  <c r="N26" i="4"/>
  <c r="L26" i="4"/>
  <c r="M26" i="4" s="1"/>
  <c r="P16" i="5" s="1"/>
  <c r="K26" i="4"/>
  <c r="G26" i="4"/>
  <c r="F26" i="4"/>
  <c r="E26" i="4"/>
  <c r="D26" i="4"/>
  <c r="H26" i="4" s="1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Q25" i="4"/>
  <c r="R25" i="4" s="1"/>
  <c r="P25" i="4"/>
  <c r="O25" i="4"/>
  <c r="N25" i="4"/>
  <c r="L25" i="4"/>
  <c r="M25" i="4" s="1"/>
  <c r="O16" i="5" s="1"/>
  <c r="K25" i="4"/>
  <c r="G25" i="4"/>
  <c r="F25" i="4"/>
  <c r="E25" i="4"/>
  <c r="D25" i="4"/>
  <c r="H25" i="4" s="1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Q24" i="4"/>
  <c r="R24" i="4" s="1"/>
  <c r="P24" i="4"/>
  <c r="O24" i="4"/>
  <c r="N24" i="4"/>
  <c r="L24" i="4"/>
  <c r="M24" i="4" s="1"/>
  <c r="N16" i="5" s="1"/>
  <c r="K24" i="4"/>
  <c r="G24" i="4"/>
  <c r="F24" i="4"/>
  <c r="E24" i="4"/>
  <c r="D24" i="4"/>
  <c r="H24" i="4" s="1"/>
  <c r="I24" i="4" s="1"/>
  <c r="J24" i="4" s="1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Q23" i="4"/>
  <c r="P23" i="4"/>
  <c r="O23" i="4"/>
  <c r="N23" i="4"/>
  <c r="L23" i="4"/>
  <c r="K23" i="4"/>
  <c r="G23" i="4"/>
  <c r="F23" i="4"/>
  <c r="D23" i="4"/>
  <c r="H23" i="4" s="1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Q22" i="4"/>
  <c r="R22" i="4" s="1"/>
  <c r="P22" i="4"/>
  <c r="O22" i="4"/>
  <c r="N22" i="4"/>
  <c r="L22" i="4"/>
  <c r="M22" i="4" s="1"/>
  <c r="Q15" i="5" s="1"/>
  <c r="K22" i="4"/>
  <c r="G22" i="4"/>
  <c r="F22" i="4"/>
  <c r="E22" i="4"/>
  <c r="D22" i="4"/>
  <c r="H22" i="4" s="1"/>
  <c r="AN21" i="4"/>
  <c r="AM21" i="4"/>
  <c r="AL21" i="4"/>
  <c r="AK21" i="4"/>
  <c r="AJ21" i="4"/>
  <c r="D21" i="4" s="1"/>
  <c r="H21" i="4" s="1"/>
  <c r="I21" i="4" s="1"/>
  <c r="J21" i="4" s="1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Q21" i="4"/>
  <c r="R21" i="4" s="1"/>
  <c r="P21" i="4"/>
  <c r="O21" i="4"/>
  <c r="N21" i="4"/>
  <c r="L21" i="4"/>
  <c r="M21" i="4" s="1"/>
  <c r="P15" i="5" s="1"/>
  <c r="K21" i="4"/>
  <c r="G21" i="4"/>
  <c r="F21" i="4"/>
  <c r="E21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Q20" i="4"/>
  <c r="R20" i="4" s="1"/>
  <c r="P20" i="4"/>
  <c r="O20" i="4"/>
  <c r="N20" i="4"/>
  <c r="L20" i="4"/>
  <c r="M20" i="4" s="1"/>
  <c r="O15" i="5" s="1"/>
  <c r="K20" i="4"/>
  <c r="G20" i="4"/>
  <c r="F20" i="4"/>
  <c r="E20" i="4"/>
  <c r="D20" i="4"/>
  <c r="H20" i="4" s="1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Q19" i="4"/>
  <c r="R19" i="4" s="1"/>
  <c r="P19" i="4"/>
  <c r="O19" i="4"/>
  <c r="N19" i="4"/>
  <c r="L19" i="4"/>
  <c r="M19" i="4" s="1"/>
  <c r="N15" i="5" s="1"/>
  <c r="K19" i="4"/>
  <c r="G19" i="4"/>
  <c r="F19" i="4"/>
  <c r="E19" i="4"/>
  <c r="D19" i="4"/>
  <c r="H19" i="4" s="1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Q18" i="4"/>
  <c r="P18" i="4"/>
  <c r="O18" i="4"/>
  <c r="N18" i="4"/>
  <c r="L18" i="4"/>
  <c r="K18" i="4"/>
  <c r="G18" i="4"/>
  <c r="F18" i="4"/>
  <c r="D18" i="4"/>
  <c r="H18" i="4" s="1"/>
  <c r="AN17" i="4"/>
  <c r="AM17" i="4"/>
  <c r="AL17" i="4"/>
  <c r="AK17" i="4"/>
  <c r="E17" i="4" s="1"/>
  <c r="I14" i="5" s="1"/>
  <c r="AJ17" i="4"/>
  <c r="D17" i="4" s="1"/>
  <c r="H17" i="4" s="1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Q17" i="4"/>
  <c r="R17" i="4" s="1"/>
  <c r="P17" i="4"/>
  <c r="O17" i="4"/>
  <c r="N17" i="4"/>
  <c r="L17" i="4"/>
  <c r="M17" i="4" s="1"/>
  <c r="Q14" i="5" s="1"/>
  <c r="K17" i="4"/>
  <c r="G17" i="4"/>
  <c r="F17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Q16" i="4"/>
  <c r="R16" i="4" s="1"/>
  <c r="P16" i="4"/>
  <c r="O16" i="4"/>
  <c r="N16" i="4"/>
  <c r="L16" i="4"/>
  <c r="M16" i="4" s="1"/>
  <c r="P14" i="5" s="1"/>
  <c r="K16" i="4"/>
  <c r="G16" i="4"/>
  <c r="F16" i="4"/>
  <c r="E16" i="4"/>
  <c r="D16" i="4"/>
  <c r="H16" i="4" s="1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Q15" i="4"/>
  <c r="R15" i="4" s="1"/>
  <c r="P15" i="4"/>
  <c r="O15" i="4"/>
  <c r="N15" i="4"/>
  <c r="L15" i="4"/>
  <c r="M15" i="4" s="1"/>
  <c r="O14" i="5" s="1"/>
  <c r="K15" i="4"/>
  <c r="G15" i="4"/>
  <c r="F15" i="4"/>
  <c r="E15" i="4"/>
  <c r="D15" i="4"/>
  <c r="H15" i="4" s="1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Q14" i="4"/>
  <c r="R14" i="4" s="1"/>
  <c r="P14" i="4"/>
  <c r="O14" i="4"/>
  <c r="N14" i="4"/>
  <c r="L14" i="4"/>
  <c r="M14" i="4" s="1"/>
  <c r="N14" i="5" s="1"/>
  <c r="K14" i="4"/>
  <c r="G14" i="4"/>
  <c r="F14" i="4"/>
  <c r="E14" i="4"/>
  <c r="D14" i="4"/>
  <c r="H14" i="4" s="1"/>
  <c r="I14" i="4" s="1"/>
  <c r="J14" i="4" s="1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Q13" i="4"/>
  <c r="P13" i="4"/>
  <c r="O13" i="4"/>
  <c r="N13" i="4"/>
  <c r="L13" i="4"/>
  <c r="K13" i="4"/>
  <c r="G13" i="4"/>
  <c r="F13" i="4"/>
  <c r="D13" i="4"/>
  <c r="H13" i="4" s="1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Q12" i="4"/>
  <c r="R12" i="4" s="1"/>
  <c r="P12" i="4"/>
  <c r="O12" i="4"/>
  <c r="N12" i="4"/>
  <c r="L12" i="4"/>
  <c r="M12" i="4" s="1"/>
  <c r="Q13" i="5" s="1"/>
  <c r="K12" i="4"/>
  <c r="G12" i="4"/>
  <c r="F12" i="4"/>
  <c r="E12" i="4"/>
  <c r="D12" i="4"/>
  <c r="H12" i="4" s="1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Q11" i="4"/>
  <c r="R11" i="4" s="1"/>
  <c r="P11" i="4"/>
  <c r="O11" i="4"/>
  <c r="N11" i="4"/>
  <c r="L11" i="4"/>
  <c r="M11" i="4" s="1"/>
  <c r="P13" i="5" s="1"/>
  <c r="K11" i="4"/>
  <c r="G11" i="4"/>
  <c r="F11" i="4"/>
  <c r="E11" i="4"/>
  <c r="D11" i="4"/>
  <c r="H11" i="4" s="1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Q10" i="4"/>
  <c r="R10" i="4" s="1"/>
  <c r="P10" i="4"/>
  <c r="O10" i="4"/>
  <c r="N10" i="4"/>
  <c r="L10" i="4"/>
  <c r="M10" i="4" s="1"/>
  <c r="O13" i="5" s="1"/>
  <c r="K10" i="4"/>
  <c r="G10" i="4"/>
  <c r="F10" i="4"/>
  <c r="E10" i="4"/>
  <c r="D10" i="4"/>
  <c r="H10" i="4" s="1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Q9" i="4"/>
  <c r="R9" i="4" s="1"/>
  <c r="P9" i="4"/>
  <c r="O9" i="4"/>
  <c r="N9" i="4"/>
  <c r="L9" i="4"/>
  <c r="M9" i="4" s="1"/>
  <c r="N13" i="5" s="1"/>
  <c r="K9" i="4"/>
  <c r="G9" i="4"/>
  <c r="F9" i="4"/>
  <c r="E9" i="4"/>
  <c r="D9" i="4"/>
  <c r="H9" i="4" s="1"/>
  <c r="I9" i="4" s="1"/>
  <c r="J9" i="4" s="1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Q8" i="4"/>
  <c r="P8" i="4"/>
  <c r="O8" i="4"/>
  <c r="N8" i="4"/>
  <c r="L8" i="4"/>
  <c r="K8" i="4"/>
  <c r="G8" i="4"/>
  <c r="F8" i="4"/>
  <c r="D8" i="4"/>
  <c r="H8" i="4" s="1"/>
  <c r="J7" i="4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H14" i="9"/>
  <c r="G14" i="9"/>
  <c r="G13" i="9"/>
  <c r="G12" i="9"/>
  <c r="G11" i="9"/>
  <c r="G10" i="9"/>
  <c r="G9" i="9"/>
  <c r="G8" i="9"/>
  <c r="G7" i="9"/>
  <c r="G6" i="9"/>
  <c r="G5" i="9"/>
  <c r="H4" i="9"/>
  <c r="G4" i="9"/>
  <c r="M22" i="5"/>
  <c r="F22" i="5"/>
  <c r="M21" i="5"/>
  <c r="H21" i="5"/>
  <c r="I20" i="5"/>
  <c r="H20" i="5"/>
  <c r="H18" i="5"/>
  <c r="M17" i="5"/>
  <c r="I17" i="5"/>
  <c r="H17" i="5"/>
  <c r="G17" i="5"/>
  <c r="M16" i="5"/>
  <c r="I16" i="5"/>
  <c r="H16" i="5"/>
  <c r="G16" i="5"/>
  <c r="F16" i="5"/>
  <c r="M15" i="5"/>
  <c r="I15" i="5"/>
  <c r="H15" i="5"/>
  <c r="G15" i="5"/>
  <c r="F15" i="5"/>
  <c r="M14" i="5"/>
  <c r="H14" i="5"/>
  <c r="G14" i="5"/>
  <c r="F14" i="5"/>
  <c r="M13" i="5"/>
  <c r="I13" i="5"/>
  <c r="H13" i="5"/>
  <c r="G13" i="5"/>
  <c r="F13" i="5"/>
  <c r="M12" i="5"/>
  <c r="I102" i="2" l="1"/>
  <c r="J102" i="2" s="1"/>
  <c r="D80" i="2"/>
  <c r="AK55" i="4"/>
  <c r="E55" i="4" s="1"/>
  <c r="G22" i="5" s="1"/>
  <c r="C80" i="2"/>
  <c r="AJ55" i="4"/>
  <c r="D55" i="4" s="1"/>
  <c r="H55" i="4" s="1"/>
  <c r="F57" i="4"/>
  <c r="H57" i="4" s="1"/>
  <c r="G77" i="2"/>
  <c r="F56" i="4"/>
  <c r="H56" i="4" s="1"/>
  <c r="G75" i="2"/>
  <c r="F50" i="4"/>
  <c r="H50" i="4" s="1"/>
  <c r="G72" i="2"/>
  <c r="AK52" i="4"/>
  <c r="E52" i="4" s="1"/>
  <c r="I21" i="5" s="1"/>
  <c r="D69" i="2"/>
  <c r="C69" i="2"/>
  <c r="AJ52" i="4"/>
  <c r="F47" i="4"/>
  <c r="H47" i="4" s="1"/>
  <c r="I47" i="4" s="1"/>
  <c r="J47" i="4" s="1"/>
  <c r="G65" i="2"/>
  <c r="G62" i="2"/>
  <c r="F44" i="4"/>
  <c r="H44" i="4" s="1"/>
  <c r="G61" i="2"/>
  <c r="F43" i="4"/>
  <c r="H43" i="4" s="1"/>
  <c r="G59" i="2"/>
  <c r="F40" i="4"/>
  <c r="H40" i="4" s="1"/>
  <c r="D41" i="4"/>
  <c r="H41" i="4" s="1"/>
  <c r="I41" i="4" s="1"/>
  <c r="J41" i="4" s="1"/>
  <c r="AJ5" i="4"/>
  <c r="G58" i="2"/>
  <c r="F41" i="4"/>
  <c r="G57" i="2"/>
  <c r="F42" i="4"/>
  <c r="H42" i="4" s="1"/>
  <c r="F38" i="4"/>
  <c r="H38" i="4" s="1"/>
  <c r="G56" i="2"/>
  <c r="G53" i="2"/>
  <c r="F35" i="4"/>
  <c r="D37" i="4"/>
  <c r="F37" i="4"/>
  <c r="G52" i="2"/>
  <c r="G51" i="2"/>
  <c r="F34" i="4"/>
  <c r="H34" i="4" s="1"/>
  <c r="G50" i="2"/>
  <c r="F33" i="4"/>
  <c r="F29" i="4"/>
  <c r="F3" i="4" s="1"/>
  <c r="G49" i="2"/>
  <c r="D48" i="2"/>
  <c r="AK29" i="4"/>
  <c r="E29" i="4" s="1"/>
  <c r="F17" i="5" s="1"/>
  <c r="AJ29" i="4"/>
  <c r="C48" i="2"/>
  <c r="M56" i="4"/>
  <c r="P22" i="5" s="1"/>
  <c r="R35" i="4"/>
  <c r="I101" i="2"/>
  <c r="J101" i="2" s="1"/>
  <c r="I100" i="2"/>
  <c r="J100" i="2" s="1"/>
  <c r="I98" i="2"/>
  <c r="J98" i="2" s="1"/>
  <c r="I97" i="2"/>
  <c r="J97" i="2" s="1"/>
  <c r="I95" i="2"/>
  <c r="J95" i="2" s="1"/>
  <c r="I94" i="2"/>
  <c r="J94" i="2" s="1"/>
  <c r="I93" i="2"/>
  <c r="J93" i="2" s="1"/>
  <c r="I91" i="2"/>
  <c r="J91" i="2" s="1"/>
  <c r="I90" i="2"/>
  <c r="J90" i="2" s="1"/>
  <c r="I87" i="2"/>
  <c r="J87" i="2" s="1"/>
  <c r="I85" i="2"/>
  <c r="J85" i="2" s="1"/>
  <c r="I84" i="2"/>
  <c r="J84" i="2" s="1"/>
  <c r="I83" i="2"/>
  <c r="J83" i="2" s="1"/>
  <c r="M57" i="4"/>
  <c r="Q22" i="5" s="1"/>
  <c r="R50" i="4"/>
  <c r="I86" i="2"/>
  <c r="J86" i="2" s="1"/>
  <c r="I82" i="2"/>
  <c r="J82" i="2" s="1"/>
  <c r="I57" i="2"/>
  <c r="J57" i="2" s="1"/>
  <c r="M35" i="4"/>
  <c r="O18" i="5" s="1"/>
  <c r="I52" i="2"/>
  <c r="J52" i="2" s="1"/>
  <c r="R34" i="4"/>
  <c r="R56" i="4"/>
  <c r="I70" i="2"/>
  <c r="J70" i="2" s="1"/>
  <c r="M34" i="4"/>
  <c r="N18" i="5" s="1"/>
  <c r="I73" i="2"/>
  <c r="J73" i="2" s="1"/>
  <c r="I71" i="2"/>
  <c r="J71" i="2" s="1"/>
  <c r="I62" i="2"/>
  <c r="J62" i="2" s="1"/>
  <c r="I64" i="2"/>
  <c r="J64" i="2" s="1"/>
  <c r="I45" i="4"/>
  <c r="J45" i="4" s="1"/>
  <c r="R45" i="4"/>
  <c r="M45" i="4"/>
  <c r="O20" i="5" s="1"/>
  <c r="I63" i="2"/>
  <c r="J63" i="2" s="1"/>
  <c r="R44" i="4"/>
  <c r="M44" i="4"/>
  <c r="N20" i="5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78" i="2"/>
  <c r="J78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4" i="2"/>
  <c r="J14" i="2" s="1"/>
  <c r="I13" i="2"/>
  <c r="J13" i="2" s="1"/>
  <c r="I12" i="2"/>
  <c r="J12" i="2" s="1"/>
  <c r="I11" i="2"/>
  <c r="J11" i="2" s="1"/>
  <c r="U3" i="4"/>
  <c r="AN2" i="4"/>
  <c r="AI2" i="4"/>
  <c r="AF2" i="4"/>
  <c r="AA2" i="4"/>
  <c r="X2" i="4"/>
  <c r="I105" i="2"/>
  <c r="J105" i="2" s="1"/>
  <c r="I75" i="2"/>
  <c r="J75" i="2" s="1"/>
  <c r="I60" i="2"/>
  <c r="J60" i="2" s="1"/>
  <c r="M40" i="4"/>
  <c r="O19" i="5" s="1"/>
  <c r="R42" i="4"/>
  <c r="I51" i="2"/>
  <c r="J51" i="2" s="1"/>
  <c r="I65" i="2"/>
  <c r="J65" i="2" s="1"/>
  <c r="R41" i="4"/>
  <c r="I3" i="2"/>
  <c r="J3" i="2" s="1"/>
  <c r="I51" i="4"/>
  <c r="J51" i="4" s="1"/>
  <c r="R47" i="4"/>
  <c r="I46" i="4"/>
  <c r="J46" i="4" s="1"/>
  <c r="I39" i="4"/>
  <c r="J39" i="4" s="1"/>
  <c r="K4" i="4"/>
  <c r="X3" i="4"/>
  <c r="K3" i="4"/>
  <c r="AM2" i="4"/>
  <c r="AJ2" i="4"/>
  <c r="D2" i="4" s="1"/>
  <c r="AE2" i="4"/>
  <c r="AB2" i="4"/>
  <c r="I111" i="2"/>
  <c r="J111" i="2" s="1"/>
  <c r="I108" i="2"/>
  <c r="J108" i="2" s="1"/>
  <c r="I106" i="2"/>
  <c r="J106" i="2" s="1"/>
  <c r="I66" i="2"/>
  <c r="J66" i="2" s="1"/>
  <c r="M41" i="4"/>
  <c r="P19" i="5" s="1"/>
  <c r="I55" i="2"/>
  <c r="J55" i="2" s="1"/>
  <c r="I27" i="4"/>
  <c r="J27" i="4" s="1"/>
  <c r="I26" i="4"/>
  <c r="J26" i="4" s="1"/>
  <c r="I25" i="4"/>
  <c r="J25" i="4" s="1"/>
  <c r="I22" i="4"/>
  <c r="J22" i="4" s="1"/>
  <c r="I15" i="4"/>
  <c r="J15" i="4" s="1"/>
  <c r="I12" i="4"/>
  <c r="J12" i="4" s="1"/>
  <c r="I11" i="4"/>
  <c r="J11" i="4" s="1"/>
  <c r="AM4" i="4"/>
  <c r="AH4" i="4"/>
  <c r="AC4" i="4"/>
  <c r="X4" i="4"/>
  <c r="S4" i="4"/>
  <c r="N4" i="4"/>
  <c r="I10" i="4"/>
  <c r="J10" i="4" s="1"/>
  <c r="AE3" i="4"/>
  <c r="Z3" i="4"/>
  <c r="N3" i="4"/>
  <c r="AL2" i="4"/>
  <c r="AH2" i="4"/>
  <c r="AD2" i="4"/>
  <c r="Y2" i="4"/>
  <c r="I110" i="2"/>
  <c r="J110" i="2" s="1"/>
  <c r="I79" i="2"/>
  <c r="J79" i="2" s="1"/>
  <c r="R57" i="4"/>
  <c r="I76" i="2"/>
  <c r="J76" i="2" s="1"/>
  <c r="I72" i="2"/>
  <c r="J72" i="2" s="1"/>
  <c r="I20" i="4"/>
  <c r="J20" i="4" s="1"/>
  <c r="I19" i="4"/>
  <c r="J19" i="4" s="1"/>
  <c r="I17" i="4"/>
  <c r="J17" i="4" s="1"/>
  <c r="I16" i="4"/>
  <c r="J16" i="4" s="1"/>
  <c r="K5" i="4"/>
  <c r="AJ4" i="4"/>
  <c r="AE4" i="4"/>
  <c r="AF4" i="4" s="1"/>
  <c r="Z4" i="4"/>
  <c r="AA4" i="4" s="1"/>
  <c r="U4" i="4"/>
  <c r="V4" i="4" s="1"/>
  <c r="P4" i="4"/>
  <c r="AM3" i="4"/>
  <c r="AH3" i="4"/>
  <c r="AC3" i="4"/>
  <c r="S3" i="4"/>
  <c r="P3" i="4"/>
  <c r="AK2" i="4"/>
  <c r="AG2" i="4"/>
  <c r="AC2" i="4"/>
  <c r="Z2" i="4"/>
  <c r="I109" i="2"/>
  <c r="J109" i="2" s="1"/>
  <c r="I77" i="2"/>
  <c r="J77" i="2" s="1"/>
  <c r="I59" i="2"/>
  <c r="J59" i="2" s="1"/>
  <c r="I54" i="2"/>
  <c r="J54" i="2" s="1"/>
  <c r="R37" i="4"/>
  <c r="I67" i="2"/>
  <c r="J67" i="2" s="1"/>
  <c r="R40" i="4"/>
  <c r="I58" i="2"/>
  <c r="J58" i="2" s="1"/>
  <c r="I53" i="2"/>
  <c r="J53" i="2" s="1"/>
  <c r="M37" i="4"/>
  <c r="Q18" i="5" s="1"/>
  <c r="G80" i="2" l="1"/>
  <c r="H80" i="2"/>
  <c r="I80" i="2" s="1"/>
  <c r="J80" i="2" s="1"/>
  <c r="I54" i="4"/>
  <c r="J54" i="4" s="1"/>
  <c r="I55" i="4"/>
  <c r="J55" i="4" s="1"/>
  <c r="I49" i="4"/>
  <c r="J49" i="4" s="1"/>
  <c r="I50" i="4"/>
  <c r="J50" i="4" s="1"/>
  <c r="G69" i="2"/>
  <c r="H69" i="2"/>
  <c r="I69" i="2" s="1"/>
  <c r="J69" i="2" s="1"/>
  <c r="D5" i="4"/>
  <c r="F4" i="4"/>
  <c r="H35" i="4"/>
  <c r="H33" i="4"/>
  <c r="F2" i="4"/>
  <c r="AJ3" i="4"/>
  <c r="AK5" i="4" s="1"/>
  <c r="D29" i="4"/>
  <c r="H29" i="4" s="1"/>
  <c r="G48" i="2"/>
  <c r="H48" i="2"/>
  <c r="I48" i="2" s="1"/>
  <c r="J48" i="2" s="1"/>
  <c r="V6" i="4"/>
  <c r="V5" i="4"/>
  <c r="V3" i="4"/>
  <c r="Y6" i="4"/>
  <c r="Y5" i="4"/>
  <c r="Y3" i="4"/>
  <c r="L6" i="4"/>
  <c r="L3" i="4"/>
  <c r="D7" i="4"/>
  <c r="H2" i="4"/>
  <c r="AF5" i="4"/>
  <c r="AF6" i="4"/>
  <c r="AF3" i="4"/>
  <c r="AA5" i="4"/>
  <c r="AA6" i="4"/>
  <c r="AA3" i="4"/>
  <c r="O6" i="4"/>
  <c r="O5" i="4"/>
  <c r="O3" i="4"/>
  <c r="D4" i="4"/>
  <c r="H4" i="4" s="1"/>
  <c r="AK4" i="4"/>
  <c r="AN6" i="4"/>
  <c r="AN5" i="4"/>
  <c r="AN3" i="4"/>
  <c r="AI6" i="4"/>
  <c r="AI5" i="4"/>
  <c r="AI3" i="4"/>
  <c r="AD6" i="4"/>
  <c r="AD5" i="4"/>
  <c r="AD3" i="4"/>
  <c r="T5" i="4"/>
  <c r="T6" i="4"/>
  <c r="T3" i="4"/>
  <c r="Q6" i="4"/>
  <c r="Q5" i="4"/>
  <c r="Q3" i="4"/>
  <c r="F5" i="4"/>
  <c r="I42" i="4"/>
  <c r="J42" i="4" s="1"/>
  <c r="H37" i="4"/>
  <c r="I37" i="4" s="1"/>
  <c r="J37" i="4" s="1"/>
  <c r="F6" i="4"/>
  <c r="G6" i="4" s="1"/>
  <c r="L4" i="4"/>
  <c r="AN4" i="4"/>
  <c r="AI4" i="4"/>
  <c r="AD4" i="4"/>
  <c r="Y4" i="4"/>
  <c r="T4" i="4"/>
  <c r="O4" i="4"/>
  <c r="Q4" i="4"/>
  <c r="L5" i="4"/>
  <c r="I57" i="4"/>
  <c r="J57" i="4" s="1"/>
  <c r="I56" i="4"/>
  <c r="J56" i="4" s="1"/>
  <c r="I44" i="4"/>
  <c r="J44" i="4" s="1"/>
  <c r="I40" i="4"/>
  <c r="J40" i="4" s="1"/>
  <c r="D52" i="4"/>
  <c r="H52" i="4" s="1"/>
  <c r="I52" i="4" s="1"/>
  <c r="J52" i="4" s="1"/>
  <c r="AJ6" i="4"/>
  <c r="E5" i="4" l="1"/>
  <c r="H12" i="5" s="1"/>
  <c r="G3" i="4"/>
  <c r="G4" i="4"/>
  <c r="D3" i="4"/>
  <c r="H3" i="4" s="1"/>
  <c r="AK3" i="4"/>
  <c r="I30" i="4"/>
  <c r="J30" i="4" s="1"/>
  <c r="I31" i="4"/>
  <c r="J31" i="4" s="1"/>
  <c r="I32" i="4"/>
  <c r="J32" i="4" s="1"/>
  <c r="I29" i="4"/>
  <c r="J29" i="4" s="1"/>
  <c r="AL4" i="4"/>
  <c r="E4" i="4"/>
  <c r="G12" i="5" s="1"/>
  <c r="D6" i="4"/>
  <c r="H6" i="4" s="1"/>
  <c r="I6" i="4" s="1"/>
  <c r="J6" i="4" s="1"/>
  <c r="AK6" i="4"/>
  <c r="I35" i="4"/>
  <c r="J35" i="4" s="1"/>
  <c r="AG6" i="4"/>
  <c r="R6" i="4"/>
  <c r="AB6" i="4"/>
  <c r="M6" i="4"/>
  <c r="Q12" i="5" s="1"/>
  <c r="H5" i="4"/>
  <c r="I5" i="4" s="1"/>
  <c r="W6" i="4"/>
  <c r="G5" i="4"/>
  <c r="AL5" i="4" s="1"/>
  <c r="I36" i="4"/>
  <c r="J36" i="4" s="1"/>
  <c r="I34" i="4"/>
  <c r="J34" i="4" s="1"/>
  <c r="AG3" i="4" l="1"/>
  <c r="M3" i="4"/>
  <c r="N12" i="5" s="1"/>
  <c r="AB3" i="4"/>
  <c r="W3" i="4"/>
  <c r="R3" i="4"/>
  <c r="R4" i="4"/>
  <c r="M4" i="4"/>
  <c r="O12" i="5" s="1"/>
  <c r="AB4" i="4"/>
  <c r="W4" i="4"/>
  <c r="AG4" i="4"/>
  <c r="I4" i="4"/>
  <c r="J4" i="4" s="1"/>
  <c r="I3" i="4"/>
  <c r="J3" i="4" s="1"/>
  <c r="AL3" i="4"/>
  <c r="E3" i="4"/>
  <c r="F12" i="5" s="1"/>
  <c r="AL6" i="4"/>
  <c r="E6" i="4"/>
  <c r="I12" i="5" s="1"/>
  <c r="W5" i="4"/>
  <c r="AG5" i="4"/>
  <c r="R5" i="4"/>
  <c r="AB5" i="4"/>
  <c r="M5" i="4"/>
  <c r="P12" i="5" s="1"/>
  <c r="J5" i="4"/>
</calcChain>
</file>

<file path=xl/sharedStrings.xml><?xml version="1.0" encoding="utf-8"?>
<sst xmlns="http://schemas.openxmlformats.org/spreadsheetml/2006/main" count="7545" uniqueCount="757">
  <si>
    <t>Five Districts, Three Winners from Each</t>
  </si>
  <si>
    <t>4 + 5: East of the Mountains</t>
  </si>
  <si>
    <t>3 + 8: Southwest WA + I-90 Corridor</t>
  </si>
  <si>
    <t>6 + 10: South Sound and Peninsula</t>
  </si>
  <si>
    <t>7 + 9: Seattle and South King County</t>
  </si>
  <si>
    <t>1 + 2: North Puget Sound</t>
  </si>
  <si>
    <t>Note: This is not how I would draw the districts, but these combinations make the most for combining districts as they are currently drawn.</t>
  </si>
  <si>
    <t xml:space="preserve">WA Congressional Vote Share by Party in August Primary </t>
  </si>
  <si>
    <t>Democratic</t>
  </si>
  <si>
    <t>Republican</t>
  </si>
  <si>
    <t>Left-wing</t>
  </si>
  <si>
    <t>Independent</t>
  </si>
  <si>
    <t>Total Votes</t>
  </si>
  <si>
    <t>DSA-adjacent</t>
  </si>
  <si>
    <t>STATEWIDE</t>
  </si>
  <si>
    <t>WA-1                                    (Redmond to Marysville)</t>
  </si>
  <si>
    <t>WA-2                                           (Everett to Bellingham)</t>
  </si>
  <si>
    <t>WA-3                                     (Southwest WA)</t>
  </si>
  <si>
    <t>WA-4                                            (Central WA)</t>
  </si>
  <si>
    <t>WA-5                                         (Eastern WA)</t>
  </si>
  <si>
    <t>WA-6                                        (Tacoma to the Peninsula)</t>
  </si>
  <si>
    <t>WA-7                                         (Seattle)</t>
  </si>
  <si>
    <t>WA-8                                             (Sammamish to Wenatchee)</t>
  </si>
  <si>
    <t>WA-9                                              (Bellevue to Federal Way)</t>
  </si>
  <si>
    <t>WA-10                                       (Olympia to Puyallup)</t>
  </si>
  <si>
    <t>Source: https://www.sos.wa.gov/elections/data-research/election-data-and-maps/reports-data-and-statistics/voter-turnout-election</t>
  </si>
  <si>
    <t>Mid-Cycle Primary Turnout (WA Secretary of State)</t>
  </si>
  <si>
    <t>Candidate</t>
  </si>
  <si>
    <t>Party</t>
  </si>
  <si>
    <t>Vote Share</t>
  </si>
  <si>
    <t>43rd District  Senate, Seattle</t>
  </si>
  <si>
    <t>Jamie Pedersen</t>
  </si>
  <si>
    <t>Hannah Sabio-Howell</t>
  </si>
  <si>
    <t>37th District           Rep #1, Seattle</t>
  </si>
  <si>
    <t>Sharon Tomiko Santos</t>
  </si>
  <si>
    <t>Kelabe Tewolde</t>
  </si>
  <si>
    <t>6th District              Rep #1, Spokane</t>
  </si>
  <si>
    <t>Four Republicans</t>
  </si>
  <si>
    <t>Two Democrats</t>
  </si>
  <si>
    <t>6th District              Rep #2, Spokane</t>
  </si>
  <si>
    <t>Jonathan Bingle</t>
  </si>
  <si>
    <t>Julia Payne</t>
  </si>
  <si>
    <t>Aaron M. Croft</t>
  </si>
  <si>
    <t>14th District           Rep #2, Yakima</t>
  </si>
  <si>
    <t>Deb Manjarrez</t>
  </si>
  <si>
    <t>Tony G. Sandoval</t>
  </si>
  <si>
    <t>Ezequiel Morfin</t>
  </si>
  <si>
    <t>Race</t>
  </si>
  <si>
    <t>Total Votes Cast</t>
  </si>
  <si>
    <t>U.S. Representative - Congressional District 7</t>
  </si>
  <si>
    <t>AS OF AUGUST 13th</t>
  </si>
  <si>
    <t>U.S. Representative - Congressional District 3</t>
  </si>
  <si>
    <t>Votes Cast (LD Representative)</t>
  </si>
  <si>
    <t>Average votes per district</t>
  </si>
  <si>
    <t>U.S. Representative - Congressional District 6</t>
  </si>
  <si>
    <t>WA 1</t>
  </si>
  <si>
    <t>U.S. Representative - Congressional District 2</t>
  </si>
  <si>
    <t>WA 2</t>
  </si>
  <si>
    <t>U.S. Representative - Congressional District 8</t>
  </si>
  <si>
    <t>WA 3</t>
  </si>
  <si>
    <t>U.S. Representative - Congressional District 5</t>
  </si>
  <si>
    <t>WA 4</t>
  </si>
  <si>
    <t>U.S. Representative - Congressional District 1</t>
  </si>
  <si>
    <t>WA 5</t>
  </si>
  <si>
    <t>U.S. Representative - Congressional District 10</t>
  </si>
  <si>
    <t>WA 6</t>
  </si>
  <si>
    <t>U.S. Representative - Congressional District 4</t>
  </si>
  <si>
    <t>WA 7</t>
  </si>
  <si>
    <t>U.S. Representative - Congressional District 9</t>
  </si>
  <si>
    <t>WA 8</t>
  </si>
  <si>
    <t>State Senator - Legislative District 26</t>
  </si>
  <si>
    <t>WA 9</t>
  </si>
  <si>
    <t>State Representative Pos. 1 - Legislative District 26</t>
  </si>
  <si>
    <t>WA 10</t>
  </si>
  <si>
    <t>State Representative Pos. 2 - Legislative District 26</t>
  </si>
  <si>
    <t>LD 1</t>
  </si>
  <si>
    <t>State Senator - Legislative District 35</t>
  </si>
  <si>
    <t>LD 2</t>
  </si>
  <si>
    <t>State Representative Pos. 1 - Legislative District 35</t>
  </si>
  <si>
    <t>LD 3</t>
  </si>
  <si>
    <t>State Representative Pos. 2 - Legislative District 35</t>
  </si>
  <si>
    <t>LD 4</t>
  </si>
  <si>
    <t>State Senator - Legislative District 42</t>
  </si>
  <si>
    <t>LD 5</t>
  </si>
  <si>
    <t>State Representative Pos. 1 - Legislative District 42</t>
  </si>
  <si>
    <t>LD 6</t>
  </si>
  <si>
    <t>State Representative Pos. 2 - Legislative District 42</t>
  </si>
  <si>
    <t>LD 7</t>
  </si>
  <si>
    <t>State Senator - Legislative District 36</t>
  </si>
  <si>
    <t>LD 8</t>
  </si>
  <si>
    <t>State Representative Pos. 1 - Legislative District 36</t>
  </si>
  <si>
    <t>LD 9</t>
  </si>
  <si>
    <t>State Representative Pos. 2 - Legislative District 36</t>
  </si>
  <si>
    <t>LD 10</t>
  </si>
  <si>
    <t>State Representative Pos. 1 - Legislative District 10</t>
  </si>
  <si>
    <t>LD 11</t>
  </si>
  <si>
    <t>State Representative Pos. 2 - Legislative District 10</t>
  </si>
  <si>
    <t>LD 12</t>
  </si>
  <si>
    <t>State Representative Pos. 1 - Legislative District 20</t>
  </si>
  <si>
    <t>LD 13</t>
  </si>
  <si>
    <t>State Representative Pos. 2 - Legislative District 20</t>
  </si>
  <si>
    <t>LD 14</t>
  </si>
  <si>
    <t>State Representative Pos. 1 - Legislative District 23</t>
  </si>
  <si>
    <t>LD 15</t>
  </si>
  <si>
    <t>State Representative Pos. 2 - Legislative District 23</t>
  </si>
  <si>
    <t>LD 16</t>
  </si>
  <si>
    <t>State Representative Pos. 1 - Legislative District 40</t>
  </si>
  <si>
    <t>LD 17</t>
  </si>
  <si>
    <t>State Representative Pos. 2 - Legislative District 40</t>
  </si>
  <si>
    <t>LD 18</t>
  </si>
  <si>
    <t>State Representative Pos. 1 - Legislative District 17</t>
  </si>
  <si>
    <t>LD 19</t>
  </si>
  <si>
    <t>State Representative Pos. 2 - Legislative District 17</t>
  </si>
  <si>
    <t>LD 20</t>
  </si>
  <si>
    <t>State Representative Pos. 1 - Legislative District 22</t>
  </si>
  <si>
    <t>LD 21</t>
  </si>
  <si>
    <t>State Representative Pos. 2 - Legislative District 22</t>
  </si>
  <si>
    <t>LD 22</t>
  </si>
  <si>
    <t>State Senator - Legislative District 46</t>
  </si>
  <si>
    <t>LD 23</t>
  </si>
  <si>
    <t>State Representative Pos. 1 - Legislative District 46</t>
  </si>
  <si>
    <t>LD 24</t>
  </si>
  <si>
    <t>State Representative Pos. 2 - Legislative District 46</t>
  </si>
  <si>
    <t>LD 25</t>
  </si>
  <si>
    <t>State Representative Pos. 1 - Legislative District 12</t>
  </si>
  <si>
    <t>LD 26</t>
  </si>
  <si>
    <t>State Representative Pos. 2 - Legislative District 12</t>
  </si>
  <si>
    <t>LD 27</t>
  </si>
  <si>
    <t>State Representative Pos. 1 - Legislative District 18</t>
  </si>
  <si>
    <t>LD 28</t>
  </si>
  <si>
    <t>State Representative Pos. 2 - Legislative District 18</t>
  </si>
  <si>
    <t>LD 29</t>
  </si>
  <si>
    <t>State Representative Pos. 1 - Legislative District 19</t>
  </si>
  <si>
    <t>LD 30</t>
  </si>
  <si>
    <t>State Representative Pos. 2 - Legislative District 19</t>
  </si>
  <si>
    <t>LD 31</t>
  </si>
  <si>
    <t>State Senator - Legislative District 34</t>
  </si>
  <si>
    <t>LD 32</t>
  </si>
  <si>
    <t>State Representative Pos. 1 - Legislative District 34</t>
  </si>
  <si>
    <t>LD 33</t>
  </si>
  <si>
    <t>State Representative Pos. 2 - Legislative District 34</t>
  </si>
  <si>
    <t>LD 34</t>
  </si>
  <si>
    <t>State Senator - Legislative District 7</t>
  </si>
  <si>
    <t>LD 35</t>
  </si>
  <si>
    <t>State Representative Pos. 1 - Legislative District 7</t>
  </si>
  <si>
    <t>LD 36</t>
  </si>
  <si>
    <t>State Representative Pos. 2 - Legislative District 7</t>
  </si>
  <si>
    <t>LD 37</t>
  </si>
  <si>
    <t>State Representative Pos. 1 - Legislative District 4</t>
  </si>
  <si>
    <t>LD 38</t>
  </si>
  <si>
    <t>State Representative Pos. 2 - Legislative District 4</t>
  </si>
  <si>
    <t>LD 39</t>
  </si>
  <si>
    <t>State Representative Pos. 1 - Legislative District 9</t>
  </si>
  <si>
    <t>LD 40</t>
  </si>
  <si>
    <t>State Representative Pos. 2 - Legislative District 9</t>
  </si>
  <si>
    <t>LD 41</t>
  </si>
  <si>
    <t>State Representative Pos. 1 - Legislative District 3</t>
  </si>
  <si>
    <t>LD 42</t>
  </si>
  <si>
    <t>State Representative Pos. 2 - Legislative District 3</t>
  </si>
  <si>
    <t>LD 43</t>
  </si>
  <si>
    <t>State Representative Pos. 1 - Legislative District 5</t>
  </si>
  <si>
    <t>LD 44</t>
  </si>
  <si>
    <t>State Representative Pos. 2 - Legislative District 5</t>
  </si>
  <si>
    <t>LD 45</t>
  </si>
  <si>
    <t>State Senator - Legislative District 32</t>
  </si>
  <si>
    <t>LD 46</t>
  </si>
  <si>
    <t>State Representative Pos. 1 - Legislative District 32</t>
  </si>
  <si>
    <t>LD 47</t>
  </si>
  <si>
    <t>State Representative Pos. 2 - Legislative District 32</t>
  </si>
  <si>
    <t>LD 48</t>
  </si>
  <si>
    <t>State Senator - Legislative District 37</t>
  </si>
  <si>
    <t>LD 49</t>
  </si>
  <si>
    <t>State Representative Pos. 1 - Legislative District 37</t>
  </si>
  <si>
    <t>State Representative Pos. 2 - Legislative District 37</t>
  </si>
  <si>
    <t>State Representative Pos. 1 - Legislative District 1</t>
  </si>
  <si>
    <t>State Representative Pos. 2 - Legislative District 1</t>
  </si>
  <si>
    <t>State Representative Pos. 1 - Legislative District 24</t>
  </si>
  <si>
    <t>State Representative Pos. 2 - Legislative District 24</t>
  </si>
  <si>
    <t>State Senator - Legislative District 43</t>
  </si>
  <si>
    <t>State Representative Pos. 1 - Legislative District 43</t>
  </si>
  <si>
    <t>State Representative Pos. 2 - Legislative District 43</t>
  </si>
  <si>
    <t>State Senator - Legislative District 6</t>
  </si>
  <si>
    <t>State Representative Pos. 1 - Legislative District 6</t>
  </si>
  <si>
    <t>State Representative Pos. 2 - Legislative District 6</t>
  </si>
  <si>
    <t>State Senator - Legislative District 45</t>
  </si>
  <si>
    <t>State Representative Pos. 1 - Legislative District 45</t>
  </si>
  <si>
    <t>State Representative Pos. 2 - Legislative District 45</t>
  </si>
  <si>
    <t>State Representative Pos. 1 - Legislative District 41</t>
  </si>
  <si>
    <t>State Representative Pos. 2 - Legislative District 41</t>
  </si>
  <si>
    <t>State Representative Pos. 1 - Legislative District 39</t>
  </si>
  <si>
    <t>State Representative Pos. 2 - Legislative District 39</t>
  </si>
  <si>
    <t>State Senator - Legislative District 44</t>
  </si>
  <si>
    <t>State Representative Pos. 1 - Legislative District 44</t>
  </si>
  <si>
    <t>State Representative Pos. 2 - Legislative District 44</t>
  </si>
  <si>
    <t>State Representative Pos. 1 - Legislative District 27</t>
  </si>
  <si>
    <t>State Representative Pos. 2 - Legislative District 27</t>
  </si>
  <si>
    <t>State Senator - Legislative District 8</t>
  </si>
  <si>
    <t>State Representative Pos. 1 - Legislative District 8</t>
  </si>
  <si>
    <t>State Representative Pos. 2 - Legislative District 8</t>
  </si>
  <si>
    <t>State Senator - Legislative District 31</t>
  </si>
  <si>
    <t>State Representative Pos. 1 - Legislative District 31</t>
  </si>
  <si>
    <t>State Representative Pos. 2 - Legislative District 31</t>
  </si>
  <si>
    <t>State Representative Pos. 1 - Legislative District 49</t>
  </si>
  <si>
    <t>State Representative Pos. 2 - Legislative District 49</t>
  </si>
  <si>
    <t>State Senator - Legislative District 21</t>
  </si>
  <si>
    <t>State Representative Pos. 1 - Legislative District 21</t>
  </si>
  <si>
    <t>State Representative Pos. 2 - Legislative District 21</t>
  </si>
  <si>
    <t>State Senator - Legislative District 15</t>
  </si>
  <si>
    <t>State Representative Pos. 1 - Legislative District 15</t>
  </si>
  <si>
    <t>State Representative Pos. 2 - Legislative District 15</t>
  </si>
  <si>
    <t>State Representative Pos. 1 - Legislative District 2</t>
  </si>
  <si>
    <t>State Representative Pos. 2 - Legislative District 2</t>
  </si>
  <si>
    <t>State Senator - Legislative District 13</t>
  </si>
  <si>
    <t>State Representative Pos. 1 - Legislative District 13</t>
  </si>
  <si>
    <t>State Representative Pos. 2 - Legislative District 13</t>
  </si>
  <si>
    <t>State Senator - Legislative District 47</t>
  </si>
  <si>
    <t>State Representative Pos. 1 - Legislative District 47</t>
  </si>
  <si>
    <t>State Representative Pos. 2 - Legislative District 47</t>
  </si>
  <si>
    <t>State Representative Pos. 1 - Legislative District 25</t>
  </si>
  <si>
    <t>State Representative Pos. 2 - Legislative District 25</t>
  </si>
  <si>
    <t>State Senator - Legislative District 38</t>
  </si>
  <si>
    <t>State Representative Pos. 1 - Legislative District 38</t>
  </si>
  <si>
    <t>State Representative Pos. 2 - Legislative District 38</t>
  </si>
  <si>
    <t>State Senator - Legislative District 48</t>
  </si>
  <si>
    <t>State Representative Pos. 1 - Legislative District 48</t>
  </si>
  <si>
    <t>State Representative Pos. 2 - Legislative District 48</t>
  </si>
  <si>
    <t>State Representative Pos. 1 - Legislative District 11</t>
  </si>
  <si>
    <t>State Representative Pos. 2 - Legislative District 11</t>
  </si>
  <si>
    <t>State Senator - Legislative District 33</t>
  </si>
  <si>
    <t>State Representative Pos. 1 - Legislative District 33</t>
  </si>
  <si>
    <t>State Representative Pos. 2 - Legislative District 33</t>
  </si>
  <si>
    <t>State Representative Pos. 1 - Legislative District 28</t>
  </si>
  <si>
    <t>State Representative Pos. 2 - Legislative District 28</t>
  </si>
  <si>
    <t>State Senator - Legislative District 30</t>
  </si>
  <si>
    <t>State Representative Pos. 1 - Legislative District 30</t>
  </si>
  <si>
    <t>State Representative Pos. 2 - Legislative District 30</t>
  </si>
  <si>
    <t>State Representative Pos. 1 - Legislative District 16</t>
  </si>
  <si>
    <t>State Representative Pos. 2 - Legislative District 16</t>
  </si>
  <si>
    <t>State Senator - Legislative District 29</t>
  </si>
  <si>
    <t>State Representative Pos. 1 - Legislative District 29</t>
  </si>
  <si>
    <t>State Representative Pos. 2 - Legislative District 29</t>
  </si>
  <si>
    <t>State Representative Pos. 1 - Legislative District 14</t>
  </si>
  <si>
    <t>State Representative Pos. 2 - Legislative District 14</t>
  </si>
  <si>
    <t>Latest Vote Total (expected total 1.9M ballots)</t>
  </si>
  <si>
    <t>Latest Vote Share</t>
  </si>
  <si>
    <t>Day1_Votes_Aug4</t>
  </si>
  <si>
    <t>Day1_VoteShare_Pct</t>
  </si>
  <si>
    <t>Change from Day 1 Count</t>
  </si>
  <si>
    <t>Share of Post Day 1 Votes Counted</t>
  </si>
  <si>
    <t>Change from Day 1 Share</t>
  </si>
  <si>
    <t>Day2_CumulVotes</t>
  </si>
  <si>
    <t>Day2_CumulVoteShare_Pct</t>
  </si>
  <si>
    <t>Day2_ShareChange</t>
  </si>
  <si>
    <t>Day2_VoteChange</t>
  </si>
  <si>
    <t>Day2_VoteShare_Pct</t>
  </si>
  <si>
    <t>Day3_CumulVotes</t>
  </si>
  <si>
    <t>Day3_CumulVoteShare_Pct</t>
  </si>
  <si>
    <t>Day3_ShareChange</t>
  </si>
  <si>
    <t>Day3_VoteChange</t>
  </si>
  <si>
    <t>Day3_VoteShare_Pct</t>
  </si>
  <si>
    <t>Day4_CumulVotes</t>
  </si>
  <si>
    <t>Day4_CumulVoteShare_Pct</t>
  </si>
  <si>
    <t>Day4_ShareChange</t>
  </si>
  <si>
    <t>Day4_VoteChange</t>
  </si>
  <si>
    <t>Day4_VoteShare_Pct</t>
  </si>
  <si>
    <t>Day5_CumulVotes</t>
  </si>
  <si>
    <t>Day5_CumulVoteShare_Pct</t>
  </si>
  <si>
    <t>Day5_TotalChange</t>
  </si>
  <si>
    <t>Day5_VoteChange</t>
  </si>
  <si>
    <t>Day5_VoteShare_Pct</t>
  </si>
  <si>
    <t>Day6_CumulVotes</t>
  </si>
  <si>
    <t>Day6_CumulVoteShare_Pct</t>
  </si>
  <si>
    <t>Day6_TotalChange</t>
  </si>
  <si>
    <t>Day6_VoteChange</t>
  </si>
  <si>
    <t>Day6_VoteShare_Pct</t>
  </si>
  <si>
    <t>Final_CumulVotes</t>
  </si>
  <si>
    <t>Final_CumulVoteShare_Pct</t>
  </si>
  <si>
    <t>Final_TotalChange</t>
  </si>
  <si>
    <t>Final_VoteChange</t>
  </si>
  <si>
    <t>Final_VoteShare_Pct</t>
  </si>
  <si>
    <t>Total</t>
  </si>
  <si>
    <t>Total Ballots</t>
  </si>
  <si>
    <t>DSA</t>
  </si>
  <si>
    <t>Average Ballots per district</t>
  </si>
  <si>
    <t>District 1 - Redmond to Marysville</t>
  </si>
  <si>
    <t>District 2 - Everett to Bellingham</t>
  </si>
  <si>
    <t>District 3 - Southwest WA</t>
  </si>
  <si>
    <t>District 4 - Central WA</t>
  </si>
  <si>
    <t>District 5 - Eastern WA</t>
  </si>
  <si>
    <t>District 6 - Tacoma + Peninsula</t>
  </si>
  <si>
    <t>District 7 - Seattle</t>
  </si>
  <si>
    <t>District 8 - Over the Mountains</t>
  </si>
  <si>
    <t>District 9 - South Seattle, Renton, Auburn</t>
  </si>
  <si>
    <t>District 10 - Olympia, Lakewood, Puyallup</t>
  </si>
  <si>
    <t>Key Races</t>
  </si>
  <si>
    <t>Party Code</t>
  </si>
  <si>
    <t>Day 1 Votes Share of Total Votes</t>
  </si>
  <si>
    <t>Congress 1st</t>
  </si>
  <si>
    <t>TOTAL VOTES</t>
  </si>
  <si>
    <t>Benjamin Kincaid</t>
  </si>
  <si>
    <t>Suzan DelBene</t>
  </si>
  <si>
    <t>Bryce Nickel</t>
  </si>
  <si>
    <t>James Etzkorn</t>
  </si>
  <si>
    <t>Hunter Gordon</t>
  </si>
  <si>
    <t>Mary Silva</t>
  </si>
  <si>
    <t>Catherine Hildebrand</t>
  </si>
  <si>
    <t>Congress 2nd</t>
  </si>
  <si>
    <t>Edwin H. Feller</t>
  </si>
  <si>
    <t>Tomas Scheel</t>
  </si>
  <si>
    <t>Devin Hermanson</t>
  </si>
  <si>
    <t>Rick Larsen</t>
  </si>
  <si>
    <t>Congress 3rd</t>
  </si>
  <si>
    <t>Marie Gluesenkamp Perez</t>
  </si>
  <si>
    <t>Brent Hennrich</t>
  </si>
  <si>
    <t>John P. Roco</t>
  </si>
  <si>
    <t>John Saulie-Rohman</t>
  </si>
  <si>
    <t>Troy Rasband</t>
  </si>
  <si>
    <t>John Braun</t>
  </si>
  <si>
    <t>Antony Barran</t>
  </si>
  <si>
    <t>Austin Braswell</t>
  </si>
  <si>
    <t>Lawrence Kellogg</t>
  </si>
  <si>
    <t>Congress 4th</t>
  </si>
  <si>
    <t>Jacek "Jack" Kobiesa</t>
  </si>
  <si>
    <t>Amanda McKinney</t>
  </si>
  <si>
    <t>John Duresky</t>
  </si>
  <si>
    <t>John C. Hughs</t>
  </si>
  <si>
    <t>Favian Valencia</t>
  </si>
  <si>
    <t>Jerrod Sessler</t>
  </si>
  <si>
    <t>Devin Poore</t>
  </si>
  <si>
    <t>Ken Vaz</t>
  </si>
  <si>
    <t>Zac Rossi</t>
  </si>
  <si>
    <t>Elpidia Saavedra</t>
  </si>
  <si>
    <t>Matt Boehnke</t>
  </si>
  <si>
    <t>Congress 5th</t>
  </si>
  <si>
    <t>Nate Powell</t>
  </si>
  <si>
    <t>Carmela Conroy</t>
  </si>
  <si>
    <t>Matthew Hayes</t>
  </si>
  <si>
    <t>Bajun R. Mavalwalla</t>
  </si>
  <si>
    <t>Michael McGarr</t>
  </si>
  <si>
    <t>Kevin Fagan</t>
  </si>
  <si>
    <t>Michael Baumgartner</t>
  </si>
  <si>
    <t>Kyle Usrey</t>
  </si>
  <si>
    <t>Andrew Bartleson</t>
  </si>
  <si>
    <t>Ann Marie Danimus</t>
  </si>
  <si>
    <t>Richard Freudenberg</t>
  </si>
  <si>
    <t>David Womack</t>
  </si>
  <si>
    <t>Congress 6th</t>
  </si>
  <si>
    <t>Emily Randall</t>
  </si>
  <si>
    <t>Brian P. O'Gorman</t>
  </si>
  <si>
    <t>Teresa Fox</t>
  </si>
  <si>
    <t>Macy Jones</t>
  </si>
  <si>
    <t>Leon Lawson</t>
  </si>
  <si>
    <t>Congress 7th</t>
  </si>
  <si>
    <t>David W. Blomstrom</t>
  </si>
  <si>
    <t>Pramila Jayapal</t>
  </si>
  <si>
    <t>Nirav Sheth</t>
  </si>
  <si>
    <t>Gwen Kirkland</t>
  </si>
  <si>
    <t>Congress 8th</t>
  </si>
  <si>
    <t>Kim Schrier</t>
  </si>
  <si>
    <t>Trinh Ha</t>
  </si>
  <si>
    <t>Spencer Meline</t>
  </si>
  <si>
    <t>Keith Arnold</t>
  </si>
  <si>
    <t>Andres Valleza</t>
  </si>
  <si>
    <t>Bob Hagglund</t>
  </si>
  <si>
    <t>Congress 9th</t>
  </si>
  <si>
    <t>Jacob Perasso</t>
  </si>
  <si>
    <t>Kshama Sawant</t>
  </si>
  <si>
    <t>Melissa Chaudhry</t>
  </si>
  <si>
    <t>Doug Basler</t>
  </si>
  <si>
    <t>Adam Smith</t>
  </si>
  <si>
    <t>Congress 10th</t>
  </si>
  <si>
    <t>Adam Arafat</t>
  </si>
  <si>
    <t>Marilyn Strickland</t>
  </si>
  <si>
    <t>Kurtis Engle</t>
  </si>
  <si>
    <t>Alex Scheel</t>
  </si>
  <si>
    <t>Derek Maynes</t>
  </si>
  <si>
    <t>Chris D. Chung</t>
  </si>
  <si>
    <t>District 6 - Rep 1</t>
  </si>
  <si>
    <t>Sueann Davis</t>
  </si>
  <si>
    <t>Isaiah Paine</t>
  </si>
  <si>
    <t>Michaela Kelso</t>
  </si>
  <si>
    <t>Jennifer Morton</t>
  </si>
  <si>
    <t>Nicolette Ocheltree</t>
  </si>
  <si>
    <t>Alan Nolan</t>
  </si>
  <si>
    <t>District 6 - Rep 2</t>
  </si>
  <si>
    <t>District 14 - Rep 2</t>
  </si>
  <si>
    <t>Tony G Sandoval</t>
  </si>
  <si>
    <t>District 37 - Rep 1</t>
  </si>
  <si>
    <t>District 43 - Senate</t>
  </si>
  <si>
    <t>Heather-Marie Wilson</t>
  </si>
  <si>
    <t>District 46 - Rep 1</t>
  </si>
  <si>
    <t>Gerry Pollet</t>
  </si>
  <si>
    <t>Will Dreher</t>
  </si>
  <si>
    <t>Ron Davis</t>
  </si>
  <si>
    <t>District 47 - Rep 1</t>
  </si>
  <si>
    <t>Debra Jean Entenman</t>
  </si>
  <si>
    <t>Cobi Clark (Libertarian)</t>
  </si>
  <si>
    <t>Jasnoor Kaur Hans</t>
  </si>
  <si>
    <t>Logan Evans</t>
  </si>
  <si>
    <t>(Prefers Democratic Party)</t>
  </si>
  <si>
    <t>(Prefers Independent Party)</t>
  </si>
  <si>
    <t>(Prefers Republican Party)</t>
  </si>
  <si>
    <t>Write-In</t>
  </si>
  <si>
    <t>(Prefers Cascade Party)</t>
  </si>
  <si>
    <t>Write-in</t>
  </si>
  <si>
    <t>(States No Party Preference)</t>
  </si>
  <si>
    <t>(Prefers Trump Republican Party)</t>
  </si>
  <si>
    <t>(Prefers Fifth Republic Party)</t>
  </si>
  <si>
    <t>(Prefers Socialist Workers Party)</t>
  </si>
  <si>
    <t>(Prefers Union Party)</t>
  </si>
  <si>
    <t>Jeff Holy</t>
  </si>
  <si>
    <t>Shelly Short</t>
  </si>
  <si>
    <t>Ronald L McCoy</t>
  </si>
  <si>
    <t>Brandon Ray Medina</t>
  </si>
  <si>
    <t>David Swoap</t>
  </si>
  <si>
    <t>Gabe Galbraith</t>
  </si>
  <si>
    <t>Nikki Torres</t>
  </si>
  <si>
    <t>Alex Ybarra</t>
  </si>
  <si>
    <t>Jeremie Dufault</t>
  </si>
  <si>
    <t>Marko Liias</t>
  </si>
  <si>
    <t>Riaz Khan</t>
  </si>
  <si>
    <t>Deborah Krishnadasan</t>
  </si>
  <si>
    <t>Gary Parker</t>
  </si>
  <si>
    <t>Sharlett Mena</t>
  </si>
  <si>
    <t>David Anderson</t>
  </si>
  <si>
    <t>Claire Wilson</t>
  </si>
  <si>
    <t>Michael Rutland</t>
  </si>
  <si>
    <t>Tamara Stramel</t>
  </si>
  <si>
    <t>Phil Fortunato</t>
  </si>
  <si>
    <t>Cindy Ryu</t>
  </si>
  <si>
    <t>Ira McBee</t>
  </si>
  <si>
    <t>Jesse Salomon</t>
  </si>
  <si>
    <t>Tina L. Orwall</t>
  </si>
  <si>
    <t>Emily Alvarado</t>
  </si>
  <si>
    <t>Carolina Mejia</t>
  </si>
  <si>
    <t>Drew C MacEwen</t>
  </si>
  <si>
    <t>Noel C. Frame</t>
  </si>
  <si>
    <t>Jillian England</t>
  </si>
  <si>
    <t>Chipalo Street</t>
  </si>
  <si>
    <t>Tatiana Brown</t>
  </si>
  <si>
    <t>June Robinson</t>
  </si>
  <si>
    <t>Brad Bender</t>
  </si>
  <si>
    <t>Michael Alvarez Shepard</t>
  </si>
  <si>
    <t>Eamonn Collins</t>
  </si>
  <si>
    <t>Ryan Bowman</t>
  </si>
  <si>
    <t>Erika Creydt</t>
  </si>
  <si>
    <t>Sherri Larkin</t>
  </si>
  <si>
    <t>John Lovick</t>
  </si>
  <si>
    <t>Manka Dhingra</t>
  </si>
  <si>
    <t>Javier Valdez</t>
  </si>
  <si>
    <t>Sandra Stephens</t>
  </si>
  <si>
    <t>Claudia Kauffman</t>
  </si>
  <si>
    <t>Kristina Soltys</t>
  </si>
  <si>
    <t>Vandana Slatter</t>
  </si>
  <si>
    <t>Davina Duerr</t>
  </si>
  <si>
    <t>Maggie Wang</t>
  </si>
  <si>
    <t>Jeff Lyon</t>
  </si>
  <si>
    <t>(Prefers Libertarian Party)</t>
  </si>
  <si>
    <t>Shelley Kloba</t>
  </si>
  <si>
    <t>Cliff Moon</t>
  </si>
  <si>
    <t>Jenne Alderks</t>
  </si>
  <si>
    <t>William Dehnel</t>
  </si>
  <si>
    <t>(Prefers Labor Democrat Party)</t>
  </si>
  <si>
    <t>Andrew Barkis</t>
  </si>
  <si>
    <t>Angela Taylor</t>
  </si>
  <si>
    <t>Martin L Miller</t>
  </si>
  <si>
    <t>Matt Marshall</t>
  </si>
  <si>
    <t>Natasha Hill</t>
  </si>
  <si>
    <t>(Prefers Democrat Party)</t>
  </si>
  <si>
    <t>John Kness</t>
  </si>
  <si>
    <t>Tony Kiepe</t>
  </si>
  <si>
    <t>Natalie Poulson</t>
  </si>
  <si>
    <t>Pam Kohlmeier</t>
  </si>
  <si>
    <t>Luc Jasmin III</t>
  </si>
  <si>
    <t>Donovan Arnold DeLeon</t>
  </si>
  <si>
    <t>Trent Maier</t>
  </si>
  <si>
    <t>Hillary Q. Pham</t>
  </si>
  <si>
    <t>Debra Long</t>
  </si>
  <si>
    <t>George Wagner</t>
  </si>
  <si>
    <t>Rob Chase</t>
  </si>
  <si>
    <t>Bob Curtis</t>
  </si>
  <si>
    <t>Rob Tupper</t>
  </si>
  <si>
    <t>Topher Leritz</t>
  </si>
  <si>
    <t>Zach Hall</t>
  </si>
  <si>
    <t>Aimee Warmerdam</t>
  </si>
  <si>
    <t>Michelle Bennett</t>
  </si>
  <si>
    <t>Patrick Peacock</t>
  </si>
  <si>
    <t>Lisa Callan</t>
  </si>
  <si>
    <t>Andrew Engell</t>
  </si>
  <si>
    <t>Hunter Abell</t>
  </si>
  <si>
    <t>Stephanie Barnard</t>
  </si>
  <si>
    <t>April Connors</t>
  </si>
  <si>
    <t>Mary Dye</t>
  </si>
  <si>
    <t>Joe Schmick</t>
  </si>
  <si>
    <t>Karina Wallace</t>
  </si>
  <si>
    <t>Clyde Shavers</t>
  </si>
  <si>
    <t>Robert (Chili) Hicks</t>
  </si>
  <si>
    <t>Carrie R. Kennedy</t>
  </si>
  <si>
    <t>Dave Paul</t>
  </si>
  <si>
    <t>Tim Hazelo</t>
  </si>
  <si>
    <t>Ashley Fedan</t>
  </si>
  <si>
    <t>Christian Rombough</t>
  </si>
  <si>
    <t>David Hackney</t>
  </si>
  <si>
    <t>Steve Bergquist</t>
  </si>
  <si>
    <t>Brian Burnett</t>
  </si>
  <si>
    <t>Stacy Willoughby</t>
  </si>
  <si>
    <t>Mike Steele</t>
  </si>
  <si>
    <t>Adam James</t>
  </si>
  <si>
    <t>Maggie Adams</t>
  </si>
  <si>
    <t>Tom Dent</t>
  </si>
  <si>
    <t>Juan "Jerry" Garcia</t>
  </si>
  <si>
    <t>Deanna Martinez</t>
  </si>
  <si>
    <t>Joshua Thompson</t>
  </si>
  <si>
    <t>Don Myers</t>
  </si>
  <si>
    <t>Chelsea Dimas</t>
  </si>
  <si>
    <t>William Chichenoff</t>
  </si>
  <si>
    <t>Gloria Mendoza</t>
  </si>
  <si>
    <t>Chris Corry</t>
  </si>
  <si>
    <t>Jack McEntire</t>
  </si>
  <si>
    <t>Reedy Berg</t>
  </si>
  <si>
    <t>Chase Foster</t>
  </si>
  <si>
    <t>Liz Hallock</t>
  </si>
  <si>
    <t>(Prefers No Kings Party)</t>
  </si>
  <si>
    <t>Mark Klicker</t>
  </si>
  <si>
    <t>Kyle Palmer</t>
  </si>
  <si>
    <t>Skyler Rude</t>
  </si>
  <si>
    <t>Derek Sarley</t>
  </si>
  <si>
    <t>Kevin Waters</t>
  </si>
  <si>
    <t>Thomas Everett Haynes</t>
  </si>
  <si>
    <t>(Prefers Pro Gun Liberal Party)</t>
  </si>
  <si>
    <t>Ben Christly</t>
  </si>
  <si>
    <t>Diana H. Perez</t>
  </si>
  <si>
    <t>David Stuebe</t>
  </si>
  <si>
    <t>Stephanie McClintock</t>
  </si>
  <si>
    <t>Randi L. Knott</t>
  </si>
  <si>
    <t>John Ley</t>
  </si>
  <si>
    <t>Deken Letinich</t>
  </si>
  <si>
    <t>Jim Walsh</t>
  </si>
  <si>
    <t>Kevin Moynihan</t>
  </si>
  <si>
    <t>Daniel William Bradley</t>
  </si>
  <si>
    <t>Jimi O'Hagan</t>
  </si>
  <si>
    <t>Terry Carlson</t>
  </si>
  <si>
    <t>Joel McEntire</t>
  </si>
  <si>
    <t>Peter Abbarno</t>
  </si>
  <si>
    <t>Andy Zahn</t>
  </si>
  <si>
    <t>Evan Jones</t>
  </si>
  <si>
    <t>Ed Orcutt</t>
  </si>
  <si>
    <t>Jason Moon</t>
  </si>
  <si>
    <t>Strom Peterson</t>
  </si>
  <si>
    <t>Lillian Ortiz-Self</t>
  </si>
  <si>
    <t>Bruce Guthrie</t>
  </si>
  <si>
    <t>Beth Doglio</t>
  </si>
  <si>
    <t>Don Hewett</t>
  </si>
  <si>
    <t>Lisa Parshley</t>
  </si>
  <si>
    <t>Jamie Keenan-deVargas</t>
  </si>
  <si>
    <t>Daria Ilgen</t>
  </si>
  <si>
    <t>Tarra Simmons</t>
  </si>
  <si>
    <t>Greg Nance</t>
  </si>
  <si>
    <t>Lance Byrd</t>
  </si>
  <si>
    <t>Kristin Lillegard</t>
  </si>
  <si>
    <t>Eric W. Pratt</t>
  </si>
  <si>
    <t>Ted Bowen</t>
  </si>
  <si>
    <t>Adam Bernbaum</t>
  </si>
  <si>
    <t>Aiden I.R. Hamilton</t>
  </si>
  <si>
    <t>Bradley Nemo Callaway</t>
  </si>
  <si>
    <t>Patrick DePoe</t>
  </si>
  <si>
    <t>Kaylee Kuehn</t>
  </si>
  <si>
    <t>Mark Hodgson</t>
  </si>
  <si>
    <t>Marcia Kelbon</t>
  </si>
  <si>
    <t>David Berg</t>
  </si>
  <si>
    <t>Nick Oloo</t>
  </si>
  <si>
    <t>Michael Keaton</t>
  </si>
  <si>
    <t>Jenn Marie Strickling</t>
  </si>
  <si>
    <t>Ren Fanony</t>
  </si>
  <si>
    <t>Cyndy Jacobsen</t>
  </si>
  <si>
    <t>David Olson</t>
  </si>
  <si>
    <t>Natalie Bornfleth</t>
  </si>
  <si>
    <t>Adison Richards</t>
  </si>
  <si>
    <t>Randy Phillips</t>
  </si>
  <si>
    <t>Tedd Wetherbee</t>
  </si>
  <si>
    <t>Renee Hernandez Greenfield</t>
  </si>
  <si>
    <t>Katy Cornell</t>
  </si>
  <si>
    <t>Laurie Jinkins</t>
  </si>
  <si>
    <t>Carole Sue Braaten</t>
  </si>
  <si>
    <t>Jake Fey</t>
  </si>
  <si>
    <t>Mari Leavitt</t>
  </si>
  <si>
    <t>Kathy Richardson</t>
  </si>
  <si>
    <t>Dan Bronoske</t>
  </si>
  <si>
    <t>Melanie Morgan</t>
  </si>
  <si>
    <t>Krista Perez</t>
  </si>
  <si>
    <t>Darek Blum</t>
  </si>
  <si>
    <t>Patrick Stickney</t>
  </si>
  <si>
    <t>Erin Chapman-Smith</t>
  </si>
  <si>
    <t>Natasha Laitila</t>
  </si>
  <si>
    <t>Sheri Hayes</t>
  </si>
  <si>
    <t>Joe Bushnell</t>
  </si>
  <si>
    <t>Jamila E. Taylor</t>
  </si>
  <si>
    <t>Tiffany Bowyer</t>
  </si>
  <si>
    <t>Kristine Reeves</t>
  </si>
  <si>
    <t>Paul McDaniel</t>
  </si>
  <si>
    <t>Drew Stokesbary</t>
  </si>
  <si>
    <t>Stephen Szczurko-Walton</t>
  </si>
  <si>
    <t>John Bielka</t>
  </si>
  <si>
    <t>Joshua Penner</t>
  </si>
  <si>
    <t>Jenna Nand</t>
  </si>
  <si>
    <t>Will Chen</t>
  </si>
  <si>
    <t>Keith Scully</t>
  </si>
  <si>
    <t>Danica Noble</t>
  </si>
  <si>
    <t>Lisa Rezac</t>
  </si>
  <si>
    <t>Chris Bloomquist</t>
  </si>
  <si>
    <t>Lauren Davis</t>
  </si>
  <si>
    <t>Imraan Siddiqi</t>
  </si>
  <si>
    <t>Edwin Obras</t>
  </si>
  <si>
    <t>Darryl K. Jones</t>
  </si>
  <si>
    <t>Chris Martinez</t>
  </si>
  <si>
    <t>Mia Su-Ling Gregerson</t>
  </si>
  <si>
    <t>Yuri Marinchik</t>
  </si>
  <si>
    <t>Alex Andrade</t>
  </si>
  <si>
    <t>Brianna K. Thomas</t>
  </si>
  <si>
    <t>Joe Fitzgibbon</t>
  </si>
  <si>
    <t>Mary Anito</t>
  </si>
  <si>
    <t>Dan Griffey</t>
  </si>
  <si>
    <t>Shaena Garberich</t>
  </si>
  <si>
    <t>Jim Pierson</t>
  </si>
  <si>
    <t>Travis Couture</t>
  </si>
  <si>
    <t>Maria Littlesun</t>
  </si>
  <si>
    <t>Julia Grant Reed</t>
  </si>
  <si>
    <t>Liz Berry</t>
  </si>
  <si>
    <t>Jaelynn Scott</t>
  </si>
  <si>
    <t>Evon McCorkle</t>
  </si>
  <si>
    <t>Julio Cortes</t>
  </si>
  <si>
    <t>Thomas (Jeff) Kelly</t>
  </si>
  <si>
    <t>Annie Fitzgerald</t>
  </si>
  <si>
    <t>Mary Fosse</t>
  </si>
  <si>
    <t>Sam Low</t>
  </si>
  <si>
    <t>Kathryn Lewandowsky</t>
  </si>
  <si>
    <t>Dusty Wisniew</t>
  </si>
  <si>
    <t>Robert J Sutherland</t>
  </si>
  <si>
    <t>Ida Keeley</t>
  </si>
  <si>
    <t>Lacey Sauvageau</t>
  </si>
  <si>
    <t>Steve Ewing</t>
  </si>
  <si>
    <t>Debra Lekanoff</t>
  </si>
  <si>
    <t>Cindy Carter</t>
  </si>
  <si>
    <t>Salomon Rodrigue Mbouombouo</t>
  </si>
  <si>
    <t>Alex Ramel</t>
  </si>
  <si>
    <t>Joseph Segault</t>
  </si>
  <si>
    <t>Monte Jay Mahan</t>
  </si>
  <si>
    <t>Janice Zahn</t>
  </si>
  <si>
    <t>Elle Nguyen</t>
  </si>
  <si>
    <t>Alex Tsimerman</t>
  </si>
  <si>
    <t>(Prefers StandUp America Party)</t>
  </si>
  <si>
    <t>Michael Rosen</t>
  </si>
  <si>
    <t>My-Linh T Thai</t>
  </si>
  <si>
    <t>Alicia Rule</t>
  </si>
  <si>
    <t>Misty Flowers</t>
  </si>
  <si>
    <t>Joe Timmons</t>
  </si>
  <si>
    <t>Justin Pike</t>
  </si>
  <si>
    <t>Nicole Macri</t>
  </si>
  <si>
    <t>Alby Clendennin</t>
  </si>
  <si>
    <t>Shaun Scott</t>
  </si>
  <si>
    <t>Chris Elder</t>
  </si>
  <si>
    <t>Brandy Donaghy</t>
  </si>
  <si>
    <t>Tonya Stadlman</t>
  </si>
  <si>
    <t>April Berg</t>
  </si>
  <si>
    <t>JoAnn Tolentino</t>
  </si>
  <si>
    <t>Roger Goodman</t>
  </si>
  <si>
    <t>Vanessa Kritzer</t>
  </si>
  <si>
    <t>John P Gibbons</t>
  </si>
  <si>
    <t>Chandler Torbett</t>
  </si>
  <si>
    <t>Darya Farivar</t>
  </si>
  <si>
    <t>Rodney 'Star' Thornley</t>
  </si>
  <si>
    <t>Cobi Clark</t>
  </si>
  <si>
    <t>(Prefers Cascade Democrat Party)</t>
  </si>
  <si>
    <t>Chris Stearns</t>
  </si>
  <si>
    <t>Ted Cooke</t>
  </si>
  <si>
    <t>Osman Salahuddin</t>
  </si>
  <si>
    <t>Jeffery Poppe</t>
  </si>
  <si>
    <t>Jessica Forsythe</t>
  </si>
  <si>
    <t>Amy Walen</t>
  </si>
  <si>
    <t>Kim D. Harless</t>
  </si>
  <si>
    <t>Sarah Mittelman</t>
  </si>
  <si>
    <t>Mike Pond</t>
  </si>
  <si>
    <t>Monica Jurado Stonier</t>
  </si>
  <si>
    <t>Derek Thompson</t>
  </si>
  <si>
    <t>Number of Candidates w/ majority:</t>
  </si>
  <si>
    <t>Congress</t>
  </si>
  <si>
    <t>State Senator (24 races)</t>
  </si>
  <si>
    <t>State Representative (98 races)</t>
  </si>
  <si>
    <t>State Senate - Democrats</t>
  </si>
  <si>
    <t>State Senate - Republicans</t>
  </si>
  <si>
    <t>State Reps - Democrats</t>
  </si>
  <si>
    <t>State Reps - Republicans</t>
  </si>
  <si>
    <t>Legislative races w/o majority candidate</t>
  </si>
  <si>
    <t>Dems %</t>
  </si>
  <si>
    <t>LD 48 Rep 2 - two dems only</t>
  </si>
  <si>
    <t>Contest ID</t>
  </si>
  <si>
    <t>Day2_TotalChange</t>
  </si>
  <si>
    <t>Day3_TotalChange</t>
  </si>
  <si>
    <t>Day4_TotalChange</t>
  </si>
  <si>
    <t>Ballots Cast</t>
  </si>
  <si>
    <t/>
  </si>
  <si>
    <t>Over Votes</t>
  </si>
  <si>
    <t>Under Votes</t>
  </si>
  <si>
    <t>SpokaneLD3P1</t>
  </si>
  <si>
    <t>SpokaneLD3P2</t>
  </si>
  <si>
    <t>SpokaneLD4P1</t>
  </si>
  <si>
    <t>SpokaneLD4P2</t>
  </si>
  <si>
    <t>KingCo_StateRepresentativePos1LegislativeDistrict5</t>
  </si>
  <si>
    <t>KingCo_StateRepresentativePos2LegislativeDistrict5</t>
  </si>
  <si>
    <t>SpokaneLD6Sen</t>
  </si>
  <si>
    <t>SpokaneLD6P1</t>
  </si>
  <si>
    <t>SpokaneLD6P2</t>
  </si>
  <si>
    <t>KingCo_StateRepresentativePos1LegislativeDistrict11</t>
  </si>
  <si>
    <t>KingCo_StateRepresentativePos2LegislativeDistrict11</t>
  </si>
  <si>
    <t>KingCo_StateSenatorLegislativeDistrict30</t>
  </si>
  <si>
    <t>KingCo_StateRepresentativePos1LegislativeDistrict30</t>
  </si>
  <si>
    <t>KingCo_StateRepresentativePos2LegislativeDistrict30</t>
  </si>
  <si>
    <t>KingCo_StateSenatorLegislativeDistrict33</t>
  </si>
  <si>
    <t>KingCo_StateRepresentativePos1LegislativeDistrict33</t>
  </si>
  <si>
    <t>KingCo_StateRepresentativePos2LegislativeDistrict33</t>
  </si>
  <si>
    <t>KingCo_StateSenatorLegislativeDistrict34</t>
  </si>
  <si>
    <t>KingCo_StateRepresentativePos1LegislativeDistrict34</t>
  </si>
  <si>
    <t>KingCo_StateRepresentativePos2LegislativeDistrict34</t>
  </si>
  <si>
    <t>KingCo_StateSenatorLegislativeDistrict36</t>
  </si>
  <si>
    <t>KingCo_StateRepresentativePos1LegislativeDistrict36</t>
  </si>
  <si>
    <t>KingCo_StateRepresentativePos2LegislativeDistrict36</t>
  </si>
  <si>
    <t>KingCo_StateSenatorLegislativeDistrict37</t>
  </si>
  <si>
    <t>KingCo_StateRepresentativePos1LegislativeDistrict37</t>
  </si>
  <si>
    <t>KingCo_StateRepresentativePos2LegislativeDistrict37</t>
  </si>
  <si>
    <t>KingCo_StateRepresentativePos1LegislativeDistrict41</t>
  </si>
  <si>
    <t>KingCo_StateRepresentativePos2LegislativeDistrict41</t>
  </si>
  <si>
    <t>KingCo_StateSenatorLegislativeDistrict43</t>
  </si>
  <si>
    <t>KingCo_StateRepresentativePos1LegislativeDistrict43</t>
  </si>
  <si>
    <t>KingCo_StateRepresentativePos2LegislativeDistrict43</t>
  </si>
  <si>
    <t>KingCo_StateSenatorLegislativeDistrict45</t>
  </si>
  <si>
    <t>KingCo_StateRepresentativePos1LegislativeDistrict45</t>
  </si>
  <si>
    <t>KingCo_StateRepresentativePos2LegislativeDistrict45</t>
  </si>
  <si>
    <t>KingCo_StateSenatorLegislativeDistrict46</t>
  </si>
  <si>
    <t>KingCo_StateRepresentativePos1LegislativeDistrict46</t>
  </si>
  <si>
    <t>KingCo_StateRepresentativePos2LegislativeDistrict46</t>
  </si>
  <si>
    <t>KingCo_StateSenatorLegislativeDistrict47</t>
  </si>
  <si>
    <t>KingCo_StateRepresentativePos1LegislativeDistrict47</t>
  </si>
  <si>
    <t>KingCo_StateRepresentativePos2LegislativeDistrict47</t>
  </si>
  <si>
    <t>KingCo_StateSenatorLegislativeDistrict48</t>
  </si>
  <si>
    <t>KingCo_StateRepresentativePos1LegislativeDistrict48</t>
  </si>
  <si>
    <t>KingCo_StateRepresentativePos2LegislativeDistrict48</t>
  </si>
  <si>
    <t>Secretary of state ballot return statistics</t>
  </si>
  <si>
    <t>https://www.sos.wa.gov/elections/data-research/election-data-and-maps/ballot-return-statistics</t>
  </si>
  <si>
    <t>Statewide results</t>
  </si>
  <si>
    <t>https://results.votewa.gov/results/public/washington/elections/20260804?_gl=1*msi49a*_ga*MjA0ODM1ODQ1NC4xNzc5MjI5MjUz*_ga_7B08VE04WV*czE3ODYxMTg3ODckbzEwJGcxJHQxNzg2MTE5MDk2JGoxMCRsMCRoMA..*_ga_X6SDF160YQ*czE3ODYxMTg3ODckbzEwJGcxJHQxNzg2MTE5MDk2JGoxMCRsMCRoMA..</t>
  </si>
  <si>
    <t>King county results</t>
  </si>
  <si>
    <t>https://kingcounty.gov/en/dept/elections/results/2026/august-primary-election</t>
  </si>
  <si>
    <t>Spokane county results</t>
  </si>
  <si>
    <t>https://cp.spokanecounty.org/elections/results.aspx</t>
  </si>
  <si>
    <t>Census reporter</t>
  </si>
  <si>
    <t>https://censusreporter.org/profiles/50000US5309-congressional-district-9-wa/</t>
  </si>
  <si>
    <t>Multiparty Bellweather Legislative 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</si>
</sst>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43" fontId="1" fillId="0" borderId="0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9" fontId="1" fillId="0" borderId="0"/>
    <xf numFmtId="0" fontId="2" fillId="0" borderId="0"/>
    <xf numFmtId="0" fontId="16" fillId="0" borderId="9"/>
    <xf numFmtId="0" fontId="14" fillId="0" borderId="0"/>
  </cellStyleXfs>
  <cellXfs count="116">
    <xf numFmtId="0" fontId="0" fillId="0" borderId="0" xfId="0"/>
    <xf numFmtId="10" fontId="0" fillId="0" borderId="0" xfId="0" applyNumberFormat="1"/>
    <xf numFmtId="0" fontId="16" fillId="0" borderId="0" xfId="0" applyFont="1"/>
    <xf numFmtId="10" fontId="16" fillId="0" borderId="0" xfId="0" applyNumberFormat="1" applyFont="1"/>
    <xf numFmtId="10" fontId="16" fillId="0" borderId="0" xfId="40" applyNumberFormat="1" applyFont="1"/>
    <xf numFmtId="10" fontId="0" fillId="0" borderId="0" xfId="40" applyNumberFormat="1" applyFont="1"/>
    <xf numFmtId="2" fontId="0" fillId="0" borderId="0" xfId="0" applyNumberFormat="1"/>
    <xf numFmtId="164" fontId="16" fillId="0" borderId="0" xfId="28" applyNumberFormat="1" applyFont="1"/>
    <xf numFmtId="164" fontId="0" fillId="0" borderId="0" xfId="28" applyNumberFormat="1" applyFont="1"/>
    <xf numFmtId="2" fontId="16" fillId="0" borderId="0" xfId="40" applyNumberFormat="1" applyFont="1"/>
    <xf numFmtId="2" fontId="0" fillId="0" borderId="0" xfId="40" applyNumberFormat="1" applyFont="1"/>
    <xf numFmtId="164" fontId="1" fillId="0" borderId="0" xfId="28" applyNumberFormat="1"/>
    <xf numFmtId="165" fontId="1" fillId="0" borderId="0" xfId="40" applyNumberFormat="1"/>
    <xf numFmtId="10" fontId="1" fillId="0" borderId="0" xfId="40" applyNumberFormat="1"/>
    <xf numFmtId="165" fontId="16" fillId="0" borderId="0" xfId="40" applyNumberFormat="1" applyFont="1"/>
    <xf numFmtId="164" fontId="0" fillId="0" borderId="0" xfId="40" applyNumberFormat="1" applyFont="1"/>
    <xf numFmtId="2" fontId="1" fillId="0" borderId="0" xfId="28" applyNumberFormat="1"/>
    <xf numFmtId="0" fontId="0" fillId="0" borderId="0" xfId="0" applyAlignment="1">
      <alignment wrapText="1"/>
    </xf>
    <xf numFmtId="164" fontId="16" fillId="0" borderId="0" xfId="28" applyNumberFormat="1" applyFont="1" applyAlignment="1">
      <alignment wrapText="1"/>
    </xf>
    <xf numFmtId="165" fontId="16" fillId="0" borderId="0" xfId="40" applyNumberFormat="1" applyFont="1" applyAlignment="1">
      <alignment wrapText="1"/>
    </xf>
    <xf numFmtId="10" fontId="1" fillId="0" borderId="0" xfId="40" applyNumberFormat="1" applyAlignment="1">
      <alignment wrapText="1"/>
    </xf>
    <xf numFmtId="10" fontId="16" fillId="0" borderId="0" xfId="40" applyNumberFormat="1" applyFont="1" applyAlignment="1">
      <alignment wrapText="1"/>
    </xf>
    <xf numFmtId="164" fontId="1" fillId="0" borderId="0" xfId="28" applyNumberFormat="1" applyAlignment="1">
      <alignment wrapText="1"/>
    </xf>
    <xf numFmtId="2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64" fontId="16" fillId="0" borderId="0" xfId="0" applyNumberFormat="1" applyFont="1"/>
    <xf numFmtId="164" fontId="0" fillId="0" borderId="0" xfId="0" applyNumberFormat="1"/>
    <xf numFmtId="164" fontId="16" fillId="0" borderId="0" xfId="40" applyNumberFormat="1" applyFont="1"/>
    <xf numFmtId="164" fontId="1" fillId="0" borderId="0" xfId="40" applyNumberFormat="1"/>
    <xf numFmtId="2" fontId="16" fillId="0" borderId="0" xfId="0" applyNumberFormat="1" applyFont="1"/>
    <xf numFmtId="2" fontId="16" fillId="0" borderId="0" xfId="28" applyNumberFormat="1" applyFont="1"/>
    <xf numFmtId="10" fontId="16" fillId="0" borderId="0" xfId="40" applyNumberFormat="1" applyFont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41" borderId="1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4" borderId="16" xfId="0" applyFont="1" applyFill="1" applyBorder="1" applyAlignment="1">
      <alignment horizontal="center" vertical="center" wrapText="1"/>
    </xf>
    <xf numFmtId="0" fontId="19" fillId="35" borderId="23" xfId="0" applyFont="1" applyFill="1" applyBorder="1" applyAlignment="1">
      <alignment horizontal="center" vertical="center" wrapText="1"/>
    </xf>
    <xf numFmtId="0" fontId="19" fillId="36" borderId="17" xfId="0" applyFont="1" applyFill="1" applyBorder="1" applyAlignment="1">
      <alignment horizontal="center" vertical="center" wrapText="1"/>
    </xf>
    <xf numFmtId="164" fontId="19" fillId="42" borderId="16" xfId="28" applyNumberFormat="1" applyFont="1" applyFill="1" applyBorder="1" applyAlignment="1">
      <alignment vertical="center" wrapText="1"/>
    </xf>
    <xf numFmtId="10" fontId="19" fillId="37" borderId="16" xfId="40" applyNumberFormat="1" applyFont="1" applyFill="1" applyBorder="1" applyAlignment="1">
      <alignment vertical="center" wrapText="1"/>
    </xf>
    <xf numFmtId="10" fontId="19" fillId="38" borderId="16" xfId="40" applyNumberFormat="1" applyFont="1" applyFill="1" applyBorder="1" applyAlignment="1">
      <alignment vertical="center" wrapText="1"/>
    </xf>
    <xf numFmtId="10" fontId="19" fillId="39" borderId="10" xfId="40" applyNumberFormat="1" applyFont="1" applyFill="1" applyBorder="1" applyAlignment="1">
      <alignment vertical="center" wrapText="1"/>
    </xf>
    <xf numFmtId="10" fontId="19" fillId="40" borderId="17" xfId="40" applyNumberFormat="1" applyFont="1" applyFill="1" applyBorder="1" applyAlignment="1">
      <alignment vertical="center" wrapText="1"/>
    </xf>
    <xf numFmtId="0" fontId="20" fillId="0" borderId="15" xfId="0" applyFont="1" applyBorder="1" applyAlignment="1">
      <alignment horizontal="center" vertical="center" wrapText="1"/>
    </xf>
    <xf numFmtId="164" fontId="20" fillId="42" borderId="16" xfId="28" applyNumberFormat="1" applyFont="1" applyFill="1" applyBorder="1" applyAlignment="1">
      <alignment vertical="center" wrapText="1"/>
    </xf>
    <xf numFmtId="10" fontId="20" fillId="37" borderId="16" xfId="40" applyNumberFormat="1" applyFont="1" applyFill="1" applyBorder="1" applyAlignment="1">
      <alignment vertical="center" wrapText="1"/>
    </xf>
    <xf numFmtId="10" fontId="20" fillId="38" borderId="16" xfId="40" applyNumberFormat="1" applyFont="1" applyFill="1" applyBorder="1" applyAlignment="1">
      <alignment vertical="center" wrapText="1"/>
    </xf>
    <xf numFmtId="10" fontId="20" fillId="39" borderId="0" xfId="40" applyNumberFormat="1" applyFont="1" applyFill="1" applyAlignment="1">
      <alignment vertical="center" wrapText="1"/>
    </xf>
    <xf numFmtId="10" fontId="20" fillId="40" borderId="17" xfId="40" applyNumberFormat="1" applyFont="1" applyFill="1" applyBorder="1" applyAlignment="1">
      <alignment vertical="center" wrapText="1"/>
    </xf>
    <xf numFmtId="10" fontId="20" fillId="38" borderId="23" xfId="40" applyNumberFormat="1" applyFont="1" applyFill="1" applyBorder="1" applyAlignment="1">
      <alignment vertical="center" wrapText="1"/>
    </xf>
    <xf numFmtId="10" fontId="19" fillId="38" borderId="10" xfId="40" applyNumberFormat="1" applyFont="1" applyFill="1" applyBorder="1" applyAlignment="1">
      <alignment vertical="center" wrapText="1"/>
    </xf>
    <xf numFmtId="10" fontId="20" fillId="39" borderId="24" xfId="40" applyNumberFormat="1" applyFont="1" applyFill="1" applyBorder="1" applyAlignment="1">
      <alignment vertical="center" wrapText="1"/>
    </xf>
    <xf numFmtId="10" fontId="20" fillId="38" borderId="0" xfId="40" applyNumberFormat="1" applyFont="1" applyFill="1" applyAlignment="1">
      <alignment vertical="center" wrapText="1"/>
    </xf>
    <xf numFmtId="10" fontId="20" fillId="39" borderId="16" xfId="40" applyNumberFormat="1" applyFont="1" applyFill="1" applyBorder="1" applyAlignment="1">
      <alignment vertical="center" wrapText="1"/>
    </xf>
    <xf numFmtId="10" fontId="20" fillId="40" borderId="21" xfId="40" applyNumberFormat="1" applyFont="1" applyFill="1" applyBorder="1" applyAlignment="1">
      <alignment vertical="center" wrapText="1"/>
    </xf>
    <xf numFmtId="10" fontId="19" fillId="40" borderId="10" xfId="40" applyNumberFormat="1" applyFont="1" applyFill="1" applyBorder="1" applyAlignment="1">
      <alignment vertical="center" wrapText="1"/>
    </xf>
    <xf numFmtId="10" fontId="20" fillId="38" borderId="24" xfId="40" applyNumberFormat="1" applyFont="1" applyFill="1" applyBorder="1" applyAlignment="1">
      <alignment vertical="center" wrapText="1"/>
    </xf>
    <xf numFmtId="10" fontId="20" fillId="39" borderId="23" xfId="40" applyNumberFormat="1" applyFont="1" applyFill="1" applyBorder="1" applyAlignment="1">
      <alignment vertical="center" wrapText="1"/>
    </xf>
    <xf numFmtId="10" fontId="20" fillId="40" borderId="22" xfId="40" applyNumberFormat="1" applyFont="1" applyFill="1" applyBorder="1" applyAlignment="1">
      <alignment vertical="center" wrapText="1"/>
    </xf>
    <xf numFmtId="164" fontId="20" fillId="42" borderId="23" xfId="28" applyNumberFormat="1" applyFont="1" applyFill="1" applyBorder="1" applyAlignment="1">
      <alignment vertical="center" wrapText="1"/>
    </xf>
    <xf numFmtId="0" fontId="20" fillId="0" borderId="18" xfId="0" applyFont="1" applyBorder="1" applyAlignment="1">
      <alignment horizontal="center" vertical="center" wrapText="1"/>
    </xf>
    <xf numFmtId="164" fontId="20" fillId="42" borderId="11" xfId="28" applyNumberFormat="1" applyFont="1" applyFill="1" applyBorder="1" applyAlignment="1">
      <alignment vertical="center" wrapText="1"/>
    </xf>
    <xf numFmtId="10" fontId="20" fillId="38" borderId="19" xfId="40" applyNumberFormat="1" applyFont="1" applyFill="1" applyBorder="1" applyAlignment="1">
      <alignment vertical="center" wrapText="1"/>
    </xf>
    <xf numFmtId="10" fontId="20" fillId="40" borderId="20" xfId="40" applyNumberFormat="1" applyFont="1" applyFill="1" applyBorder="1" applyAlignment="1">
      <alignment vertical="center" wrapText="1"/>
    </xf>
    <xf numFmtId="0" fontId="20" fillId="0" borderId="0" xfId="0" applyFont="1"/>
    <xf numFmtId="10" fontId="20" fillId="37" borderId="23" xfId="40" applyNumberFormat="1" applyFont="1" applyFill="1" applyBorder="1" applyAlignment="1">
      <alignment vertical="center" wrapText="1"/>
    </xf>
    <xf numFmtId="10" fontId="20" fillId="37" borderId="11" xfId="40" applyNumberFormat="1" applyFont="1" applyFill="1" applyBorder="1" applyAlignment="1">
      <alignment vertical="center" wrapText="1"/>
    </xf>
    <xf numFmtId="10" fontId="19" fillId="37" borderId="10" xfId="40" applyNumberFormat="1" applyFont="1" applyFill="1" applyBorder="1" applyAlignment="1">
      <alignment vertical="center" wrapText="1"/>
    </xf>
    <xf numFmtId="0" fontId="20" fillId="0" borderId="15" xfId="0" applyFont="1" applyBorder="1"/>
    <xf numFmtId="0" fontId="21" fillId="0" borderId="16" xfId="0" applyFont="1" applyBorder="1"/>
    <xf numFmtId="0" fontId="21" fillId="0" borderId="17" xfId="0" applyFont="1" applyBorder="1" applyAlignment="1">
      <alignment horizontal="right"/>
    </xf>
    <xf numFmtId="0" fontId="20" fillId="37" borderId="0" xfId="0" applyFont="1" applyFill="1" applyAlignment="1">
      <alignment horizontal="left" vertical="center" wrapText="1"/>
    </xf>
    <xf numFmtId="0" fontId="20" fillId="39" borderId="0" xfId="0" applyFont="1" applyFill="1" applyAlignment="1">
      <alignment horizontal="left" vertical="center" wrapText="1"/>
    </xf>
    <xf numFmtId="0" fontId="20" fillId="0" borderId="23" xfId="0" applyFont="1" applyBorder="1"/>
    <xf numFmtId="0" fontId="20" fillId="37" borderId="23" xfId="0" applyFont="1" applyFill="1" applyBorder="1" applyAlignment="1">
      <alignment horizontal="left"/>
    </xf>
    <xf numFmtId="0" fontId="20" fillId="0" borderId="24" xfId="0" applyFont="1" applyBorder="1"/>
    <xf numFmtId="0" fontId="20" fillId="39" borderId="24" xfId="0" applyFont="1" applyFill="1" applyBorder="1" applyAlignment="1">
      <alignment horizontal="left"/>
    </xf>
    <xf numFmtId="0" fontId="20" fillId="38" borderId="0" xfId="0" applyFont="1" applyFill="1" applyAlignment="1">
      <alignment horizontal="left" vertical="center" wrapText="1"/>
    </xf>
    <xf numFmtId="0" fontId="20" fillId="38" borderId="23" xfId="0" applyFont="1" applyFill="1" applyBorder="1" applyAlignment="1">
      <alignment horizontal="left" vertical="center" wrapText="1"/>
    </xf>
    <xf numFmtId="0" fontId="20" fillId="40" borderId="24" xfId="0" applyFont="1" applyFill="1" applyBorder="1" applyAlignment="1">
      <alignment horizontal="left" vertical="center" wrapText="1"/>
    </xf>
    <xf numFmtId="0" fontId="20" fillId="0" borderId="11" xfId="0" applyFont="1" applyBorder="1"/>
    <xf numFmtId="0" fontId="20" fillId="39" borderId="11" xfId="0" applyFont="1" applyFill="1" applyBorder="1" applyAlignment="1">
      <alignment horizontal="left" vertical="center" wrapText="1"/>
    </xf>
    <xf numFmtId="165" fontId="20" fillId="37" borderId="28" xfId="0" applyNumberFormat="1" applyFont="1" applyFill="1" applyBorder="1"/>
    <xf numFmtId="165" fontId="20" fillId="39" borderId="28" xfId="0" applyNumberFormat="1" applyFont="1" applyFill="1" applyBorder="1"/>
    <xf numFmtId="165" fontId="20" fillId="37" borderId="21" xfId="0" applyNumberFormat="1" applyFont="1" applyFill="1" applyBorder="1"/>
    <xf numFmtId="165" fontId="20" fillId="39" borderId="22" xfId="0" applyNumberFormat="1" applyFont="1" applyFill="1" applyBorder="1"/>
    <xf numFmtId="165" fontId="20" fillId="38" borderId="28" xfId="0" applyNumberFormat="1" applyFont="1" applyFill="1" applyBorder="1"/>
    <xf numFmtId="165" fontId="20" fillId="38" borderId="21" xfId="0" applyNumberFormat="1" applyFont="1" applyFill="1" applyBorder="1"/>
    <xf numFmtId="165" fontId="20" fillId="40" borderId="22" xfId="0" applyNumberFormat="1" applyFont="1" applyFill="1" applyBorder="1"/>
    <xf numFmtId="165" fontId="20" fillId="39" borderId="29" xfId="0" applyNumberFormat="1" applyFont="1" applyFill="1" applyBorder="1"/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165" fontId="20" fillId="37" borderId="16" xfId="40" applyNumberFormat="1" applyFont="1" applyFill="1" applyBorder="1" applyAlignment="1">
      <alignment horizontal="center" vertical="center" wrapText="1"/>
    </xf>
    <xf numFmtId="165" fontId="20" fillId="38" borderId="16" xfId="40" applyNumberFormat="1" applyFont="1" applyFill="1" applyBorder="1" applyAlignment="1">
      <alignment horizontal="center" vertical="center" wrapText="1"/>
    </xf>
    <xf numFmtId="165" fontId="20" fillId="39" borderId="16" xfId="40" applyNumberFormat="1" applyFont="1" applyFill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165" fontId="22" fillId="37" borderId="16" xfId="40" applyNumberFormat="1" applyFont="1" applyFill="1" applyBorder="1" applyAlignment="1">
      <alignment horizontal="center" vertical="center" wrapText="1"/>
    </xf>
    <xf numFmtId="165" fontId="22" fillId="38" borderId="16" xfId="40" applyNumberFormat="1" applyFont="1" applyFill="1" applyBorder="1" applyAlignment="1">
      <alignment horizontal="center" vertical="center" wrapText="1"/>
    </xf>
    <xf numFmtId="165" fontId="22" fillId="39" borderId="16" xfId="40" applyNumberFormat="1" applyFont="1" applyFill="1" applyBorder="1" applyAlignment="1">
      <alignment horizontal="center" vertical="center" wrapText="1"/>
    </xf>
    <xf numFmtId="0" fontId="19" fillId="33" borderId="24" xfId="0" applyFont="1" applyFill="1" applyBorder="1" applyAlignment="1">
      <alignment horizontal="center" vertical="center" wrapText="1"/>
    </xf>
    <xf numFmtId="0" fontId="19" fillId="34" borderId="24" xfId="0" applyFont="1" applyFill="1" applyBorder="1" applyAlignment="1">
      <alignment horizontal="center" vertical="center" wrapText="1"/>
    </xf>
    <xf numFmtId="0" fontId="19" fillId="35" borderId="24" xfId="0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36" borderId="36" xfId="0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165" fontId="22" fillId="40" borderId="38" xfId="40" applyNumberFormat="1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165" fontId="20" fillId="40" borderId="38" xfId="40" applyNumberFormat="1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9966"/>
      <color rgb="FFFFFF99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199A-F684-4449-9393-8A9C551EB19A}">
  <dimension ref="B2:Q36"/>
  <sheetViews>
    <sheetView topLeftCell="A11" zoomScaleNormal="100" workbookViewId="0">
      <selection activeCell="E23" sqref="E23"/>
    </sheetView>
  </sheetViews>
  <sheetFormatPr defaultRowHeight="14.4" x14ac:dyDescent="0.3"/>
  <cols>
    <col min="3" max="3" width="14.77734375" customWidth="1"/>
    <col min="5" max="5" width="27.44140625" customWidth="1"/>
    <col min="6" max="9" width="13.88671875" customWidth="1"/>
    <col min="12" max="12" width="17.77734375" customWidth="1"/>
    <col min="13" max="13" width="12.109375" customWidth="1"/>
    <col min="14" max="14" width="13.21875" customWidth="1"/>
    <col min="15" max="15" width="18" customWidth="1"/>
  </cols>
  <sheetData>
    <row r="2" spans="2:17" x14ac:dyDescent="0.3">
      <c r="B2" t="s">
        <v>0</v>
      </c>
    </row>
    <row r="3" spans="2:17" x14ac:dyDescent="0.3">
      <c r="B3" t="s">
        <v>1</v>
      </c>
    </row>
    <row r="4" spans="2:17" x14ac:dyDescent="0.3">
      <c r="B4" t="s">
        <v>2</v>
      </c>
    </row>
    <row r="5" spans="2:17" x14ac:dyDescent="0.3">
      <c r="B5" t="s">
        <v>3</v>
      </c>
    </row>
    <row r="6" spans="2:17" x14ac:dyDescent="0.3">
      <c r="B6" t="s">
        <v>4</v>
      </c>
    </row>
    <row r="7" spans="2:17" x14ac:dyDescent="0.3">
      <c r="B7" t="s">
        <v>5</v>
      </c>
    </row>
    <row r="8" spans="2:17" x14ac:dyDescent="0.3">
      <c r="B8" t="s">
        <v>6</v>
      </c>
    </row>
    <row r="9" spans="2:17" ht="15" thickBot="1" x14ac:dyDescent="0.35"/>
    <row r="10" spans="2:17" ht="42" customHeight="1" x14ac:dyDescent="0.3">
      <c r="E10" s="109" t="s">
        <v>7</v>
      </c>
      <c r="F10" s="109"/>
      <c r="G10" s="109"/>
      <c r="H10" s="109"/>
      <c r="I10" s="109"/>
      <c r="L10" s="90" t="s">
        <v>7</v>
      </c>
      <c r="M10" s="91"/>
      <c r="N10" s="91"/>
      <c r="O10" s="91"/>
      <c r="P10" s="91"/>
      <c r="Q10" s="92"/>
    </row>
    <row r="11" spans="2:17" ht="31.2" customHeight="1" thickBot="1" x14ac:dyDescent="0.35">
      <c r="E11" s="110"/>
      <c r="F11" s="106" t="s">
        <v>8</v>
      </c>
      <c r="G11" s="107" t="s">
        <v>9</v>
      </c>
      <c r="H11" s="108" t="s">
        <v>10</v>
      </c>
      <c r="I11" s="111" t="s">
        <v>11</v>
      </c>
      <c r="L11" s="32"/>
      <c r="M11" s="33" t="s">
        <v>12</v>
      </c>
      <c r="N11" s="34" t="s">
        <v>8</v>
      </c>
      <c r="O11" s="35" t="s">
        <v>9</v>
      </c>
      <c r="P11" s="36" t="s">
        <v>13</v>
      </c>
      <c r="Q11" s="37" t="s">
        <v>11</v>
      </c>
    </row>
    <row r="12" spans="2:17" ht="31.2" customHeight="1" thickBot="1" x14ac:dyDescent="0.35">
      <c r="E12" s="112" t="s">
        <v>14</v>
      </c>
      <c r="F12" s="103">
        <f>CongressionalAnalysis!E3</f>
        <v>0.39463652994286236</v>
      </c>
      <c r="G12" s="104">
        <f>CongressionalAnalysis!E4</f>
        <v>0.3513505382005539</v>
      </c>
      <c r="H12" s="105">
        <f>CongressionalAnalysis!E5</f>
        <v>0.20298072041240103</v>
      </c>
      <c r="I12" s="113">
        <f>CongressionalAnalysis!E6</f>
        <v>5.1032211444182678E-2</v>
      </c>
      <c r="L12" s="32" t="s">
        <v>14</v>
      </c>
      <c r="M12" s="38">
        <f>CongressionalAnalysis!L2</f>
        <v>0</v>
      </c>
      <c r="N12" s="39">
        <f>CongressionalAnalysis!M3</f>
        <v>-0.53335270050732242</v>
      </c>
      <c r="O12" s="40">
        <f>CongressionalAnalysis!M4</f>
        <v>-0.22625327998646583</v>
      </c>
      <c r="P12" s="41">
        <f>CongressionalAnalysis!M5</f>
        <v>0.89212660576535596</v>
      </c>
      <c r="Q12" s="42">
        <f>CongressionalAnalysis!M6</f>
        <v>-0.13252062527157188</v>
      </c>
    </row>
    <row r="13" spans="2:17" ht="31.2" customHeight="1" thickBot="1" x14ac:dyDescent="0.35">
      <c r="E13" s="114" t="s">
        <v>15</v>
      </c>
      <c r="F13" s="97">
        <f>CongressionalAnalysis!E9</f>
        <v>0.55262092630766069</v>
      </c>
      <c r="G13" s="98">
        <f>CongressionalAnalysis!E10</f>
        <v>0.26211131385724873</v>
      </c>
      <c r="H13" s="99">
        <f>CongressionalAnalysis!E11</f>
        <v>0.10901583703362333</v>
      </c>
      <c r="I13" s="115">
        <f>CongressionalAnalysis!E12</f>
        <v>7.4875601751228413E-2</v>
      </c>
      <c r="J13" s="1"/>
      <c r="L13" s="43" t="s">
        <v>15</v>
      </c>
      <c r="M13" s="44" t="str">
        <f>CongressionalAnalysis!L8</f>
        <v/>
      </c>
      <c r="N13" s="45">
        <f>CongressionalAnalysis!M9</f>
        <v>-0.33000000000000806</v>
      </c>
      <c r="O13" s="46">
        <f>CongressionalAnalysis!M10</f>
        <v>-0.10000000000000009</v>
      </c>
      <c r="P13" s="47">
        <f>CongressionalAnalysis!M11</f>
        <v>0.32999999999999974</v>
      </c>
      <c r="Q13" s="48">
        <f>CongressionalAnalysis!M12</f>
        <v>0.11000000000000038</v>
      </c>
    </row>
    <row r="14" spans="2:17" ht="31.2" customHeight="1" thickBot="1" x14ac:dyDescent="0.35">
      <c r="E14" s="114" t="s">
        <v>16</v>
      </c>
      <c r="F14" s="97">
        <f>CongressionalAnalysis!E14</f>
        <v>0.42340699727936615</v>
      </c>
      <c r="G14" s="98">
        <f>CongressionalAnalysis!E15</f>
        <v>0.32797002529712188</v>
      </c>
      <c r="H14" s="105">
        <f>CongressionalAnalysis!E16</f>
        <v>0.24775905684692856</v>
      </c>
      <c r="I14" s="115">
        <f>CongressionalAnalysis!E17</f>
        <v>0</v>
      </c>
      <c r="J14" s="1"/>
      <c r="L14" s="43" t="s">
        <v>16</v>
      </c>
      <c r="M14" s="44" t="str">
        <f>CongressionalAnalysis!L13</f>
        <v/>
      </c>
      <c r="N14" s="45">
        <f>CongressionalAnalysis!M14</f>
        <v>-0.85000000000000075</v>
      </c>
      <c r="O14" s="49">
        <f>CongressionalAnalysis!M15</f>
        <v>-0.49000000000000155</v>
      </c>
      <c r="P14" s="41">
        <f>CongressionalAnalysis!M16</f>
        <v>1.3500000000000012</v>
      </c>
      <c r="Q14" s="48">
        <f>CongressionalAnalysis!M17</f>
        <v>0</v>
      </c>
    </row>
    <row r="15" spans="2:17" ht="31.2" customHeight="1" thickBot="1" x14ac:dyDescent="0.35">
      <c r="E15" s="114" t="s">
        <v>17</v>
      </c>
      <c r="F15" s="103">
        <f>CongressionalAnalysis!E19</f>
        <v>0.38108358858879854</v>
      </c>
      <c r="G15" s="104">
        <f>CongressionalAnalysis!E20</f>
        <v>0.42842357021972949</v>
      </c>
      <c r="H15" s="105">
        <f>CongressionalAnalysis!E21</f>
        <v>0.16700001398660083</v>
      </c>
      <c r="I15" s="115">
        <f>CongressionalAnalysis!E22</f>
        <v>2.2816808164445129E-2</v>
      </c>
      <c r="J15" s="1"/>
      <c r="L15" s="43" t="s">
        <v>17</v>
      </c>
      <c r="M15" s="44" t="str">
        <f>CongressionalAnalysis!L18</f>
        <v/>
      </c>
      <c r="N15" s="45">
        <f>CongressionalAnalysis!M19</f>
        <v>-1.3799999999999979</v>
      </c>
      <c r="O15" s="50">
        <f>CongressionalAnalysis!M20</f>
        <v>0.49000000000000155</v>
      </c>
      <c r="P15" s="51">
        <f>CongressionalAnalysis!M21</f>
        <v>0.84999999999999798</v>
      </c>
      <c r="Q15" s="48">
        <f>CongressionalAnalysis!M22</f>
        <v>5.0000000000000044E-2</v>
      </c>
    </row>
    <row r="16" spans="2:17" ht="31.2" customHeight="1" thickBot="1" x14ac:dyDescent="0.35">
      <c r="E16" s="114" t="s">
        <v>18</v>
      </c>
      <c r="F16" s="97">
        <f>CongressionalAnalysis!E24</f>
        <v>0.2991777710796924</v>
      </c>
      <c r="G16" s="98">
        <f>CongressionalAnalysis!E25</f>
        <v>0.63028438045436408</v>
      </c>
      <c r="H16" s="99">
        <f>CongressionalAnalysis!E26</f>
        <v>0</v>
      </c>
      <c r="I16" s="115">
        <f>CongressionalAnalysis!E27</f>
        <v>6.9717722432900378E-2</v>
      </c>
      <c r="J16" s="1"/>
      <c r="L16" s="43" t="s">
        <v>18</v>
      </c>
      <c r="M16" s="44" t="str">
        <f>CongressionalAnalysis!L23</f>
        <v/>
      </c>
      <c r="N16" s="45">
        <f>CongressionalAnalysis!M24</f>
        <v>-0.12999999999999678</v>
      </c>
      <c r="O16" s="52">
        <f>CongressionalAnalysis!M25</f>
        <v>8.9999999999978986E-2</v>
      </c>
      <c r="P16" s="53">
        <f>CongressionalAnalysis!M26</f>
        <v>0</v>
      </c>
      <c r="Q16" s="54">
        <f>CongressionalAnalysis!M27</f>
        <v>5.0000000000001432E-2</v>
      </c>
    </row>
    <row r="17" spans="5:17" ht="31.2" customHeight="1" thickBot="1" x14ac:dyDescent="0.35">
      <c r="E17" s="114" t="s">
        <v>19</v>
      </c>
      <c r="F17" s="97">
        <f>CongressionalAnalysis!E29</f>
        <v>0.27535025390653695</v>
      </c>
      <c r="G17" s="104">
        <f>CongressionalAnalysis!E30</f>
        <v>0.47398008902643862</v>
      </c>
      <c r="H17" s="99">
        <f>CongressionalAnalysis!E31</f>
        <v>4.4307547659505703E-2</v>
      </c>
      <c r="I17" s="113">
        <f>CongressionalAnalysis!E32</f>
        <v>0.20551983507093222</v>
      </c>
      <c r="J17" s="1"/>
      <c r="L17" s="43" t="s">
        <v>19</v>
      </c>
      <c r="M17" s="44" t="str">
        <f>CongressionalAnalysis!L28</f>
        <v/>
      </c>
      <c r="N17" s="45">
        <f>CongressionalAnalysis!M29</f>
        <v>-4.0000000000006697E-2</v>
      </c>
      <c r="O17" s="50">
        <f>CongressionalAnalysis!M30</f>
        <v>-0.59000000000000163</v>
      </c>
      <c r="P17" s="53">
        <f>CongressionalAnalysis!M31</f>
        <v>0.19999999999999948</v>
      </c>
      <c r="Q17" s="55">
        <f>CongressionalAnalysis!M32</f>
        <v>0.4200000000000037</v>
      </c>
    </row>
    <row r="18" spans="5:17" ht="31.2" customHeight="1" thickBot="1" x14ac:dyDescent="0.35">
      <c r="E18" s="114" t="s">
        <v>20</v>
      </c>
      <c r="F18" s="97">
        <f>CongressionalAnalysis!E34</f>
        <v>0.58773156548446204</v>
      </c>
      <c r="G18" s="98">
        <f>CongressionalAnalysis!E35</f>
        <v>0.35255927987891766</v>
      </c>
      <c r="H18" s="99">
        <f>CongressionalAnalysis!E36</f>
        <v>0</v>
      </c>
      <c r="I18" s="115">
        <f>CongressionalAnalysis!E37</f>
        <v>5.9085155911170903E-2</v>
      </c>
      <c r="J18" s="1"/>
      <c r="L18" s="43" t="s">
        <v>20</v>
      </c>
      <c r="M18" s="44" t="str">
        <f>CongressionalAnalysis!L33</f>
        <v/>
      </c>
      <c r="N18" s="45">
        <f>CongressionalAnalysis!M34</f>
        <v>0.46999999999999265</v>
      </c>
      <c r="O18" s="56">
        <f>CongressionalAnalysis!M35</f>
        <v>-0.61000000000000498</v>
      </c>
      <c r="P18" s="57">
        <f>CongressionalAnalysis!M36</f>
        <v>0</v>
      </c>
      <c r="Q18" s="58">
        <f>CongressionalAnalysis!M37</f>
        <v>0.13999999999999915</v>
      </c>
    </row>
    <row r="19" spans="5:17" ht="31.2" customHeight="1" thickBot="1" x14ac:dyDescent="0.35">
      <c r="E19" s="114" t="s">
        <v>21</v>
      </c>
      <c r="F19" s="97">
        <f>CongressionalAnalysis!E39</f>
        <v>0</v>
      </c>
      <c r="G19" s="98">
        <f>CongressionalAnalysis!E40</f>
        <v>9.8190928343045381E-2</v>
      </c>
      <c r="H19" s="105">
        <f>CongressionalAnalysis!E41</f>
        <v>0.87829713805878906</v>
      </c>
      <c r="I19" s="115">
        <f>CongressionalAnalysis!E42</f>
        <v>1.9811664613524897E-2</v>
      </c>
      <c r="J19" s="1"/>
      <c r="L19" s="43" t="s">
        <v>21</v>
      </c>
      <c r="M19" s="44" t="str">
        <f>CongressionalAnalysis!L38</f>
        <v/>
      </c>
      <c r="N19" s="45">
        <f>CongressionalAnalysis!M39</f>
        <v>0</v>
      </c>
      <c r="O19" s="46">
        <f>CongressionalAnalysis!M40</f>
        <v>-0.1799999999999996</v>
      </c>
      <c r="P19" s="41">
        <f>CongressionalAnalysis!M41</f>
        <v>0.33999999999999586</v>
      </c>
      <c r="Q19" s="48">
        <f>CongressionalAnalysis!M42</f>
        <v>-0.11000000000000038</v>
      </c>
    </row>
    <row r="20" spans="5:17" ht="31.2" customHeight="1" thickBot="1" x14ac:dyDescent="0.35">
      <c r="E20" s="114" t="s">
        <v>22</v>
      </c>
      <c r="F20" s="97">
        <f>CongressionalAnalysis!E44</f>
        <v>0.53685309392697755</v>
      </c>
      <c r="G20" s="98">
        <f>CongressionalAnalysis!E45</f>
        <v>0.43633374220319965</v>
      </c>
      <c r="H20" s="99">
        <f>CongressionalAnalysis!E46</f>
        <v>0</v>
      </c>
      <c r="I20" s="115">
        <f>CongressionalAnalysis!E47</f>
        <v>2.4934102356656315E-2</v>
      </c>
      <c r="J20" s="1"/>
      <c r="L20" s="43" t="s">
        <v>22</v>
      </c>
      <c r="M20" s="59" t="str">
        <f>CongressionalAnalysis!L43</f>
        <v/>
      </c>
      <c r="N20" s="65">
        <f>CongressionalAnalysis!M44</f>
        <v>-0.39000000000000146</v>
      </c>
      <c r="O20" s="46">
        <f>CongressionalAnalysis!M45</f>
        <v>0.35999999999999921</v>
      </c>
      <c r="P20" s="47">
        <f>CongressionalAnalysis!M46</f>
        <v>0</v>
      </c>
      <c r="Q20" s="48">
        <f>CongressionalAnalysis!M47</f>
        <v>1.9999999999999879E-2</v>
      </c>
    </row>
    <row r="21" spans="5:17" ht="31.2" customHeight="1" thickBot="1" x14ac:dyDescent="0.35">
      <c r="E21" s="114" t="s">
        <v>23</v>
      </c>
      <c r="F21" s="103">
        <f>CongressionalAnalysis!E49</f>
        <v>0.47131838489420891</v>
      </c>
      <c r="G21" s="98">
        <f>CongressionalAnalysis!E50</f>
        <v>0.2182556407878839</v>
      </c>
      <c r="H21" s="105">
        <f>CongressionalAnalysis!E51</f>
        <v>0.29780269184298519</v>
      </c>
      <c r="I21" s="115">
        <f>CongressionalAnalysis!E52</f>
        <v>1.1155132203770828E-2</v>
      </c>
      <c r="J21" s="1"/>
      <c r="L21" s="43" t="s">
        <v>23</v>
      </c>
      <c r="M21" s="44" t="str">
        <f>CongressionalAnalysis!L48</f>
        <v/>
      </c>
      <c r="N21" s="67">
        <f>CongressionalAnalysis!M49</f>
        <v>-0.76999999999999291</v>
      </c>
      <c r="O21" s="46">
        <f>CongressionalAnalysis!M50</f>
        <v>0.31000000000000194</v>
      </c>
      <c r="P21" s="41">
        <f>CongressionalAnalysis!M51</f>
        <v>0.55999999999999939</v>
      </c>
      <c r="Q21" s="48">
        <f>CongressionalAnalysis!M52</f>
        <v>-5.999999999999981E-2</v>
      </c>
    </row>
    <row r="22" spans="5:17" ht="31.2" customHeight="1" thickBot="1" x14ac:dyDescent="0.35">
      <c r="E22" s="114" t="s">
        <v>24</v>
      </c>
      <c r="F22" s="97">
        <f>CongressionalAnalysis!E54</f>
        <v>0.47260168545811365</v>
      </c>
      <c r="G22" s="98">
        <f>CongressionalAnalysis!E55</f>
        <v>0.31395826118187298</v>
      </c>
      <c r="H22" s="105">
        <f>CongressionalAnalysis!E56</f>
        <v>0.19733584741088495</v>
      </c>
      <c r="I22" s="115">
        <f>CongressionalAnalysis!E57</f>
        <v>1.3750464976077783E-2</v>
      </c>
      <c r="J22" s="1"/>
      <c r="L22" s="60" t="s">
        <v>24</v>
      </c>
      <c r="M22" s="61" t="str">
        <f>CongressionalAnalysis!L53</f>
        <v/>
      </c>
      <c r="N22" s="66">
        <f>CongressionalAnalysis!M54</f>
        <v>-0.70999999999999952</v>
      </c>
      <c r="O22" s="62">
        <f>CongressionalAnalysis!M55</f>
        <v>-0.67000000000000393</v>
      </c>
      <c r="P22" s="41">
        <f>CongressionalAnalysis!M56</f>
        <v>1.4399999999999995</v>
      </c>
      <c r="Q22" s="63">
        <f>CongressionalAnalysis!M57</f>
        <v>-5.0000000000000044E-2</v>
      </c>
    </row>
    <row r="23" spans="5:17" x14ac:dyDescent="0.3">
      <c r="J23" s="1"/>
    </row>
    <row r="30" spans="5:17" x14ac:dyDescent="0.3">
      <c r="E30" t="s">
        <v>25</v>
      </c>
    </row>
    <row r="31" spans="5:17" s="64" customFormat="1" ht="15.6" x14ac:dyDescent="0.3">
      <c r="E31" s="64" t="s">
        <v>26</v>
      </c>
    </row>
    <row r="32" spans="5:17" x14ac:dyDescent="0.3">
      <c r="E32">
        <v>2010</v>
      </c>
    </row>
    <row r="33" spans="5:5" x14ac:dyDescent="0.3">
      <c r="E33">
        <v>2014</v>
      </c>
    </row>
    <row r="34" spans="5:5" x14ac:dyDescent="0.3">
      <c r="E34">
        <v>2018</v>
      </c>
    </row>
    <row r="35" spans="5:5" x14ac:dyDescent="0.3">
      <c r="E35">
        <v>2022</v>
      </c>
    </row>
    <row r="36" spans="5:5" x14ac:dyDescent="0.3">
      <c r="E36">
        <v>2026</v>
      </c>
    </row>
  </sheetData>
  <mergeCells count="2">
    <mergeCell ref="E10:I10"/>
    <mergeCell ref="L10:Q10"/>
  </mergeCells>
  <pageMargins left="0.7" right="0.7" top="0.75" bottom="0.75" header="0.3" footer="0.3"/>
  <pageSetup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91D0-02F2-43A2-82F9-FC85F94C61B2}">
  <dimension ref="B2:K22"/>
  <sheetViews>
    <sheetView showGridLines="0" workbookViewId="0">
      <selection activeCell="D22" sqref="D22"/>
    </sheetView>
  </sheetViews>
  <sheetFormatPr defaultRowHeight="14.4" x14ac:dyDescent="0.3"/>
  <cols>
    <col min="2" max="2" width="16.21875" customWidth="1"/>
    <col min="3" max="3" width="21.5546875" customWidth="1"/>
    <col min="4" max="4" width="14" customWidth="1"/>
    <col min="5" max="5" width="11" customWidth="1"/>
  </cols>
  <sheetData>
    <row r="2" spans="2:11" ht="42" customHeight="1" x14ac:dyDescent="0.3">
      <c r="B2" s="100" t="s">
        <v>756</v>
      </c>
      <c r="C2" s="101"/>
      <c r="D2" s="101"/>
      <c r="E2" s="102"/>
    </row>
    <row r="3" spans="2:11" ht="15.6" customHeight="1" x14ac:dyDescent="0.3">
      <c r="B3" s="68"/>
      <c r="C3" s="69" t="s">
        <v>27</v>
      </c>
      <c r="D3" s="69" t="s">
        <v>28</v>
      </c>
      <c r="E3" s="70" t="s">
        <v>29</v>
      </c>
      <c r="H3" s="31"/>
      <c r="I3" s="31"/>
      <c r="J3" s="31"/>
      <c r="K3" s="31"/>
    </row>
    <row r="4" spans="2:11" ht="15.6" customHeight="1" x14ac:dyDescent="0.3">
      <c r="B4" s="95" t="s">
        <v>30</v>
      </c>
      <c r="C4" s="64" t="s">
        <v>31</v>
      </c>
      <c r="D4" s="71" t="s">
        <v>8</v>
      </c>
      <c r="E4" s="82">
        <f>KeyRaces!D100</f>
        <v>0.66673651675092338</v>
      </c>
    </row>
    <row r="5" spans="2:11" ht="15.6" customHeight="1" x14ac:dyDescent="0.3">
      <c r="B5" s="93"/>
      <c r="C5" s="64" t="s">
        <v>32</v>
      </c>
      <c r="D5" s="72" t="s">
        <v>10</v>
      </c>
      <c r="E5" s="83">
        <f>KeyRaces!D101</f>
        <v>0.23548209655027896</v>
      </c>
    </row>
    <row r="6" spans="2:11" ht="15.6" customHeight="1" x14ac:dyDescent="0.3">
      <c r="B6" s="95" t="s">
        <v>33</v>
      </c>
      <c r="C6" s="73" t="s">
        <v>34</v>
      </c>
      <c r="D6" s="74" t="s">
        <v>8</v>
      </c>
      <c r="E6" s="84">
        <f>KeyRaces!D97</f>
        <v>0.47885903436861571</v>
      </c>
      <c r="F6" s="1"/>
    </row>
    <row r="7" spans="2:11" ht="15.6" customHeight="1" x14ac:dyDescent="0.3">
      <c r="B7" s="96"/>
      <c r="C7" s="75" t="s">
        <v>35</v>
      </c>
      <c r="D7" s="76" t="s">
        <v>10</v>
      </c>
      <c r="E7" s="85">
        <f>KeyRaces!D98</f>
        <v>0.5146758385269854</v>
      </c>
      <c r="F7" s="1"/>
    </row>
    <row r="8" spans="2:11" ht="15.6" customHeight="1" x14ac:dyDescent="0.3">
      <c r="B8" s="93" t="s">
        <v>36</v>
      </c>
      <c r="C8" s="64" t="s">
        <v>37</v>
      </c>
      <c r="D8" s="77" t="s">
        <v>9</v>
      </c>
      <c r="E8" s="86">
        <f>SUM(KeyRaces!D82,KeyRaces!D83,KeyRaces!D85,KeyRaces!D87)</f>
        <v>0.57365641674459544</v>
      </c>
      <c r="F8" s="1"/>
    </row>
    <row r="9" spans="2:11" ht="15.6" customHeight="1" x14ac:dyDescent="0.3">
      <c r="B9" s="93"/>
      <c r="C9" s="64" t="s">
        <v>38</v>
      </c>
      <c r="D9" s="71" t="s">
        <v>8</v>
      </c>
      <c r="E9" s="82">
        <f>SUM(KeyRaces!D86,KeyRaces!D84)</f>
        <v>0.42373067825512956</v>
      </c>
      <c r="F9" s="1"/>
    </row>
    <row r="10" spans="2:11" ht="15.6" customHeight="1" x14ac:dyDescent="0.3">
      <c r="B10" s="95" t="s">
        <v>39</v>
      </c>
      <c r="C10" s="73" t="s">
        <v>40</v>
      </c>
      <c r="D10" s="78" t="s">
        <v>9</v>
      </c>
      <c r="E10" s="87">
        <f>KeyRaces!D89</f>
        <v>0.50566641362108233</v>
      </c>
    </row>
    <row r="11" spans="2:11" ht="15.6" customHeight="1" x14ac:dyDescent="0.3">
      <c r="B11" s="93"/>
      <c r="C11" s="64" t="s">
        <v>41</v>
      </c>
      <c r="D11" s="71" t="s">
        <v>8</v>
      </c>
      <c r="E11" s="82">
        <f>KeyRaces!D90</f>
        <v>0.24967465567725844</v>
      </c>
    </row>
    <row r="12" spans="2:11" ht="15.6" customHeight="1" x14ac:dyDescent="0.3">
      <c r="B12" s="96"/>
      <c r="C12" s="75" t="s">
        <v>42</v>
      </c>
      <c r="D12" s="79" t="s">
        <v>11</v>
      </c>
      <c r="E12" s="88">
        <f>KeyRaces!D91</f>
        <v>0.24265264071141959</v>
      </c>
    </row>
    <row r="13" spans="2:11" ht="15.6" customHeight="1" x14ac:dyDescent="0.3">
      <c r="B13" s="93" t="s">
        <v>43</v>
      </c>
      <c r="C13" s="64" t="s">
        <v>44</v>
      </c>
      <c r="D13" s="77" t="s">
        <v>9</v>
      </c>
      <c r="E13" s="86">
        <f>KeyRaces!D93</f>
        <v>0.51035953686776359</v>
      </c>
      <c r="G13" s="1"/>
    </row>
    <row r="14" spans="2:11" ht="15.6" customHeight="1" x14ac:dyDescent="0.3">
      <c r="B14" s="93"/>
      <c r="C14" s="64" t="s">
        <v>45</v>
      </c>
      <c r="D14" s="71" t="s">
        <v>8</v>
      </c>
      <c r="E14" s="82">
        <f>KeyRaces!D94</f>
        <v>0.18327239488117003</v>
      </c>
      <c r="G14" s="1"/>
    </row>
    <row r="15" spans="2:11" ht="15.6" customHeight="1" x14ac:dyDescent="0.3">
      <c r="B15" s="94"/>
      <c r="C15" s="80" t="s">
        <v>46</v>
      </c>
      <c r="D15" s="81" t="s">
        <v>10</v>
      </c>
      <c r="E15" s="89">
        <f>KeyRaces!D95</f>
        <v>0.30408287629494213</v>
      </c>
      <c r="G15" s="1"/>
    </row>
    <row r="16" spans="2:11" x14ac:dyDescent="0.3">
      <c r="G16" s="1"/>
    </row>
    <row r="17" spans="7:7" x14ac:dyDescent="0.3">
      <c r="G17" s="1"/>
    </row>
    <row r="18" spans="7:7" x14ac:dyDescent="0.3">
      <c r="G18" s="1"/>
    </row>
    <row r="19" spans="7:7" x14ac:dyDescent="0.3">
      <c r="G19" s="1"/>
    </row>
    <row r="20" spans="7:7" x14ac:dyDescent="0.3">
      <c r="G20" s="1"/>
    </row>
    <row r="21" spans="7:7" x14ac:dyDescent="0.3">
      <c r="G21" s="1"/>
    </row>
    <row r="22" spans="7:7" x14ac:dyDescent="0.3">
      <c r="G22" s="1"/>
    </row>
  </sheetData>
  <mergeCells count="6">
    <mergeCell ref="B13:B15"/>
    <mergeCell ref="B2:E2"/>
    <mergeCell ref="B4:B5"/>
    <mergeCell ref="B6:B7"/>
    <mergeCell ref="B8:B9"/>
    <mergeCell ref="B10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92"/>
  <sheetViews>
    <sheetView tabSelected="1" workbookViewId="0">
      <pane xSplit="1" ySplit="1" topLeftCell="B468" activePane="bottomRight" state="frozen"/>
      <selection pane="topRight" activeCell="B1" sqref="B1"/>
      <selection pane="bottomLeft" activeCell="A2" sqref="A2"/>
      <selection pane="bottomRight" activeCell="C486" sqref="C486"/>
    </sheetView>
  </sheetViews>
  <sheetFormatPr defaultRowHeight="14.4" x14ac:dyDescent="0.3"/>
  <cols>
    <col min="1" max="1" width="42.88671875" customWidth="1"/>
    <col min="2" max="2" width="23.88671875" customWidth="1"/>
    <col min="3" max="3" width="35.109375" customWidth="1"/>
    <col min="4" max="4" width="14.21875" customWidth="1"/>
    <col min="5" max="5" width="12.6640625" style="1" customWidth="1"/>
  </cols>
  <sheetData>
    <row r="1" spans="1:5" x14ac:dyDescent="0.3">
      <c r="A1" t="s">
        <v>47</v>
      </c>
      <c r="B1" t="s">
        <v>27</v>
      </c>
      <c r="C1" t="s">
        <v>28</v>
      </c>
      <c r="D1" t="s">
        <v>12</v>
      </c>
      <c r="E1" s="1" t="s">
        <v>29</v>
      </c>
    </row>
    <row r="2" spans="1:5" x14ac:dyDescent="0.3">
      <c r="A2" t="s">
        <v>62</v>
      </c>
      <c r="B2" t="s">
        <v>299</v>
      </c>
      <c r="C2" t="s">
        <v>399</v>
      </c>
      <c r="D2">
        <v>3580</v>
      </c>
      <c r="E2" s="1">
        <v>2.2295155474457099E-2</v>
      </c>
    </row>
    <row r="3" spans="1:5" x14ac:dyDescent="0.3">
      <c r="A3" t="s">
        <v>62</v>
      </c>
      <c r="B3" t="s">
        <v>300</v>
      </c>
      <c r="C3" t="s">
        <v>399</v>
      </c>
      <c r="D3">
        <v>85156</v>
      </c>
      <c r="E3" s="1">
        <v>0.53032577083320354</v>
      </c>
    </row>
    <row r="4" spans="1:5" x14ac:dyDescent="0.3">
      <c r="A4" t="s">
        <v>62</v>
      </c>
      <c r="B4" t="s">
        <v>301</v>
      </c>
      <c r="C4" t="s">
        <v>399</v>
      </c>
      <c r="D4">
        <v>3929</v>
      </c>
      <c r="E4" s="1">
        <v>2.4468621748363673E-2</v>
      </c>
    </row>
    <row r="5" spans="1:5" x14ac:dyDescent="0.3">
      <c r="A5" t="s">
        <v>62</v>
      </c>
      <c r="B5" t="s">
        <v>302</v>
      </c>
      <c r="C5" t="s">
        <v>400</v>
      </c>
      <c r="D5">
        <v>12023</v>
      </c>
      <c r="E5" s="1">
        <v>7.4875601751228413E-2</v>
      </c>
    </row>
    <row r="6" spans="1:5" x14ac:dyDescent="0.3">
      <c r="A6" t="s">
        <v>62</v>
      </c>
      <c r="B6" t="s">
        <v>303</v>
      </c>
      <c r="C6" t="s">
        <v>399</v>
      </c>
      <c r="D6">
        <v>10014</v>
      </c>
      <c r="E6" s="1">
        <v>6.2364158357880839E-2</v>
      </c>
    </row>
    <row r="7" spans="1:5" x14ac:dyDescent="0.3">
      <c r="A7" t="s">
        <v>62</v>
      </c>
      <c r="B7" t="s">
        <v>304</v>
      </c>
      <c r="C7" t="s">
        <v>401</v>
      </c>
      <c r="D7">
        <v>42088</v>
      </c>
      <c r="E7" s="1">
        <v>0.26211131385724873</v>
      </c>
    </row>
    <row r="8" spans="1:5" x14ac:dyDescent="0.3">
      <c r="A8" t="s">
        <v>62</v>
      </c>
      <c r="B8" t="s">
        <v>305</v>
      </c>
      <c r="C8" t="s">
        <v>399</v>
      </c>
      <c r="D8">
        <v>3562</v>
      </c>
      <c r="E8" s="1">
        <v>2.2183056927378826E-2</v>
      </c>
    </row>
    <row r="9" spans="1:5" x14ac:dyDescent="0.3">
      <c r="A9" t="s">
        <v>62</v>
      </c>
      <c r="B9" t="s">
        <v>402</v>
      </c>
      <c r="D9">
        <v>221</v>
      </c>
      <c r="E9" s="1">
        <v>1.3763210502388322E-3</v>
      </c>
    </row>
    <row r="10" spans="1:5" x14ac:dyDescent="0.3">
      <c r="A10" t="s">
        <v>56</v>
      </c>
      <c r="B10" t="s">
        <v>307</v>
      </c>
      <c r="C10" t="s">
        <v>401</v>
      </c>
      <c r="D10">
        <v>68713</v>
      </c>
      <c r="E10" s="1">
        <v>0.32797002529712188</v>
      </c>
    </row>
    <row r="11" spans="1:5" x14ac:dyDescent="0.3">
      <c r="A11" t="s">
        <v>56</v>
      </c>
      <c r="B11" t="s">
        <v>308</v>
      </c>
      <c r="C11" t="s">
        <v>399</v>
      </c>
      <c r="D11">
        <v>29133</v>
      </c>
      <c r="E11" s="1">
        <v>0.1390530284950599</v>
      </c>
    </row>
    <row r="12" spans="1:5" x14ac:dyDescent="0.3">
      <c r="A12" t="s">
        <v>56</v>
      </c>
      <c r="B12" t="s">
        <v>309</v>
      </c>
      <c r="C12" t="s">
        <v>399</v>
      </c>
      <c r="D12">
        <v>22775</v>
      </c>
      <c r="E12" s="1">
        <v>0.10870602835186864</v>
      </c>
    </row>
    <row r="13" spans="1:5" x14ac:dyDescent="0.3">
      <c r="A13" t="s">
        <v>56</v>
      </c>
      <c r="B13" t="s">
        <v>310</v>
      </c>
      <c r="C13" t="s">
        <v>399</v>
      </c>
      <c r="D13">
        <v>88708</v>
      </c>
      <c r="E13" s="1">
        <v>0.42340699727936615</v>
      </c>
    </row>
    <row r="14" spans="1:5" x14ac:dyDescent="0.3">
      <c r="A14" t="s">
        <v>56</v>
      </c>
      <c r="B14" t="s">
        <v>402</v>
      </c>
      <c r="D14">
        <v>181</v>
      </c>
      <c r="E14" s="1">
        <v>8.6392057658345666E-4</v>
      </c>
    </row>
    <row r="15" spans="1:5" x14ac:dyDescent="0.3">
      <c r="A15" t="s">
        <v>51</v>
      </c>
      <c r="B15" t="s">
        <v>312</v>
      </c>
      <c r="C15" t="s">
        <v>399</v>
      </c>
      <c r="D15">
        <v>78025</v>
      </c>
      <c r="E15" s="1">
        <v>0.36376817675333695</v>
      </c>
    </row>
    <row r="16" spans="1:5" x14ac:dyDescent="0.3">
      <c r="A16" t="s">
        <v>51</v>
      </c>
      <c r="B16" t="s">
        <v>313</v>
      </c>
      <c r="C16" t="s">
        <v>399</v>
      </c>
      <c r="D16">
        <v>35820</v>
      </c>
      <c r="E16" s="1">
        <v>0.16700001398660083</v>
      </c>
    </row>
    <row r="17" spans="1:5" x14ac:dyDescent="0.3">
      <c r="A17" t="s">
        <v>51</v>
      </c>
      <c r="B17" t="s">
        <v>314</v>
      </c>
      <c r="C17" t="s">
        <v>401</v>
      </c>
      <c r="D17">
        <v>4102</v>
      </c>
      <c r="E17" s="1">
        <v>1.9124345543635863E-2</v>
      </c>
    </row>
    <row r="18" spans="1:5" x14ac:dyDescent="0.3">
      <c r="A18" t="s">
        <v>51</v>
      </c>
      <c r="B18" t="s">
        <v>315</v>
      </c>
      <c r="C18" t="s">
        <v>400</v>
      </c>
      <c r="D18">
        <v>3549</v>
      </c>
      <c r="E18" s="1">
        <v>1.6546148789459699E-2</v>
      </c>
    </row>
    <row r="19" spans="1:5" x14ac:dyDescent="0.3">
      <c r="A19" t="s">
        <v>51</v>
      </c>
      <c r="B19" t="s">
        <v>316</v>
      </c>
      <c r="C19" t="s">
        <v>399</v>
      </c>
      <c r="D19">
        <v>2058</v>
      </c>
      <c r="E19" s="1">
        <v>9.5948081737695281E-3</v>
      </c>
    </row>
    <row r="20" spans="1:5" x14ac:dyDescent="0.3">
      <c r="A20" t="s">
        <v>51</v>
      </c>
      <c r="B20" t="s">
        <v>317</v>
      </c>
      <c r="C20" t="s">
        <v>401</v>
      </c>
      <c r="D20">
        <v>85064</v>
      </c>
      <c r="E20" s="1">
        <v>0.3965854045158072</v>
      </c>
    </row>
    <row r="21" spans="1:5" x14ac:dyDescent="0.3">
      <c r="A21" t="s">
        <v>51</v>
      </c>
      <c r="B21" t="s">
        <v>318</v>
      </c>
      <c r="C21" t="s">
        <v>403</v>
      </c>
      <c r="D21">
        <v>1345</v>
      </c>
      <c r="E21" s="1">
        <v>6.2706593749854303E-3</v>
      </c>
    </row>
    <row r="22" spans="1:5" x14ac:dyDescent="0.3">
      <c r="A22" t="s">
        <v>51</v>
      </c>
      <c r="B22" t="s">
        <v>319</v>
      </c>
      <c r="C22" t="s">
        <v>399</v>
      </c>
      <c r="D22">
        <v>1656</v>
      </c>
      <c r="E22" s="1">
        <v>7.720603661692099E-3</v>
      </c>
    </row>
    <row r="23" spans="1:5" x14ac:dyDescent="0.3">
      <c r="A23" t="s">
        <v>51</v>
      </c>
      <c r="B23" t="s">
        <v>320</v>
      </c>
      <c r="C23" t="s">
        <v>401</v>
      </c>
      <c r="D23">
        <v>2727</v>
      </c>
      <c r="E23" s="1">
        <v>1.2713820160286446E-2</v>
      </c>
    </row>
    <row r="24" spans="1:5" x14ac:dyDescent="0.3">
      <c r="A24" t="s">
        <v>51</v>
      </c>
      <c r="B24" t="s">
        <v>404</v>
      </c>
      <c r="D24">
        <v>145</v>
      </c>
      <c r="E24" s="1">
        <v>6.7601904042593856E-4</v>
      </c>
    </row>
    <row r="25" spans="1:5" x14ac:dyDescent="0.3">
      <c r="A25" t="s">
        <v>66</v>
      </c>
      <c r="B25" t="s">
        <v>322</v>
      </c>
      <c r="C25" t="s">
        <v>405</v>
      </c>
      <c r="D25">
        <v>2214</v>
      </c>
      <c r="E25" s="1">
        <v>1.5519308009897589E-2</v>
      </c>
    </row>
    <row r="26" spans="1:5" x14ac:dyDescent="0.3">
      <c r="A26" t="s">
        <v>66</v>
      </c>
      <c r="B26" t="s">
        <v>323</v>
      </c>
      <c r="C26" t="s">
        <v>401</v>
      </c>
      <c r="D26">
        <v>49652</v>
      </c>
      <c r="E26" s="1">
        <v>0.34804186147580629</v>
      </c>
    </row>
    <row r="27" spans="1:5" x14ac:dyDescent="0.3">
      <c r="A27" t="s">
        <v>66</v>
      </c>
      <c r="B27" t="s">
        <v>324</v>
      </c>
      <c r="C27" t="s">
        <v>399</v>
      </c>
      <c r="D27">
        <v>42681</v>
      </c>
      <c r="E27" s="1">
        <v>0.2991777710796924</v>
      </c>
    </row>
    <row r="28" spans="1:5" x14ac:dyDescent="0.3">
      <c r="A28" t="s">
        <v>66</v>
      </c>
      <c r="B28" t="s">
        <v>325</v>
      </c>
      <c r="C28" t="s">
        <v>401</v>
      </c>
      <c r="D28">
        <v>1695</v>
      </c>
      <c r="E28" s="1">
        <v>1.1881313042807776E-2</v>
      </c>
    </row>
    <row r="29" spans="1:5" x14ac:dyDescent="0.3">
      <c r="A29" t="s">
        <v>66</v>
      </c>
      <c r="B29" t="s">
        <v>326</v>
      </c>
      <c r="C29" t="s">
        <v>400</v>
      </c>
      <c r="D29">
        <v>5776</v>
      </c>
      <c r="E29" s="1">
        <v>4.0487589460329029E-2</v>
      </c>
    </row>
    <row r="30" spans="1:5" x14ac:dyDescent="0.3">
      <c r="A30" t="s">
        <v>66</v>
      </c>
      <c r="B30" t="s">
        <v>327</v>
      </c>
      <c r="C30" t="s">
        <v>401</v>
      </c>
      <c r="D30">
        <v>20808</v>
      </c>
      <c r="E30" s="1">
        <v>0.14585626064586676</v>
      </c>
    </row>
    <row r="31" spans="1:5" x14ac:dyDescent="0.3">
      <c r="A31" t="s">
        <v>66</v>
      </c>
      <c r="B31" t="s">
        <v>328</v>
      </c>
      <c r="C31" t="s">
        <v>403</v>
      </c>
      <c r="D31">
        <v>1956</v>
      </c>
      <c r="E31" s="1">
        <v>1.3710824962673751E-2</v>
      </c>
    </row>
    <row r="32" spans="1:5" x14ac:dyDescent="0.3">
      <c r="A32" t="s">
        <v>66</v>
      </c>
      <c r="B32" t="s">
        <v>329</v>
      </c>
      <c r="C32" t="s">
        <v>401</v>
      </c>
      <c r="D32">
        <v>477</v>
      </c>
      <c r="E32" s="1">
        <v>3.3435907500998872E-3</v>
      </c>
    </row>
    <row r="33" spans="1:5" x14ac:dyDescent="0.3">
      <c r="A33" t="s">
        <v>66</v>
      </c>
      <c r="B33" t="s">
        <v>330</v>
      </c>
      <c r="C33" t="s">
        <v>405</v>
      </c>
      <c r="D33">
        <v>879</v>
      </c>
      <c r="E33" s="1">
        <v>6.1614596841463327E-3</v>
      </c>
    </row>
    <row r="34" spans="1:5" x14ac:dyDescent="0.3">
      <c r="A34" t="s">
        <v>66</v>
      </c>
      <c r="B34" t="s">
        <v>331</v>
      </c>
      <c r="C34" t="s">
        <v>401</v>
      </c>
      <c r="D34">
        <v>1393</v>
      </c>
      <c r="E34" s="1">
        <v>9.7644065301659179E-3</v>
      </c>
    </row>
    <row r="35" spans="1:5" x14ac:dyDescent="0.3">
      <c r="A35" t="s">
        <v>66</v>
      </c>
      <c r="B35" t="s">
        <v>332</v>
      </c>
      <c r="C35" t="s">
        <v>401</v>
      </c>
      <c r="D35">
        <v>15013</v>
      </c>
      <c r="E35" s="1">
        <v>0.10523548832547087</v>
      </c>
    </row>
    <row r="36" spans="1:5" x14ac:dyDescent="0.3">
      <c r="A36" t="s">
        <v>66</v>
      </c>
      <c r="B36" t="s">
        <v>402</v>
      </c>
      <c r="D36">
        <v>117</v>
      </c>
      <c r="E36" s="1">
        <v>8.2012603304336851E-4</v>
      </c>
    </row>
    <row r="37" spans="1:5" x14ac:dyDescent="0.3">
      <c r="A37" t="s">
        <v>60</v>
      </c>
      <c r="B37" t="s">
        <v>334</v>
      </c>
      <c r="C37" t="s">
        <v>400</v>
      </c>
      <c r="D37">
        <v>33443</v>
      </c>
      <c r="E37" s="1">
        <v>0.16376849208409031</v>
      </c>
    </row>
    <row r="38" spans="1:5" x14ac:dyDescent="0.3">
      <c r="A38" t="s">
        <v>60</v>
      </c>
      <c r="B38" t="s">
        <v>335</v>
      </c>
      <c r="C38" t="s">
        <v>399</v>
      </c>
      <c r="D38">
        <v>38487</v>
      </c>
      <c r="E38" s="1">
        <v>0.18846867669887224</v>
      </c>
    </row>
    <row r="39" spans="1:5" x14ac:dyDescent="0.3">
      <c r="A39" t="s">
        <v>60</v>
      </c>
      <c r="B39" t="s">
        <v>336</v>
      </c>
      <c r="C39" t="s">
        <v>400</v>
      </c>
      <c r="D39">
        <v>2417</v>
      </c>
      <c r="E39" s="1">
        <v>1.183591320656778E-2</v>
      </c>
    </row>
    <row r="40" spans="1:5" x14ac:dyDescent="0.3">
      <c r="A40" t="s">
        <v>60</v>
      </c>
      <c r="B40" t="s">
        <v>337</v>
      </c>
      <c r="C40" t="s">
        <v>399</v>
      </c>
      <c r="D40">
        <v>6482</v>
      </c>
      <c r="E40" s="1">
        <v>3.1741989824150746E-2</v>
      </c>
    </row>
    <row r="41" spans="1:5" x14ac:dyDescent="0.3">
      <c r="A41" t="s">
        <v>60</v>
      </c>
      <c r="B41" t="s">
        <v>338</v>
      </c>
      <c r="C41" t="s">
        <v>399</v>
      </c>
      <c r="D41">
        <v>1152</v>
      </c>
      <c r="E41" s="1">
        <v>5.6412792776028477E-3</v>
      </c>
    </row>
    <row r="42" spans="1:5" x14ac:dyDescent="0.3">
      <c r="A42" t="s">
        <v>60</v>
      </c>
      <c r="B42" t="s">
        <v>339</v>
      </c>
      <c r="C42" t="s">
        <v>399</v>
      </c>
      <c r="D42">
        <v>9048</v>
      </c>
      <c r="E42" s="1">
        <v>4.4307547659505703E-2</v>
      </c>
    </row>
    <row r="43" spans="1:5" x14ac:dyDescent="0.3">
      <c r="A43" t="s">
        <v>60</v>
      </c>
      <c r="B43" t="s">
        <v>340</v>
      </c>
      <c r="C43" t="s">
        <v>401</v>
      </c>
      <c r="D43">
        <v>96791</v>
      </c>
      <c r="E43" s="1">
        <v>0.47398008902643862</v>
      </c>
    </row>
    <row r="44" spans="1:5" x14ac:dyDescent="0.3">
      <c r="A44" t="s">
        <v>60</v>
      </c>
      <c r="B44" t="s">
        <v>341</v>
      </c>
      <c r="C44" t="s">
        <v>400</v>
      </c>
      <c r="D44">
        <v>2274</v>
      </c>
      <c r="E44" s="1">
        <v>1.1135650240684788E-2</v>
      </c>
    </row>
    <row r="45" spans="1:5" x14ac:dyDescent="0.3">
      <c r="A45" t="s">
        <v>60</v>
      </c>
      <c r="B45" t="s">
        <v>342</v>
      </c>
      <c r="C45" t="s">
        <v>400</v>
      </c>
      <c r="D45">
        <v>915</v>
      </c>
      <c r="E45" s="1">
        <v>4.480703592887679E-3</v>
      </c>
    </row>
    <row r="46" spans="1:5" x14ac:dyDescent="0.3">
      <c r="A46" t="s">
        <v>60</v>
      </c>
      <c r="B46" t="s">
        <v>343</v>
      </c>
      <c r="C46" t="s">
        <v>400</v>
      </c>
      <c r="D46">
        <v>2920</v>
      </c>
      <c r="E46" s="1">
        <v>1.4299075946701663E-2</v>
      </c>
    </row>
    <row r="47" spans="1:5" x14ac:dyDescent="0.3">
      <c r="A47" t="s">
        <v>60</v>
      </c>
      <c r="B47" t="s">
        <v>344</v>
      </c>
      <c r="C47" t="s">
        <v>399</v>
      </c>
      <c r="D47">
        <v>2866</v>
      </c>
      <c r="E47" s="1">
        <v>1.403464098056403E-2</v>
      </c>
    </row>
    <row r="48" spans="1:5" x14ac:dyDescent="0.3">
      <c r="A48" t="s">
        <v>60</v>
      </c>
      <c r="B48" t="s">
        <v>345</v>
      </c>
      <c r="C48" t="s">
        <v>399</v>
      </c>
      <c r="D48">
        <v>7242</v>
      </c>
      <c r="E48" s="1">
        <v>3.546366712534707E-2</v>
      </c>
    </row>
    <row r="49" spans="1:5" x14ac:dyDescent="0.3">
      <c r="A49" t="s">
        <v>60</v>
      </c>
      <c r="B49" t="s">
        <v>404</v>
      </c>
      <c r="D49">
        <v>172</v>
      </c>
      <c r="E49" s="1">
        <v>8.4227433658653637E-4</v>
      </c>
    </row>
    <row r="50" spans="1:5" x14ac:dyDescent="0.3">
      <c r="A50" t="s">
        <v>54</v>
      </c>
      <c r="B50" t="s">
        <v>347</v>
      </c>
      <c r="C50" t="s">
        <v>399</v>
      </c>
      <c r="D50">
        <v>132805</v>
      </c>
      <c r="E50" s="1">
        <v>0.58773156548446204</v>
      </c>
    </row>
    <row r="51" spans="1:5" x14ac:dyDescent="0.3">
      <c r="A51" t="s">
        <v>54</v>
      </c>
      <c r="B51" t="s">
        <v>348</v>
      </c>
      <c r="C51" t="s">
        <v>400</v>
      </c>
      <c r="D51">
        <v>7307</v>
      </c>
      <c r="E51" s="1">
        <v>3.2337295651481225E-2</v>
      </c>
    </row>
    <row r="52" spans="1:5" x14ac:dyDescent="0.3">
      <c r="A52" t="s">
        <v>54</v>
      </c>
      <c r="B52" t="s">
        <v>349</v>
      </c>
      <c r="C52" t="s">
        <v>401</v>
      </c>
      <c r="D52">
        <v>57700</v>
      </c>
      <c r="E52" s="1">
        <v>0.2553526699179508</v>
      </c>
    </row>
    <row r="53" spans="1:5" x14ac:dyDescent="0.3">
      <c r="A53" t="s">
        <v>54</v>
      </c>
      <c r="B53" t="s">
        <v>350</v>
      </c>
      <c r="C53" t="s">
        <v>405</v>
      </c>
      <c r="D53">
        <v>6044</v>
      </c>
      <c r="E53" s="1">
        <v>2.6747860259689681E-2</v>
      </c>
    </row>
    <row r="54" spans="1:5" x14ac:dyDescent="0.3">
      <c r="A54" t="s">
        <v>54</v>
      </c>
      <c r="B54" t="s">
        <v>351</v>
      </c>
      <c r="C54" t="s">
        <v>406</v>
      </c>
      <c r="D54">
        <v>21965</v>
      </c>
      <c r="E54" s="1">
        <v>9.7206609960966889E-2</v>
      </c>
    </row>
    <row r="55" spans="1:5" x14ac:dyDescent="0.3">
      <c r="A55" t="s">
        <v>54</v>
      </c>
      <c r="B55" t="s">
        <v>402</v>
      </c>
      <c r="D55">
        <v>141</v>
      </c>
      <c r="E55" s="1">
        <v>6.2399872544941187E-4</v>
      </c>
    </row>
    <row r="56" spans="1:5" x14ac:dyDescent="0.3">
      <c r="A56" t="s">
        <v>49</v>
      </c>
      <c r="B56" t="s">
        <v>353</v>
      </c>
      <c r="C56" t="s">
        <v>407</v>
      </c>
      <c r="D56">
        <v>4294</v>
      </c>
      <c r="E56" s="1">
        <v>1.9811664613524897E-2</v>
      </c>
    </row>
    <row r="57" spans="1:5" x14ac:dyDescent="0.3">
      <c r="A57" t="s">
        <v>49</v>
      </c>
      <c r="B57" t="s">
        <v>354</v>
      </c>
      <c r="C57" t="s">
        <v>399</v>
      </c>
      <c r="D57">
        <v>182844</v>
      </c>
      <c r="E57" s="1">
        <v>0.84360596287735135</v>
      </c>
    </row>
    <row r="58" spans="1:5" x14ac:dyDescent="0.3">
      <c r="A58" t="s">
        <v>49</v>
      </c>
      <c r="B58" t="s">
        <v>355</v>
      </c>
      <c r="C58" t="s">
        <v>401</v>
      </c>
      <c r="D58">
        <v>21282</v>
      </c>
      <c r="E58" s="1">
        <v>9.8190928343045381E-2</v>
      </c>
    </row>
    <row r="59" spans="1:5" x14ac:dyDescent="0.3">
      <c r="A59" t="s">
        <v>49</v>
      </c>
      <c r="B59" t="s">
        <v>356</v>
      </c>
      <c r="C59" t="s">
        <v>399</v>
      </c>
      <c r="D59">
        <v>7519</v>
      </c>
      <c r="E59" s="1">
        <v>3.4691175181437751E-2</v>
      </c>
    </row>
    <row r="60" spans="1:5" x14ac:dyDescent="0.3">
      <c r="A60" t="s">
        <v>49</v>
      </c>
      <c r="B60" t="s">
        <v>404</v>
      </c>
      <c r="D60">
        <v>802</v>
      </c>
      <c r="E60" s="1">
        <v>3.7002689846406542E-3</v>
      </c>
    </row>
    <row r="61" spans="1:5" x14ac:dyDescent="0.3">
      <c r="A61" t="s">
        <v>58</v>
      </c>
      <c r="B61" t="s">
        <v>358</v>
      </c>
      <c r="C61" t="s">
        <v>399</v>
      </c>
      <c r="D61">
        <v>102853</v>
      </c>
      <c r="E61" s="1">
        <v>0.53685309392697755</v>
      </c>
    </row>
    <row r="62" spans="1:5" x14ac:dyDescent="0.3">
      <c r="A62" t="s">
        <v>58</v>
      </c>
      <c r="B62" t="s">
        <v>359</v>
      </c>
      <c r="C62" t="s">
        <v>401</v>
      </c>
      <c r="D62">
        <v>28340</v>
      </c>
      <c r="E62" s="1">
        <v>0.14792389800871675</v>
      </c>
    </row>
    <row r="63" spans="1:5" x14ac:dyDescent="0.3">
      <c r="A63" t="s">
        <v>58</v>
      </c>
      <c r="B63" t="s">
        <v>360</v>
      </c>
      <c r="C63" t="s">
        <v>401</v>
      </c>
      <c r="D63">
        <v>30324</v>
      </c>
      <c r="E63" s="1">
        <v>0.15827961479238981</v>
      </c>
    </row>
    <row r="64" spans="1:5" x14ac:dyDescent="0.3">
      <c r="A64" t="s">
        <v>58</v>
      </c>
      <c r="B64" t="s">
        <v>361</v>
      </c>
      <c r="C64" t="s">
        <v>399</v>
      </c>
      <c r="D64">
        <v>4777</v>
      </c>
      <c r="E64" s="1">
        <v>2.4934102356656315E-2</v>
      </c>
    </row>
    <row r="65" spans="1:5" x14ac:dyDescent="0.3">
      <c r="A65" t="s">
        <v>58</v>
      </c>
      <c r="B65" t="s">
        <v>362</v>
      </c>
      <c r="C65" t="s">
        <v>401</v>
      </c>
      <c r="D65">
        <v>4549</v>
      </c>
      <c r="E65" s="1">
        <v>2.3744030064984212E-2</v>
      </c>
    </row>
    <row r="66" spans="1:5" x14ac:dyDescent="0.3">
      <c r="A66" t="s">
        <v>58</v>
      </c>
      <c r="B66" t="s">
        <v>363</v>
      </c>
      <c r="C66" t="s">
        <v>401</v>
      </c>
      <c r="D66">
        <v>20382</v>
      </c>
      <c r="E66" s="1">
        <v>0.10638619933710886</v>
      </c>
    </row>
    <row r="67" spans="1:5" x14ac:dyDescent="0.3">
      <c r="A67" t="s">
        <v>58</v>
      </c>
      <c r="B67" t="s">
        <v>404</v>
      </c>
      <c r="D67">
        <v>360</v>
      </c>
      <c r="E67" s="1">
        <v>1.8790615131664796E-3</v>
      </c>
    </row>
    <row r="68" spans="1:5" x14ac:dyDescent="0.3">
      <c r="A68" t="s">
        <v>68</v>
      </c>
      <c r="B68" t="s">
        <v>365</v>
      </c>
      <c r="C68" t="s">
        <v>408</v>
      </c>
      <c r="D68">
        <v>1588</v>
      </c>
      <c r="E68" s="1">
        <v>1.1155132203770828E-2</v>
      </c>
    </row>
    <row r="69" spans="1:5" x14ac:dyDescent="0.3">
      <c r="A69" t="s">
        <v>68</v>
      </c>
      <c r="B69" t="s">
        <v>366</v>
      </c>
      <c r="C69" t="s">
        <v>400</v>
      </c>
      <c r="D69">
        <v>24583</v>
      </c>
      <c r="E69" s="1">
        <v>0.17268678524263115</v>
      </c>
    </row>
    <row r="70" spans="1:5" x14ac:dyDescent="0.3">
      <c r="A70" t="s">
        <v>68</v>
      </c>
      <c r="B70" t="s">
        <v>367</v>
      </c>
      <c r="C70" t="s">
        <v>399</v>
      </c>
      <c r="D70">
        <v>17811</v>
      </c>
      <c r="E70" s="1">
        <v>0.12511590660035404</v>
      </c>
    </row>
    <row r="71" spans="1:5" x14ac:dyDescent="0.3">
      <c r="A71" t="s">
        <v>68</v>
      </c>
      <c r="B71" t="s">
        <v>368</v>
      </c>
      <c r="C71" t="s">
        <v>401</v>
      </c>
      <c r="D71">
        <v>31070</v>
      </c>
      <c r="E71" s="1">
        <v>0.2182556407878839</v>
      </c>
    </row>
    <row r="72" spans="1:5" x14ac:dyDescent="0.3">
      <c r="A72" t="s">
        <v>68</v>
      </c>
      <c r="B72" t="s">
        <v>369</v>
      </c>
      <c r="C72" t="s">
        <v>399</v>
      </c>
      <c r="D72">
        <v>67095</v>
      </c>
      <c r="E72" s="1">
        <v>0.47131838489420891</v>
      </c>
    </row>
    <row r="73" spans="1:5" x14ac:dyDescent="0.3">
      <c r="A73" t="s">
        <v>68</v>
      </c>
      <c r="B73" t="s">
        <v>404</v>
      </c>
      <c r="D73">
        <v>209</v>
      </c>
      <c r="E73" s="1">
        <v>1.4681502711511984E-3</v>
      </c>
    </row>
    <row r="74" spans="1:5" x14ac:dyDescent="0.3">
      <c r="A74" t="s">
        <v>64</v>
      </c>
      <c r="B74" t="s">
        <v>371</v>
      </c>
      <c r="C74" t="s">
        <v>399</v>
      </c>
      <c r="D74">
        <v>14695</v>
      </c>
      <c r="E74" s="1">
        <v>9.4245840869152525E-2</v>
      </c>
    </row>
    <row r="75" spans="1:5" x14ac:dyDescent="0.3">
      <c r="A75" t="s">
        <v>64</v>
      </c>
      <c r="B75" t="s">
        <v>372</v>
      </c>
      <c r="C75" t="s">
        <v>399</v>
      </c>
      <c r="D75">
        <v>73689</v>
      </c>
      <c r="E75" s="1">
        <v>0.47260168545811365</v>
      </c>
    </row>
    <row r="76" spans="1:5" x14ac:dyDescent="0.3">
      <c r="A76" t="s">
        <v>64</v>
      </c>
      <c r="B76" t="s">
        <v>373</v>
      </c>
      <c r="C76" t="s">
        <v>409</v>
      </c>
      <c r="D76">
        <v>713</v>
      </c>
      <c r="E76" s="1">
        <v>4.5727992201228824E-3</v>
      </c>
    </row>
    <row r="77" spans="1:5" x14ac:dyDescent="0.3">
      <c r="A77" t="s">
        <v>64</v>
      </c>
      <c r="B77" t="s">
        <v>374</v>
      </c>
      <c r="C77" t="s">
        <v>399</v>
      </c>
      <c r="D77">
        <v>16074</v>
      </c>
      <c r="E77" s="1">
        <v>0.10309000654173241</v>
      </c>
    </row>
    <row r="78" spans="1:5" x14ac:dyDescent="0.3">
      <c r="A78" t="s">
        <v>64</v>
      </c>
      <c r="B78" t="s">
        <v>375</v>
      </c>
      <c r="C78" t="s">
        <v>405</v>
      </c>
      <c r="D78">
        <v>1431</v>
      </c>
      <c r="E78" s="1">
        <v>9.1776657559549009E-3</v>
      </c>
    </row>
    <row r="79" spans="1:5" x14ac:dyDescent="0.3">
      <c r="A79" t="s">
        <v>64</v>
      </c>
      <c r="B79" t="s">
        <v>376</v>
      </c>
      <c r="C79" t="s">
        <v>401</v>
      </c>
      <c r="D79">
        <v>48953</v>
      </c>
      <c r="E79" s="1">
        <v>0.31395826118187298</v>
      </c>
    </row>
    <row r="80" spans="1:5" x14ac:dyDescent="0.3">
      <c r="A80" t="s">
        <v>64</v>
      </c>
      <c r="B80" t="s">
        <v>402</v>
      </c>
      <c r="D80">
        <v>367</v>
      </c>
      <c r="E80" s="1">
        <v>2.3537409730506279E-3</v>
      </c>
    </row>
    <row r="81" spans="1:5" x14ac:dyDescent="0.3">
      <c r="A81" t="s">
        <v>181</v>
      </c>
      <c r="B81" t="s">
        <v>410</v>
      </c>
      <c r="C81" t="s">
        <v>401</v>
      </c>
      <c r="D81">
        <v>24422</v>
      </c>
      <c r="E81" s="1">
        <v>0.91588224264016505</v>
      </c>
    </row>
    <row r="82" spans="1:5" x14ac:dyDescent="0.3">
      <c r="A82" t="s">
        <v>181</v>
      </c>
      <c r="B82" t="s">
        <v>402</v>
      </c>
      <c r="D82">
        <v>2243</v>
      </c>
      <c r="E82" s="1">
        <v>8.4117757359834996E-2</v>
      </c>
    </row>
    <row r="83" spans="1:5" x14ac:dyDescent="0.3">
      <c r="A83" t="s">
        <v>142</v>
      </c>
      <c r="B83" t="s">
        <v>411</v>
      </c>
      <c r="C83" t="s">
        <v>401</v>
      </c>
      <c r="D83">
        <v>24089</v>
      </c>
      <c r="E83" s="1">
        <v>0.58394744497236495</v>
      </c>
    </row>
    <row r="84" spans="1:5" x14ac:dyDescent="0.3">
      <c r="A84" t="s">
        <v>142</v>
      </c>
      <c r="B84" t="s">
        <v>412</v>
      </c>
      <c r="C84" t="s">
        <v>400</v>
      </c>
      <c r="D84">
        <v>11061</v>
      </c>
      <c r="E84" s="1">
        <v>0.26813245418403958</v>
      </c>
    </row>
    <row r="85" spans="1:5" x14ac:dyDescent="0.3">
      <c r="A85" t="s">
        <v>142</v>
      </c>
      <c r="B85" t="s">
        <v>413</v>
      </c>
      <c r="C85" t="s">
        <v>401</v>
      </c>
      <c r="D85">
        <v>3489</v>
      </c>
      <c r="E85" s="1">
        <v>8.457771744400272E-2</v>
      </c>
    </row>
    <row r="86" spans="1:5" x14ac:dyDescent="0.3">
      <c r="A86" t="s">
        <v>142</v>
      </c>
      <c r="B86" t="s">
        <v>414</v>
      </c>
      <c r="C86" t="s">
        <v>401</v>
      </c>
      <c r="D86">
        <v>2341</v>
      </c>
      <c r="E86" s="1">
        <v>5.6748763696305632E-2</v>
      </c>
    </row>
    <row r="87" spans="1:5" x14ac:dyDescent="0.3">
      <c r="A87" t="s">
        <v>142</v>
      </c>
      <c r="B87" t="s">
        <v>404</v>
      </c>
      <c r="D87">
        <v>272</v>
      </c>
      <c r="E87" s="1">
        <v>6.5936197032871137E-3</v>
      </c>
    </row>
    <row r="88" spans="1:5" x14ac:dyDescent="0.3">
      <c r="A88" t="s">
        <v>196</v>
      </c>
      <c r="B88" t="s">
        <v>415</v>
      </c>
      <c r="C88" t="s">
        <v>401</v>
      </c>
      <c r="D88">
        <v>14297</v>
      </c>
      <c r="E88" s="1">
        <v>0.4630907265247951</v>
      </c>
    </row>
    <row r="89" spans="1:5" x14ac:dyDescent="0.3">
      <c r="A89" t="s">
        <v>196</v>
      </c>
      <c r="B89" t="s">
        <v>416</v>
      </c>
      <c r="C89" t="s">
        <v>401</v>
      </c>
      <c r="D89">
        <v>16065</v>
      </c>
      <c r="E89" s="1">
        <v>0.52035759401418713</v>
      </c>
    </row>
    <row r="90" spans="1:5" x14ac:dyDescent="0.3">
      <c r="A90" t="s">
        <v>196</v>
      </c>
      <c r="B90" t="s">
        <v>402</v>
      </c>
      <c r="D90">
        <v>511</v>
      </c>
      <c r="E90" s="1">
        <v>1.6551679461017717E-2</v>
      </c>
    </row>
    <row r="91" spans="1:5" x14ac:dyDescent="0.3">
      <c r="A91" t="s">
        <v>212</v>
      </c>
      <c r="B91" t="s">
        <v>417</v>
      </c>
      <c r="C91" t="s">
        <v>401</v>
      </c>
      <c r="D91">
        <v>23489</v>
      </c>
      <c r="E91" s="1">
        <v>0.97246832822720874</v>
      </c>
    </row>
    <row r="92" spans="1:5" x14ac:dyDescent="0.3">
      <c r="A92" t="s">
        <v>212</v>
      </c>
      <c r="B92" t="s">
        <v>402</v>
      </c>
      <c r="D92">
        <v>665</v>
      </c>
      <c r="E92" s="1">
        <v>2.7531671772791255E-2</v>
      </c>
    </row>
    <row r="93" spans="1:5" x14ac:dyDescent="0.3">
      <c r="A93" t="s">
        <v>207</v>
      </c>
      <c r="B93" t="s">
        <v>418</v>
      </c>
      <c r="C93" t="s">
        <v>401</v>
      </c>
      <c r="D93">
        <v>23718</v>
      </c>
      <c r="E93" s="1">
        <v>0.9531042796865582</v>
      </c>
    </row>
    <row r="94" spans="1:5" x14ac:dyDescent="0.3">
      <c r="A94" t="s">
        <v>207</v>
      </c>
      <c r="B94" t="s">
        <v>402</v>
      </c>
      <c r="D94">
        <v>1167</v>
      </c>
      <c r="E94" s="1">
        <v>4.689572031344183E-2</v>
      </c>
    </row>
    <row r="95" spans="1:5" x14ac:dyDescent="0.3">
      <c r="A95" t="s">
        <v>204</v>
      </c>
      <c r="B95" t="s">
        <v>419</v>
      </c>
      <c r="C95" t="s">
        <v>399</v>
      </c>
      <c r="D95">
        <v>23290</v>
      </c>
      <c r="E95" s="1">
        <v>0.72053955387804347</v>
      </c>
    </row>
    <row r="96" spans="1:5" x14ac:dyDescent="0.3">
      <c r="A96" t="s">
        <v>204</v>
      </c>
      <c r="B96" t="s">
        <v>420</v>
      </c>
      <c r="C96" t="s">
        <v>401</v>
      </c>
      <c r="D96">
        <v>8873</v>
      </c>
      <c r="E96" s="1">
        <v>0.27451041054357578</v>
      </c>
    </row>
    <row r="97" spans="1:5" x14ac:dyDescent="0.3">
      <c r="A97" t="s">
        <v>204</v>
      </c>
      <c r="B97" t="s">
        <v>402</v>
      </c>
      <c r="D97">
        <v>160</v>
      </c>
      <c r="E97" s="1">
        <v>4.9500355783807194E-3</v>
      </c>
    </row>
    <row r="98" spans="1:5" x14ac:dyDescent="0.3">
      <c r="A98" t="s">
        <v>70</v>
      </c>
      <c r="B98" t="s">
        <v>421</v>
      </c>
      <c r="C98" t="s">
        <v>399</v>
      </c>
      <c r="D98">
        <v>28575</v>
      </c>
      <c r="E98" s="1">
        <v>0.56091001884422109</v>
      </c>
    </row>
    <row r="99" spans="1:5" x14ac:dyDescent="0.3">
      <c r="A99" t="s">
        <v>70</v>
      </c>
      <c r="B99" t="s">
        <v>422</v>
      </c>
      <c r="C99" t="s">
        <v>401</v>
      </c>
      <c r="D99">
        <v>22328</v>
      </c>
      <c r="E99" s="1">
        <v>0.43828517587939697</v>
      </c>
    </row>
    <row r="100" spans="1:5" x14ac:dyDescent="0.3">
      <c r="A100" t="s">
        <v>70</v>
      </c>
      <c r="B100" t="s">
        <v>402</v>
      </c>
      <c r="D100">
        <v>41</v>
      </c>
      <c r="E100" s="1">
        <v>8.0480527638190956E-4</v>
      </c>
    </row>
    <row r="101" spans="1:5" x14ac:dyDescent="0.3">
      <c r="A101" t="s">
        <v>238</v>
      </c>
      <c r="B101" t="s">
        <v>423</v>
      </c>
      <c r="C101" t="s">
        <v>399</v>
      </c>
      <c r="D101">
        <v>12071</v>
      </c>
      <c r="E101" s="1">
        <v>0.70335625218506004</v>
      </c>
    </row>
    <row r="102" spans="1:5" x14ac:dyDescent="0.3">
      <c r="A102" t="s">
        <v>238</v>
      </c>
      <c r="B102" t="s">
        <v>424</v>
      </c>
      <c r="C102" t="s">
        <v>399</v>
      </c>
      <c r="D102">
        <v>4440</v>
      </c>
      <c r="E102" s="1">
        <v>0.2587111059317096</v>
      </c>
    </row>
    <row r="103" spans="1:5" x14ac:dyDescent="0.3">
      <c r="A103" t="s">
        <v>238</v>
      </c>
      <c r="B103" t="s">
        <v>402</v>
      </c>
      <c r="D103">
        <v>651</v>
      </c>
      <c r="E103" s="1">
        <v>3.7932641883230395E-2</v>
      </c>
    </row>
    <row r="104" spans="1:5" x14ac:dyDescent="0.3">
      <c r="A104" t="s">
        <v>233</v>
      </c>
      <c r="B104" t="s">
        <v>425</v>
      </c>
      <c r="C104" t="s">
        <v>399</v>
      </c>
      <c r="D104">
        <v>14561</v>
      </c>
      <c r="E104" s="1">
        <v>0.62117657096540246</v>
      </c>
    </row>
    <row r="105" spans="1:5" x14ac:dyDescent="0.3">
      <c r="A105" t="s">
        <v>233</v>
      </c>
      <c r="B105" t="s">
        <v>426</v>
      </c>
      <c r="C105" t="s">
        <v>401</v>
      </c>
      <c r="D105">
        <v>8865</v>
      </c>
      <c r="E105" s="1">
        <v>0.37818352459366067</v>
      </c>
    </row>
    <row r="106" spans="1:5" x14ac:dyDescent="0.3">
      <c r="A106" t="s">
        <v>233</v>
      </c>
      <c r="B106" t="s">
        <v>402</v>
      </c>
      <c r="D106">
        <v>15</v>
      </c>
      <c r="E106" s="1">
        <v>6.399044409368201E-4</v>
      </c>
    </row>
    <row r="107" spans="1:5" x14ac:dyDescent="0.3">
      <c r="A107" t="s">
        <v>199</v>
      </c>
      <c r="B107" t="s">
        <v>427</v>
      </c>
      <c r="C107" t="s">
        <v>399</v>
      </c>
      <c r="D107">
        <v>15638</v>
      </c>
      <c r="E107" s="1">
        <v>0.45662393786317051</v>
      </c>
    </row>
    <row r="108" spans="1:5" x14ac:dyDescent="0.3">
      <c r="A108" t="s">
        <v>199</v>
      </c>
      <c r="B108" t="s">
        <v>428</v>
      </c>
      <c r="C108" t="s">
        <v>401</v>
      </c>
      <c r="D108">
        <v>18583</v>
      </c>
      <c r="E108" s="1">
        <v>0.54261687155079275</v>
      </c>
    </row>
    <row r="109" spans="1:5" x14ac:dyDescent="0.3">
      <c r="A109" t="s">
        <v>199</v>
      </c>
      <c r="B109" t="s">
        <v>402</v>
      </c>
      <c r="D109">
        <v>26</v>
      </c>
      <c r="E109" s="1">
        <v>7.5919058603673311E-4</v>
      </c>
    </row>
    <row r="110" spans="1:5" x14ac:dyDescent="0.3">
      <c r="A110" t="s">
        <v>164</v>
      </c>
      <c r="B110" t="s">
        <v>429</v>
      </c>
      <c r="C110" t="s">
        <v>399</v>
      </c>
      <c r="D110">
        <v>17876</v>
      </c>
      <c r="E110" s="1">
        <v>0.44184092144940434</v>
      </c>
    </row>
    <row r="111" spans="1:5" x14ac:dyDescent="0.3">
      <c r="A111" t="s">
        <v>164</v>
      </c>
      <c r="B111" t="s">
        <v>430</v>
      </c>
      <c r="C111" t="s">
        <v>401</v>
      </c>
      <c r="D111">
        <v>7312</v>
      </c>
      <c r="E111" s="1">
        <v>0.1807306342379752</v>
      </c>
    </row>
    <row r="112" spans="1:5" x14ac:dyDescent="0.3">
      <c r="A112" t="s">
        <v>164</v>
      </c>
      <c r="B112" t="s">
        <v>431</v>
      </c>
      <c r="C112" t="s">
        <v>399</v>
      </c>
      <c r="D112">
        <v>15221</v>
      </c>
      <c r="E112" s="1">
        <v>0.37621731178011764</v>
      </c>
    </row>
    <row r="113" spans="1:5" x14ac:dyDescent="0.3">
      <c r="A113" t="s">
        <v>164</v>
      </c>
      <c r="B113" t="s">
        <v>402</v>
      </c>
      <c r="D113">
        <v>49</v>
      </c>
      <c r="E113" s="1">
        <v>1.2111325325028423E-3</v>
      </c>
    </row>
    <row r="114" spans="1:5" x14ac:dyDescent="0.3">
      <c r="A114" t="s">
        <v>228</v>
      </c>
      <c r="B114" t="s">
        <v>432</v>
      </c>
      <c r="C114" t="s">
        <v>399</v>
      </c>
      <c r="D114">
        <v>19890</v>
      </c>
      <c r="E114" s="1">
        <v>0.95199349064279903</v>
      </c>
    </row>
    <row r="115" spans="1:5" x14ac:dyDescent="0.3">
      <c r="A115" t="s">
        <v>228</v>
      </c>
      <c r="B115" t="s">
        <v>402</v>
      </c>
      <c r="D115">
        <v>1003</v>
      </c>
      <c r="E115" s="1">
        <v>4.8006509357200973E-2</v>
      </c>
    </row>
    <row r="116" spans="1:5" x14ac:dyDescent="0.3">
      <c r="A116" t="s">
        <v>136</v>
      </c>
      <c r="B116" t="s">
        <v>433</v>
      </c>
      <c r="C116" t="s">
        <v>399</v>
      </c>
      <c r="D116">
        <v>34790</v>
      </c>
      <c r="E116" s="1">
        <v>0.97369157570668907</v>
      </c>
    </row>
    <row r="117" spans="1:5" x14ac:dyDescent="0.3">
      <c r="A117" t="s">
        <v>136</v>
      </c>
      <c r="B117" t="s">
        <v>402</v>
      </c>
      <c r="D117">
        <v>940</v>
      </c>
      <c r="E117" s="1">
        <v>2.6308424293310942E-2</v>
      </c>
    </row>
    <row r="118" spans="1:5" x14ac:dyDescent="0.3">
      <c r="A118" t="s">
        <v>76</v>
      </c>
      <c r="B118" t="s">
        <v>434</v>
      </c>
      <c r="C118" t="s">
        <v>399</v>
      </c>
      <c r="D118">
        <v>24574</v>
      </c>
      <c r="E118" s="1">
        <v>0.48877220200091492</v>
      </c>
    </row>
    <row r="119" spans="1:5" x14ac:dyDescent="0.3">
      <c r="A119" t="s">
        <v>76</v>
      </c>
      <c r="B119" t="s">
        <v>435</v>
      </c>
      <c r="C119" t="s">
        <v>401</v>
      </c>
      <c r="D119">
        <v>25643</v>
      </c>
      <c r="E119" s="1">
        <v>0.51003440937207867</v>
      </c>
    </row>
    <row r="120" spans="1:5" x14ac:dyDescent="0.3">
      <c r="A120" t="s">
        <v>76</v>
      </c>
      <c r="B120" t="s">
        <v>402</v>
      </c>
      <c r="D120">
        <v>60</v>
      </c>
      <c r="E120" s="1">
        <v>1.1933886270063846E-3</v>
      </c>
    </row>
    <row r="121" spans="1:5" x14ac:dyDescent="0.3">
      <c r="A121" t="s">
        <v>88</v>
      </c>
      <c r="B121" t="s">
        <v>436</v>
      </c>
      <c r="C121" t="s">
        <v>399</v>
      </c>
      <c r="D121">
        <v>42548</v>
      </c>
      <c r="E121" s="1">
        <v>0.87686251880551491</v>
      </c>
    </row>
    <row r="122" spans="1:5" x14ac:dyDescent="0.3">
      <c r="A122" t="s">
        <v>88</v>
      </c>
      <c r="B122" t="s">
        <v>437</v>
      </c>
      <c r="C122" t="s">
        <v>401</v>
      </c>
      <c r="D122">
        <v>5876</v>
      </c>
      <c r="E122" s="1">
        <v>0.12109721163159738</v>
      </c>
    </row>
    <row r="123" spans="1:5" x14ac:dyDescent="0.3">
      <c r="A123" t="s">
        <v>88</v>
      </c>
      <c r="B123" t="s">
        <v>402</v>
      </c>
      <c r="D123">
        <v>99</v>
      </c>
      <c r="E123" s="1">
        <v>2.0402695628877025E-3</v>
      </c>
    </row>
    <row r="124" spans="1:5" x14ac:dyDescent="0.3">
      <c r="A124" t="s">
        <v>170</v>
      </c>
      <c r="B124" t="s">
        <v>438</v>
      </c>
      <c r="C124" t="s">
        <v>399</v>
      </c>
      <c r="D124">
        <v>28196</v>
      </c>
      <c r="E124" s="1">
        <v>0.737535966518441</v>
      </c>
    </row>
    <row r="125" spans="1:5" x14ac:dyDescent="0.3">
      <c r="A125" t="s">
        <v>170</v>
      </c>
      <c r="B125" t="s">
        <v>439</v>
      </c>
      <c r="C125" t="s">
        <v>399</v>
      </c>
      <c r="D125">
        <v>9729</v>
      </c>
      <c r="E125" s="1">
        <v>0.25448600575464297</v>
      </c>
    </row>
    <row r="126" spans="1:5" x14ac:dyDescent="0.3">
      <c r="A126" t="s">
        <v>170</v>
      </c>
      <c r="B126" t="s">
        <v>402</v>
      </c>
      <c r="D126">
        <v>305</v>
      </c>
      <c r="E126" s="1">
        <v>7.9780277269160347E-3</v>
      </c>
    </row>
    <row r="127" spans="1:5" x14ac:dyDescent="0.3">
      <c r="A127" t="s">
        <v>220</v>
      </c>
      <c r="B127" t="s">
        <v>440</v>
      </c>
      <c r="C127" t="s">
        <v>399</v>
      </c>
      <c r="D127">
        <v>18608</v>
      </c>
      <c r="E127" s="1">
        <v>0.66192373363688106</v>
      </c>
    </row>
    <row r="128" spans="1:5" x14ac:dyDescent="0.3">
      <c r="A128" t="s">
        <v>220</v>
      </c>
      <c r="B128" t="s">
        <v>441</v>
      </c>
      <c r="C128" t="s">
        <v>401</v>
      </c>
      <c r="D128">
        <v>9450</v>
      </c>
      <c r="E128" s="1">
        <v>0.33615537848605576</v>
      </c>
    </row>
    <row r="129" spans="1:5" x14ac:dyDescent="0.3">
      <c r="A129" t="s">
        <v>220</v>
      </c>
      <c r="B129" t="s">
        <v>402</v>
      </c>
      <c r="D129">
        <v>54</v>
      </c>
      <c r="E129" s="1">
        <v>1.9208878770631758E-3</v>
      </c>
    </row>
    <row r="130" spans="1:5" x14ac:dyDescent="0.3">
      <c r="A130" t="s">
        <v>82</v>
      </c>
      <c r="B130" t="s">
        <v>442</v>
      </c>
      <c r="C130" t="s">
        <v>399</v>
      </c>
      <c r="D130">
        <v>13125</v>
      </c>
      <c r="E130" s="1">
        <v>0.26432915777178073</v>
      </c>
    </row>
    <row r="131" spans="1:5" x14ac:dyDescent="0.3">
      <c r="A131" t="s">
        <v>82</v>
      </c>
      <c r="B131" t="s">
        <v>443</v>
      </c>
      <c r="C131" t="s">
        <v>399</v>
      </c>
      <c r="D131">
        <v>13121</v>
      </c>
      <c r="E131" s="1">
        <v>0.26424860031417408</v>
      </c>
    </row>
    <row r="132" spans="1:5" x14ac:dyDescent="0.3">
      <c r="A132" t="s">
        <v>82</v>
      </c>
      <c r="B132" t="s">
        <v>444</v>
      </c>
      <c r="C132" t="s">
        <v>405</v>
      </c>
      <c r="D132">
        <v>1248</v>
      </c>
      <c r="E132" s="1">
        <v>2.5133926773271035E-2</v>
      </c>
    </row>
    <row r="133" spans="1:5" x14ac:dyDescent="0.3">
      <c r="A133" t="s">
        <v>82</v>
      </c>
      <c r="B133" t="s">
        <v>445</v>
      </c>
      <c r="C133" t="s">
        <v>401</v>
      </c>
      <c r="D133">
        <v>22125</v>
      </c>
      <c r="E133" s="1">
        <v>0.44558343738671607</v>
      </c>
    </row>
    <row r="134" spans="1:5" x14ac:dyDescent="0.3">
      <c r="A134" t="s">
        <v>82</v>
      </c>
      <c r="B134" t="s">
        <v>402</v>
      </c>
      <c r="D134">
        <v>35</v>
      </c>
      <c r="E134" s="1">
        <v>7.0487775405808195E-4</v>
      </c>
    </row>
    <row r="135" spans="1:5" x14ac:dyDescent="0.3">
      <c r="A135" t="s">
        <v>178</v>
      </c>
      <c r="B135" t="s">
        <v>32</v>
      </c>
      <c r="C135" t="s">
        <v>399</v>
      </c>
      <c r="D135">
        <v>8990</v>
      </c>
      <c r="E135" s="1">
        <v>0.23548209655027896</v>
      </c>
    </row>
    <row r="136" spans="1:5" x14ac:dyDescent="0.3">
      <c r="A136" t="s">
        <v>178</v>
      </c>
      <c r="B136" t="s">
        <v>389</v>
      </c>
      <c r="C136" t="s">
        <v>405</v>
      </c>
      <c r="D136">
        <v>3638</v>
      </c>
      <c r="E136" s="1">
        <v>9.5292977447154051E-2</v>
      </c>
    </row>
    <row r="137" spans="1:5" x14ac:dyDescent="0.3">
      <c r="A137" t="s">
        <v>178</v>
      </c>
      <c r="B137" t="s">
        <v>31</v>
      </c>
      <c r="C137" t="s">
        <v>399</v>
      </c>
      <c r="D137">
        <v>25454</v>
      </c>
      <c r="E137" s="1">
        <v>0.66673651675092338</v>
      </c>
    </row>
    <row r="138" spans="1:5" x14ac:dyDescent="0.3">
      <c r="A138" t="s">
        <v>178</v>
      </c>
      <c r="B138" t="s">
        <v>402</v>
      </c>
      <c r="D138">
        <v>95</v>
      </c>
      <c r="E138" s="1">
        <v>2.4884092516436599E-3</v>
      </c>
    </row>
    <row r="139" spans="1:5" x14ac:dyDescent="0.3">
      <c r="A139" t="s">
        <v>191</v>
      </c>
      <c r="B139" t="s">
        <v>446</v>
      </c>
      <c r="C139" t="s">
        <v>401</v>
      </c>
      <c r="D139">
        <v>13724</v>
      </c>
      <c r="E139" s="1">
        <v>0.37997674289827787</v>
      </c>
    </row>
    <row r="140" spans="1:5" x14ac:dyDescent="0.3">
      <c r="A140" t="s">
        <v>191</v>
      </c>
      <c r="B140" t="s">
        <v>447</v>
      </c>
      <c r="C140" t="s">
        <v>399</v>
      </c>
      <c r="D140">
        <v>22347</v>
      </c>
      <c r="E140" s="1">
        <v>0.61872196688631709</v>
      </c>
    </row>
    <row r="141" spans="1:5" x14ac:dyDescent="0.3">
      <c r="A141" t="s">
        <v>191</v>
      </c>
      <c r="B141" t="s">
        <v>402</v>
      </c>
      <c r="D141">
        <v>47</v>
      </c>
      <c r="E141" s="1">
        <v>1.3012902154050613E-3</v>
      </c>
    </row>
    <row r="142" spans="1:5" x14ac:dyDescent="0.3">
      <c r="A142" t="s">
        <v>184</v>
      </c>
      <c r="B142" t="s">
        <v>448</v>
      </c>
      <c r="C142" t="s">
        <v>399</v>
      </c>
      <c r="D142">
        <v>26547</v>
      </c>
      <c r="E142" s="1">
        <v>0.91693147278253662</v>
      </c>
    </row>
    <row r="143" spans="1:5" x14ac:dyDescent="0.3">
      <c r="A143" t="s">
        <v>184</v>
      </c>
      <c r="B143" t="s">
        <v>402</v>
      </c>
      <c r="D143">
        <v>2405</v>
      </c>
      <c r="E143" s="1">
        <v>8.3068527217463384E-2</v>
      </c>
    </row>
    <row r="144" spans="1:5" x14ac:dyDescent="0.3">
      <c r="A144" t="s">
        <v>118</v>
      </c>
      <c r="B144" t="s">
        <v>449</v>
      </c>
      <c r="C144" t="s">
        <v>399</v>
      </c>
      <c r="D144">
        <v>40980</v>
      </c>
      <c r="E144" s="1">
        <v>0.90563535911602211</v>
      </c>
    </row>
    <row r="145" spans="1:5" x14ac:dyDescent="0.3">
      <c r="A145" t="s">
        <v>118</v>
      </c>
      <c r="B145" t="s">
        <v>450</v>
      </c>
      <c r="C145" t="s">
        <v>401</v>
      </c>
      <c r="D145">
        <v>4153</v>
      </c>
      <c r="E145" s="1">
        <v>9.1779005524861873E-2</v>
      </c>
    </row>
    <row r="146" spans="1:5" x14ac:dyDescent="0.3">
      <c r="A146" t="s">
        <v>118</v>
      </c>
      <c r="B146" t="s">
        <v>402</v>
      </c>
      <c r="D146">
        <v>117</v>
      </c>
      <c r="E146" s="1">
        <v>2.5856353591160223E-3</v>
      </c>
    </row>
    <row r="147" spans="1:5" x14ac:dyDescent="0.3">
      <c r="A147" t="s">
        <v>215</v>
      </c>
      <c r="B147" t="s">
        <v>451</v>
      </c>
      <c r="C147" t="s">
        <v>399</v>
      </c>
      <c r="D147">
        <v>17258</v>
      </c>
      <c r="E147" s="1">
        <v>0.5930991820743694</v>
      </c>
    </row>
    <row r="148" spans="1:5" x14ac:dyDescent="0.3">
      <c r="A148" t="s">
        <v>215</v>
      </c>
      <c r="B148" t="s">
        <v>452</v>
      </c>
      <c r="C148" t="s">
        <v>401</v>
      </c>
      <c r="D148">
        <v>11807</v>
      </c>
      <c r="E148" s="1">
        <v>0.40576671936215547</v>
      </c>
    </row>
    <row r="149" spans="1:5" x14ac:dyDescent="0.3">
      <c r="A149" t="s">
        <v>215</v>
      </c>
      <c r="B149" t="s">
        <v>402</v>
      </c>
      <c r="D149">
        <v>33</v>
      </c>
      <c r="E149" s="1">
        <v>1.1340985634751529E-3</v>
      </c>
    </row>
    <row r="150" spans="1:5" x14ac:dyDescent="0.3">
      <c r="A150" t="s">
        <v>223</v>
      </c>
      <c r="B150" t="s">
        <v>453</v>
      </c>
      <c r="C150" t="s">
        <v>399</v>
      </c>
      <c r="D150">
        <v>19677</v>
      </c>
      <c r="E150" s="1">
        <v>0.95338921459373027</v>
      </c>
    </row>
    <row r="151" spans="1:5" x14ac:dyDescent="0.3">
      <c r="A151" t="s">
        <v>223</v>
      </c>
      <c r="B151" t="s">
        <v>402</v>
      </c>
      <c r="D151">
        <v>962</v>
      </c>
      <c r="E151" s="1">
        <v>4.6610785406269686E-2</v>
      </c>
    </row>
    <row r="152" spans="1:5" x14ac:dyDescent="0.3">
      <c r="A152" t="s">
        <v>174</v>
      </c>
      <c r="B152" t="s">
        <v>454</v>
      </c>
      <c r="C152" t="s">
        <v>399</v>
      </c>
      <c r="D152">
        <v>29426</v>
      </c>
      <c r="E152" s="1">
        <v>0.74734596434195155</v>
      </c>
    </row>
    <row r="153" spans="1:5" x14ac:dyDescent="0.3">
      <c r="A153" t="s">
        <v>174</v>
      </c>
      <c r="B153" t="s">
        <v>455</v>
      </c>
      <c r="C153" t="s">
        <v>401</v>
      </c>
      <c r="D153">
        <v>9878</v>
      </c>
      <c r="E153" s="1">
        <v>0.25087621272921218</v>
      </c>
    </row>
    <row r="154" spans="1:5" x14ac:dyDescent="0.3">
      <c r="A154" t="s">
        <v>174</v>
      </c>
      <c r="B154" t="s">
        <v>404</v>
      </c>
      <c r="D154">
        <v>70</v>
      </c>
      <c r="E154" s="1">
        <v>1.7778229288362879E-3</v>
      </c>
    </row>
    <row r="155" spans="1:5" x14ac:dyDescent="0.3">
      <c r="A155" t="s">
        <v>175</v>
      </c>
      <c r="B155" t="s">
        <v>456</v>
      </c>
      <c r="C155" t="s">
        <v>457</v>
      </c>
      <c r="D155">
        <v>2190</v>
      </c>
      <c r="E155" s="1">
        <v>5.5503459462199353E-2</v>
      </c>
    </row>
    <row r="156" spans="1:5" x14ac:dyDescent="0.3">
      <c r="A156" t="s">
        <v>175</v>
      </c>
      <c r="B156" t="s">
        <v>458</v>
      </c>
      <c r="C156" t="s">
        <v>399</v>
      </c>
      <c r="D156">
        <v>19150</v>
      </c>
      <c r="E156" s="1">
        <v>0.48533846972653777</v>
      </c>
    </row>
    <row r="157" spans="1:5" x14ac:dyDescent="0.3">
      <c r="A157" t="s">
        <v>175</v>
      </c>
      <c r="B157" t="s">
        <v>459</v>
      </c>
      <c r="C157" t="s">
        <v>401</v>
      </c>
      <c r="D157">
        <v>9110</v>
      </c>
      <c r="E157" s="1">
        <v>0.23088425374458271</v>
      </c>
    </row>
    <row r="158" spans="1:5" x14ac:dyDescent="0.3">
      <c r="A158" t="s">
        <v>175</v>
      </c>
      <c r="B158" t="s">
        <v>460</v>
      </c>
      <c r="C158" t="s">
        <v>399</v>
      </c>
      <c r="D158">
        <v>8974</v>
      </c>
      <c r="E158" s="1">
        <v>0.22743746356793471</v>
      </c>
    </row>
    <row r="159" spans="1:5" x14ac:dyDescent="0.3">
      <c r="A159" t="s">
        <v>175</v>
      </c>
      <c r="B159" t="s">
        <v>402</v>
      </c>
      <c r="D159">
        <v>33</v>
      </c>
      <c r="E159" s="1">
        <v>8.363534987454698E-4</v>
      </c>
    </row>
    <row r="160" spans="1:5" x14ac:dyDescent="0.3">
      <c r="A160" t="s">
        <v>210</v>
      </c>
      <c r="B160" t="s">
        <v>461</v>
      </c>
      <c r="C160" t="s">
        <v>462</v>
      </c>
      <c r="D160">
        <v>13214</v>
      </c>
      <c r="E160" s="1">
        <v>0.41737207833228046</v>
      </c>
    </row>
    <row r="161" spans="1:5" x14ac:dyDescent="0.3">
      <c r="A161" t="s">
        <v>210</v>
      </c>
      <c r="B161" t="s">
        <v>463</v>
      </c>
      <c r="C161" t="s">
        <v>401</v>
      </c>
      <c r="D161">
        <v>18389</v>
      </c>
      <c r="E161" s="1">
        <v>0.58082754264055592</v>
      </c>
    </row>
    <row r="162" spans="1:5" x14ac:dyDescent="0.3">
      <c r="A162" t="s">
        <v>210</v>
      </c>
      <c r="B162" t="s">
        <v>402</v>
      </c>
      <c r="D162">
        <v>57</v>
      </c>
      <c r="E162" s="1">
        <v>1.8003790271636133E-3</v>
      </c>
    </row>
    <row r="163" spans="1:5" x14ac:dyDescent="0.3">
      <c r="A163" t="s">
        <v>211</v>
      </c>
      <c r="B163" t="s">
        <v>464</v>
      </c>
      <c r="C163" t="s">
        <v>399</v>
      </c>
      <c r="D163">
        <v>10650</v>
      </c>
      <c r="E163" s="1">
        <v>0.33562334551871925</v>
      </c>
    </row>
    <row r="164" spans="1:5" x14ac:dyDescent="0.3">
      <c r="A164" t="s">
        <v>211</v>
      </c>
      <c r="B164" t="s">
        <v>465</v>
      </c>
      <c r="C164" t="s">
        <v>399</v>
      </c>
      <c r="D164">
        <v>2986</v>
      </c>
      <c r="E164" s="1">
        <v>9.4100592461868152E-2</v>
      </c>
    </row>
    <row r="165" spans="1:5" x14ac:dyDescent="0.3">
      <c r="A165" t="s">
        <v>211</v>
      </c>
      <c r="B165" t="s">
        <v>466</v>
      </c>
      <c r="C165" t="s">
        <v>401</v>
      </c>
      <c r="D165">
        <v>18054</v>
      </c>
      <c r="E165" s="1">
        <v>0.56895247699483176</v>
      </c>
    </row>
    <row r="166" spans="1:5" x14ac:dyDescent="0.3">
      <c r="A166" t="s">
        <v>211</v>
      </c>
      <c r="B166" t="s">
        <v>402</v>
      </c>
      <c r="D166">
        <v>42</v>
      </c>
      <c r="E166" s="1">
        <v>1.3235850245808646E-3</v>
      </c>
    </row>
    <row r="167" spans="1:5" x14ac:dyDescent="0.3">
      <c r="A167" t="s">
        <v>156</v>
      </c>
      <c r="B167" t="s">
        <v>467</v>
      </c>
      <c r="C167" t="s">
        <v>468</v>
      </c>
      <c r="D167">
        <v>27075</v>
      </c>
      <c r="E167" s="1">
        <v>0.6437232524964337</v>
      </c>
    </row>
    <row r="168" spans="1:5" x14ac:dyDescent="0.3">
      <c r="A168" t="s">
        <v>156</v>
      </c>
      <c r="B168" t="s">
        <v>469</v>
      </c>
      <c r="C168" t="s">
        <v>405</v>
      </c>
      <c r="D168">
        <v>2197</v>
      </c>
      <c r="E168" s="1">
        <v>5.2234902520209223E-2</v>
      </c>
    </row>
    <row r="169" spans="1:5" x14ac:dyDescent="0.3">
      <c r="A169" t="s">
        <v>156</v>
      </c>
      <c r="B169" t="s">
        <v>470</v>
      </c>
      <c r="C169" t="s">
        <v>401</v>
      </c>
      <c r="D169">
        <v>12705</v>
      </c>
      <c r="E169" s="1">
        <v>0.30206847360912981</v>
      </c>
    </row>
    <row r="170" spans="1:5" x14ac:dyDescent="0.3">
      <c r="A170" t="s">
        <v>156</v>
      </c>
      <c r="B170" t="s">
        <v>402</v>
      </c>
      <c r="D170">
        <v>83</v>
      </c>
      <c r="E170" s="1">
        <v>1.9733713742272944E-3</v>
      </c>
    </row>
    <row r="171" spans="1:5" x14ac:dyDescent="0.3">
      <c r="A171" t="s">
        <v>158</v>
      </c>
      <c r="B171" t="s">
        <v>471</v>
      </c>
      <c r="C171" t="s">
        <v>401</v>
      </c>
      <c r="D171">
        <v>13790</v>
      </c>
      <c r="E171" s="1">
        <v>0.3289128464437342</v>
      </c>
    </row>
    <row r="172" spans="1:5" x14ac:dyDescent="0.3">
      <c r="A172" t="s">
        <v>158</v>
      </c>
      <c r="B172" t="s">
        <v>472</v>
      </c>
      <c r="C172" t="s">
        <v>399</v>
      </c>
      <c r="D172">
        <v>12662</v>
      </c>
      <c r="E172" s="1">
        <v>0.30200830033869197</v>
      </c>
    </row>
    <row r="173" spans="1:5" x14ac:dyDescent="0.3">
      <c r="A173" t="s">
        <v>158</v>
      </c>
      <c r="B173" t="s">
        <v>473</v>
      </c>
      <c r="C173" t="s">
        <v>399</v>
      </c>
      <c r="D173">
        <v>13581</v>
      </c>
      <c r="E173" s="1">
        <v>0.32392787291895242</v>
      </c>
    </row>
    <row r="174" spans="1:5" x14ac:dyDescent="0.3">
      <c r="A174" t="s">
        <v>158</v>
      </c>
      <c r="B174" t="s">
        <v>474</v>
      </c>
      <c r="C174" t="s">
        <v>399</v>
      </c>
      <c r="D174">
        <v>1850</v>
      </c>
      <c r="E174" s="1">
        <v>4.4125363736106475E-2</v>
      </c>
    </row>
    <row r="175" spans="1:5" x14ac:dyDescent="0.3">
      <c r="A175" t="s">
        <v>158</v>
      </c>
      <c r="B175" t="s">
        <v>404</v>
      </c>
      <c r="D175">
        <v>43</v>
      </c>
      <c r="E175" s="1">
        <v>1.0256165625149073E-3</v>
      </c>
    </row>
    <row r="176" spans="1:5" x14ac:dyDescent="0.3">
      <c r="A176" t="s">
        <v>148</v>
      </c>
      <c r="B176" t="s">
        <v>475</v>
      </c>
      <c r="C176" t="s">
        <v>401</v>
      </c>
      <c r="D176">
        <v>10583</v>
      </c>
      <c r="E176" s="1">
        <v>0.29577976523197319</v>
      </c>
    </row>
    <row r="177" spans="1:5" x14ac:dyDescent="0.3">
      <c r="A177" t="s">
        <v>148</v>
      </c>
      <c r="B177" t="s">
        <v>476</v>
      </c>
      <c r="C177" t="s">
        <v>401</v>
      </c>
      <c r="D177">
        <v>11278</v>
      </c>
      <c r="E177" s="1">
        <v>0.31520402459474567</v>
      </c>
    </row>
    <row r="178" spans="1:5" x14ac:dyDescent="0.3">
      <c r="A178" t="s">
        <v>148</v>
      </c>
      <c r="B178" t="s">
        <v>477</v>
      </c>
      <c r="C178" t="s">
        <v>401</v>
      </c>
      <c r="D178">
        <v>6498</v>
      </c>
      <c r="E178" s="1">
        <v>0.18160983789826718</v>
      </c>
    </row>
    <row r="179" spans="1:5" x14ac:dyDescent="0.3">
      <c r="A179" t="s">
        <v>148</v>
      </c>
      <c r="B179" t="s">
        <v>478</v>
      </c>
      <c r="C179" t="s">
        <v>401</v>
      </c>
      <c r="D179">
        <v>6002</v>
      </c>
      <c r="E179" s="1">
        <v>0.16774734488541085</v>
      </c>
    </row>
    <row r="180" spans="1:5" x14ac:dyDescent="0.3">
      <c r="A180" t="s">
        <v>148</v>
      </c>
      <c r="B180" t="s">
        <v>402</v>
      </c>
      <c r="D180">
        <v>1419</v>
      </c>
      <c r="E180" s="1">
        <v>3.9659027389603127E-2</v>
      </c>
    </row>
    <row r="181" spans="1:5" x14ac:dyDescent="0.3">
      <c r="A181" t="s">
        <v>150</v>
      </c>
      <c r="B181" t="s">
        <v>479</v>
      </c>
      <c r="C181" t="s">
        <v>401</v>
      </c>
      <c r="D181">
        <v>17757</v>
      </c>
      <c r="E181" s="1">
        <v>0.42886124864146841</v>
      </c>
    </row>
    <row r="182" spans="1:5" x14ac:dyDescent="0.3">
      <c r="A182" t="s">
        <v>150</v>
      </c>
      <c r="B182" t="s">
        <v>480</v>
      </c>
      <c r="C182" t="s">
        <v>401</v>
      </c>
      <c r="D182">
        <v>6731</v>
      </c>
      <c r="E182" s="1">
        <v>0.16256490761985268</v>
      </c>
    </row>
    <row r="183" spans="1:5" x14ac:dyDescent="0.3">
      <c r="A183" t="s">
        <v>150</v>
      </c>
      <c r="B183" t="s">
        <v>481</v>
      </c>
      <c r="C183" t="s">
        <v>399</v>
      </c>
      <c r="D183">
        <v>16778</v>
      </c>
      <c r="E183" s="1">
        <v>0.40521676126071732</v>
      </c>
    </row>
    <row r="184" spans="1:5" x14ac:dyDescent="0.3">
      <c r="A184" t="s">
        <v>150</v>
      </c>
      <c r="B184" t="s">
        <v>404</v>
      </c>
      <c r="D184">
        <v>139</v>
      </c>
      <c r="E184" s="1">
        <v>3.3570824779615986E-3</v>
      </c>
    </row>
    <row r="185" spans="1:5" x14ac:dyDescent="0.3">
      <c r="A185" t="s">
        <v>160</v>
      </c>
      <c r="B185" t="s">
        <v>482</v>
      </c>
      <c r="C185" t="s">
        <v>405</v>
      </c>
      <c r="D185">
        <v>1083</v>
      </c>
      <c r="E185" s="1">
        <v>2.6360627008081006E-2</v>
      </c>
    </row>
    <row r="186" spans="1:5" x14ac:dyDescent="0.3">
      <c r="A186" t="s">
        <v>160</v>
      </c>
      <c r="B186" t="s">
        <v>483</v>
      </c>
      <c r="C186" t="s">
        <v>399</v>
      </c>
      <c r="D186">
        <v>18294</v>
      </c>
      <c r="E186" s="1">
        <v>0.44528283516697498</v>
      </c>
    </row>
    <row r="187" spans="1:5" x14ac:dyDescent="0.3">
      <c r="A187" t="s">
        <v>160</v>
      </c>
      <c r="B187" t="s">
        <v>484</v>
      </c>
      <c r="C187" t="s">
        <v>399</v>
      </c>
      <c r="D187">
        <v>3994</v>
      </c>
      <c r="E187" s="1">
        <v>9.7215461006717949E-2</v>
      </c>
    </row>
    <row r="188" spans="1:5" x14ac:dyDescent="0.3">
      <c r="A188" t="s">
        <v>160</v>
      </c>
      <c r="B188" t="s">
        <v>485</v>
      </c>
      <c r="C188" t="s">
        <v>401</v>
      </c>
      <c r="D188">
        <v>17681</v>
      </c>
      <c r="E188" s="1">
        <v>0.43036218479213317</v>
      </c>
    </row>
    <row r="189" spans="1:5" x14ac:dyDescent="0.3">
      <c r="A189" t="s">
        <v>160</v>
      </c>
      <c r="B189" t="s">
        <v>404</v>
      </c>
      <c r="D189">
        <v>32</v>
      </c>
      <c r="E189" s="1">
        <v>7.7889202609288284E-4</v>
      </c>
    </row>
    <row r="190" spans="1:5" x14ac:dyDescent="0.3">
      <c r="A190" t="s">
        <v>162</v>
      </c>
      <c r="B190" t="s">
        <v>486</v>
      </c>
      <c r="C190" t="s">
        <v>401</v>
      </c>
      <c r="D190">
        <v>17449</v>
      </c>
      <c r="E190" s="1">
        <v>0.42249394673123486</v>
      </c>
    </row>
    <row r="191" spans="1:5" x14ac:dyDescent="0.3">
      <c r="A191" t="s">
        <v>162</v>
      </c>
      <c r="B191" t="s">
        <v>487</v>
      </c>
      <c r="C191" t="s">
        <v>399</v>
      </c>
      <c r="D191">
        <v>23812</v>
      </c>
      <c r="E191" s="1">
        <v>0.57656174334140431</v>
      </c>
    </row>
    <row r="192" spans="1:5" x14ac:dyDescent="0.3">
      <c r="A192" t="s">
        <v>162</v>
      </c>
      <c r="B192" t="s">
        <v>402</v>
      </c>
      <c r="D192">
        <v>39</v>
      </c>
      <c r="E192" s="1">
        <v>9.4430992736077482E-4</v>
      </c>
    </row>
    <row r="193" spans="1:5" x14ac:dyDescent="0.3">
      <c r="A193" t="s">
        <v>182</v>
      </c>
      <c r="B193" t="s">
        <v>378</v>
      </c>
      <c r="C193" t="s">
        <v>401</v>
      </c>
      <c r="D193">
        <v>1732</v>
      </c>
      <c r="E193" s="1">
        <v>4.7637383794488147E-2</v>
      </c>
    </row>
    <row r="194" spans="1:5" x14ac:dyDescent="0.3">
      <c r="A194" t="s">
        <v>182</v>
      </c>
      <c r="B194" t="s">
        <v>379</v>
      </c>
      <c r="C194" t="s">
        <v>401</v>
      </c>
      <c r="D194">
        <v>7035</v>
      </c>
      <c r="E194" s="1">
        <v>0.19349249133615709</v>
      </c>
    </row>
    <row r="195" spans="1:5" x14ac:dyDescent="0.3">
      <c r="A195" t="s">
        <v>182</v>
      </c>
      <c r="B195" t="s">
        <v>380</v>
      </c>
      <c r="C195" t="s">
        <v>399</v>
      </c>
      <c r="D195">
        <v>11093</v>
      </c>
      <c r="E195" s="1">
        <v>0.30510479124264261</v>
      </c>
    </row>
    <row r="196" spans="1:5" x14ac:dyDescent="0.3">
      <c r="A196" t="s">
        <v>182</v>
      </c>
      <c r="B196" t="s">
        <v>381</v>
      </c>
      <c r="C196" t="s">
        <v>401</v>
      </c>
      <c r="D196">
        <v>2640</v>
      </c>
      <c r="E196" s="1">
        <v>7.261125474448539E-2</v>
      </c>
    </row>
    <row r="197" spans="1:5" x14ac:dyDescent="0.3">
      <c r="A197" t="s">
        <v>182</v>
      </c>
      <c r="B197" t="s">
        <v>382</v>
      </c>
      <c r="C197" t="s">
        <v>399</v>
      </c>
      <c r="D197">
        <v>4313</v>
      </c>
      <c r="E197" s="1">
        <v>0.11862588701248694</v>
      </c>
    </row>
    <row r="198" spans="1:5" x14ac:dyDescent="0.3">
      <c r="A198" t="s">
        <v>182</v>
      </c>
      <c r="B198" t="s">
        <v>383</v>
      </c>
      <c r="C198" t="s">
        <v>401</v>
      </c>
      <c r="D198">
        <v>9450</v>
      </c>
      <c r="E198" s="1">
        <v>0.25991528686946475</v>
      </c>
    </row>
    <row r="199" spans="1:5" x14ac:dyDescent="0.3">
      <c r="A199" t="s">
        <v>182</v>
      </c>
      <c r="B199" t="s">
        <v>404</v>
      </c>
      <c r="D199">
        <v>95</v>
      </c>
      <c r="E199" s="1">
        <v>2.6129050002750426E-3</v>
      </c>
    </row>
    <row r="200" spans="1:5" x14ac:dyDescent="0.3">
      <c r="A200" t="s">
        <v>183</v>
      </c>
      <c r="B200" t="s">
        <v>40</v>
      </c>
      <c r="C200" t="s">
        <v>401</v>
      </c>
      <c r="D200">
        <v>18651</v>
      </c>
      <c r="E200" s="1">
        <v>0.50566641362108233</v>
      </c>
    </row>
    <row r="201" spans="1:5" x14ac:dyDescent="0.3">
      <c r="A201" t="s">
        <v>183</v>
      </c>
      <c r="B201" t="s">
        <v>41</v>
      </c>
      <c r="C201" t="s">
        <v>399</v>
      </c>
      <c r="D201">
        <v>9209</v>
      </c>
      <c r="E201" s="1">
        <v>0.24967465567725844</v>
      </c>
    </row>
    <row r="202" spans="1:5" x14ac:dyDescent="0.3">
      <c r="A202" t="s">
        <v>183</v>
      </c>
      <c r="B202" t="s">
        <v>42</v>
      </c>
      <c r="C202" t="s">
        <v>400</v>
      </c>
      <c r="D202">
        <v>8950</v>
      </c>
      <c r="E202" s="1">
        <v>0.24265264071141959</v>
      </c>
    </row>
    <row r="203" spans="1:5" x14ac:dyDescent="0.3">
      <c r="A203" t="s">
        <v>183</v>
      </c>
      <c r="B203" t="s">
        <v>402</v>
      </c>
      <c r="D203">
        <v>74</v>
      </c>
      <c r="E203" s="1">
        <v>2.0062899902396703E-3</v>
      </c>
    </row>
    <row r="204" spans="1:5" x14ac:dyDescent="0.3">
      <c r="A204" t="s">
        <v>144</v>
      </c>
      <c r="B204" t="s">
        <v>488</v>
      </c>
      <c r="C204" t="s">
        <v>401</v>
      </c>
      <c r="D204">
        <v>30454</v>
      </c>
      <c r="E204" s="1">
        <v>0.9662108569434309</v>
      </c>
    </row>
    <row r="205" spans="1:5" x14ac:dyDescent="0.3">
      <c r="A205" t="s">
        <v>144</v>
      </c>
      <c r="B205" t="s">
        <v>404</v>
      </c>
      <c r="D205">
        <v>1065</v>
      </c>
      <c r="E205" s="1">
        <v>3.3789143056569056E-2</v>
      </c>
    </row>
    <row r="206" spans="1:5" x14ac:dyDescent="0.3">
      <c r="A206" t="s">
        <v>146</v>
      </c>
      <c r="B206" t="s">
        <v>489</v>
      </c>
      <c r="C206" t="s">
        <v>401</v>
      </c>
      <c r="D206">
        <v>30220</v>
      </c>
      <c r="E206" s="1">
        <v>0.96654512889400623</v>
      </c>
    </row>
    <row r="207" spans="1:5" x14ac:dyDescent="0.3">
      <c r="A207" t="s">
        <v>146</v>
      </c>
      <c r="B207" t="s">
        <v>404</v>
      </c>
      <c r="D207">
        <v>1046</v>
      </c>
      <c r="E207" s="1">
        <v>3.3454871105993732E-2</v>
      </c>
    </row>
    <row r="208" spans="1:5" x14ac:dyDescent="0.3">
      <c r="A208" t="s">
        <v>197</v>
      </c>
      <c r="B208" t="s">
        <v>490</v>
      </c>
      <c r="C208" t="s">
        <v>401</v>
      </c>
      <c r="D208">
        <v>24103</v>
      </c>
      <c r="E208" s="1">
        <v>0.97381923962668171</v>
      </c>
    </row>
    <row r="209" spans="1:5" x14ac:dyDescent="0.3">
      <c r="A209" t="s">
        <v>197</v>
      </c>
      <c r="B209" t="s">
        <v>402</v>
      </c>
      <c r="D209">
        <v>648</v>
      </c>
      <c r="E209" s="1">
        <v>2.6180760373318249E-2</v>
      </c>
    </row>
    <row r="210" spans="1:5" x14ac:dyDescent="0.3">
      <c r="A210" t="s">
        <v>198</v>
      </c>
      <c r="B210" t="s">
        <v>491</v>
      </c>
      <c r="C210" t="s">
        <v>401</v>
      </c>
      <c r="D210">
        <v>24314</v>
      </c>
      <c r="E210" s="1">
        <v>0.97337763721526083</v>
      </c>
    </row>
    <row r="211" spans="1:5" x14ac:dyDescent="0.3">
      <c r="A211" t="s">
        <v>198</v>
      </c>
      <c r="B211" t="s">
        <v>402</v>
      </c>
      <c r="D211">
        <v>665</v>
      </c>
      <c r="E211" s="1">
        <v>2.662236278473918E-2</v>
      </c>
    </row>
    <row r="212" spans="1:5" x14ac:dyDescent="0.3">
      <c r="A212" t="s">
        <v>152</v>
      </c>
      <c r="B212" t="s">
        <v>492</v>
      </c>
      <c r="C212" t="s">
        <v>401</v>
      </c>
      <c r="D212">
        <v>29519</v>
      </c>
      <c r="E212" s="1">
        <v>0.94497086881362446</v>
      </c>
    </row>
    <row r="213" spans="1:5" x14ac:dyDescent="0.3">
      <c r="A213" t="s">
        <v>152</v>
      </c>
      <c r="B213" t="s">
        <v>402</v>
      </c>
      <c r="D213">
        <v>1719</v>
      </c>
      <c r="E213" s="1">
        <v>5.502913118637557E-2</v>
      </c>
    </row>
    <row r="214" spans="1:5" x14ac:dyDescent="0.3">
      <c r="A214" t="s">
        <v>154</v>
      </c>
      <c r="B214" t="s">
        <v>493</v>
      </c>
      <c r="C214" t="s">
        <v>401</v>
      </c>
      <c r="D214">
        <v>26118</v>
      </c>
      <c r="E214" s="1">
        <v>0.62589566009250164</v>
      </c>
    </row>
    <row r="215" spans="1:5" x14ac:dyDescent="0.3">
      <c r="A215" t="s">
        <v>154</v>
      </c>
      <c r="B215" t="s">
        <v>494</v>
      </c>
      <c r="C215" t="s">
        <v>399</v>
      </c>
      <c r="D215">
        <v>15534</v>
      </c>
      <c r="E215" s="1">
        <v>0.37225910038582283</v>
      </c>
    </row>
    <row r="216" spans="1:5" x14ac:dyDescent="0.3">
      <c r="A216" t="s">
        <v>154</v>
      </c>
      <c r="B216" t="s">
        <v>402</v>
      </c>
      <c r="D216">
        <v>77</v>
      </c>
      <c r="E216" s="1">
        <v>1.8452395216755734E-3</v>
      </c>
    </row>
    <row r="217" spans="1:5" x14ac:dyDescent="0.3">
      <c r="A217" t="s">
        <v>94</v>
      </c>
      <c r="B217" t="s">
        <v>495</v>
      </c>
      <c r="C217" t="s">
        <v>399</v>
      </c>
      <c r="D217">
        <v>28026</v>
      </c>
      <c r="E217" s="1">
        <v>0.58077751989389925</v>
      </c>
    </row>
    <row r="218" spans="1:5" x14ac:dyDescent="0.3">
      <c r="A218" t="s">
        <v>94</v>
      </c>
      <c r="B218" t="s">
        <v>496</v>
      </c>
      <c r="C218" t="s">
        <v>401</v>
      </c>
      <c r="D218">
        <v>20190</v>
      </c>
      <c r="E218" s="1">
        <v>0.41839356763925728</v>
      </c>
    </row>
    <row r="219" spans="1:5" x14ac:dyDescent="0.3">
      <c r="A219" t="s">
        <v>94</v>
      </c>
      <c r="B219" t="s">
        <v>402</v>
      </c>
      <c r="D219">
        <v>40</v>
      </c>
      <c r="E219" s="1">
        <v>8.2891246684350136E-4</v>
      </c>
    </row>
    <row r="220" spans="1:5" x14ac:dyDescent="0.3">
      <c r="A220" t="s">
        <v>96</v>
      </c>
      <c r="B220" t="s">
        <v>497</v>
      </c>
      <c r="C220" t="s">
        <v>401</v>
      </c>
      <c r="D220">
        <v>9285</v>
      </c>
      <c r="E220" s="1">
        <v>0.19252700769278619</v>
      </c>
    </row>
    <row r="221" spans="1:5" x14ac:dyDescent="0.3">
      <c r="A221" t="s">
        <v>96</v>
      </c>
      <c r="B221" t="s">
        <v>498</v>
      </c>
      <c r="C221" t="s">
        <v>399</v>
      </c>
      <c r="D221">
        <v>28301</v>
      </c>
      <c r="E221" s="1">
        <v>0.58682895473489949</v>
      </c>
    </row>
    <row r="222" spans="1:5" x14ac:dyDescent="0.3">
      <c r="A222" t="s">
        <v>96</v>
      </c>
      <c r="B222" t="s">
        <v>499</v>
      </c>
      <c r="C222" t="s">
        <v>401</v>
      </c>
      <c r="D222">
        <v>10584</v>
      </c>
      <c r="E222" s="1">
        <v>0.219462127024281</v>
      </c>
    </row>
    <row r="223" spans="1:5" x14ac:dyDescent="0.3">
      <c r="A223" t="s">
        <v>96</v>
      </c>
      <c r="B223" t="s">
        <v>402</v>
      </c>
      <c r="D223">
        <v>57</v>
      </c>
      <c r="E223" s="1">
        <v>1.1819105480332594E-3</v>
      </c>
    </row>
    <row r="224" spans="1:5" x14ac:dyDescent="0.3">
      <c r="A224" t="s">
        <v>226</v>
      </c>
      <c r="B224" t="s">
        <v>500</v>
      </c>
      <c r="C224" t="s">
        <v>399</v>
      </c>
      <c r="D224">
        <v>8298</v>
      </c>
      <c r="E224" s="1">
        <v>0.31954713493530501</v>
      </c>
    </row>
    <row r="225" spans="1:5" x14ac:dyDescent="0.3">
      <c r="A225" t="s">
        <v>226</v>
      </c>
      <c r="B225" t="s">
        <v>501</v>
      </c>
      <c r="C225" t="s">
        <v>401</v>
      </c>
      <c r="D225">
        <v>6639</v>
      </c>
      <c r="E225" s="1">
        <v>0.25566081330868762</v>
      </c>
    </row>
    <row r="226" spans="1:5" x14ac:dyDescent="0.3">
      <c r="A226" t="s">
        <v>226</v>
      </c>
      <c r="B226" t="s">
        <v>502</v>
      </c>
      <c r="C226" t="s">
        <v>399</v>
      </c>
      <c r="D226">
        <v>10998</v>
      </c>
      <c r="E226" s="1">
        <v>0.42352125693160814</v>
      </c>
    </row>
    <row r="227" spans="1:5" x14ac:dyDescent="0.3">
      <c r="A227" t="s">
        <v>226</v>
      </c>
      <c r="B227" t="s">
        <v>404</v>
      </c>
      <c r="D227">
        <v>33</v>
      </c>
      <c r="E227" s="1">
        <v>1.2707948243992607E-3</v>
      </c>
    </row>
    <row r="228" spans="1:5" x14ac:dyDescent="0.3">
      <c r="A228" t="s">
        <v>227</v>
      </c>
      <c r="B228" t="s">
        <v>503</v>
      </c>
      <c r="C228" t="s">
        <v>399</v>
      </c>
      <c r="D228">
        <v>19576</v>
      </c>
      <c r="E228" s="1">
        <v>0.9475773270729464</v>
      </c>
    </row>
    <row r="229" spans="1:5" x14ac:dyDescent="0.3">
      <c r="A229" t="s">
        <v>227</v>
      </c>
      <c r="B229" t="s">
        <v>404</v>
      </c>
      <c r="D229">
        <v>1083</v>
      </c>
      <c r="E229" s="1">
        <v>5.2422672927053583E-2</v>
      </c>
    </row>
    <row r="230" spans="1:5" x14ac:dyDescent="0.3">
      <c r="A230" t="s">
        <v>124</v>
      </c>
      <c r="B230" t="s">
        <v>504</v>
      </c>
      <c r="C230" t="s">
        <v>401</v>
      </c>
      <c r="D230">
        <v>22207</v>
      </c>
      <c r="E230" s="1">
        <v>0.50155840636010485</v>
      </c>
    </row>
    <row r="231" spans="1:5" x14ac:dyDescent="0.3">
      <c r="A231" t="s">
        <v>124</v>
      </c>
      <c r="B231" t="s">
        <v>505</v>
      </c>
      <c r="C231" t="s">
        <v>399</v>
      </c>
      <c r="D231">
        <v>22033</v>
      </c>
      <c r="E231" s="1">
        <v>0.49762851206071007</v>
      </c>
    </row>
    <row r="232" spans="1:5" x14ac:dyDescent="0.3">
      <c r="A232" t="s">
        <v>124</v>
      </c>
      <c r="B232" t="s">
        <v>402</v>
      </c>
      <c r="D232">
        <v>36</v>
      </c>
      <c r="E232" s="1">
        <v>8.1308157918511155E-4</v>
      </c>
    </row>
    <row r="233" spans="1:5" x14ac:dyDescent="0.3">
      <c r="A233" t="s">
        <v>126</v>
      </c>
      <c r="B233" t="s">
        <v>506</v>
      </c>
      <c r="C233" t="s">
        <v>401</v>
      </c>
      <c r="D233">
        <v>18242</v>
      </c>
      <c r="E233" s="1">
        <v>0.41133760259763685</v>
      </c>
    </row>
    <row r="234" spans="1:5" x14ac:dyDescent="0.3">
      <c r="A234" t="s">
        <v>126</v>
      </c>
      <c r="B234" t="s">
        <v>507</v>
      </c>
      <c r="C234" t="s">
        <v>401</v>
      </c>
      <c r="D234">
        <v>11041</v>
      </c>
      <c r="E234" s="1">
        <v>0.24896274916568956</v>
      </c>
    </row>
    <row r="235" spans="1:5" x14ac:dyDescent="0.3">
      <c r="A235" t="s">
        <v>126</v>
      </c>
      <c r="B235" t="s">
        <v>508</v>
      </c>
      <c r="C235" t="s">
        <v>399</v>
      </c>
      <c r="D235">
        <v>15035</v>
      </c>
      <c r="E235" s="1">
        <v>0.33902318030125372</v>
      </c>
    </row>
    <row r="236" spans="1:5" x14ac:dyDescent="0.3">
      <c r="A236" t="s">
        <v>126</v>
      </c>
      <c r="B236" t="s">
        <v>402</v>
      </c>
      <c r="D236">
        <v>30</v>
      </c>
      <c r="E236" s="1">
        <v>6.7646793541986108E-4</v>
      </c>
    </row>
    <row r="237" spans="1:5" x14ac:dyDescent="0.3">
      <c r="A237" t="s">
        <v>213</v>
      </c>
      <c r="B237" t="s">
        <v>509</v>
      </c>
      <c r="C237" t="s">
        <v>401</v>
      </c>
      <c r="D237">
        <v>21849</v>
      </c>
      <c r="E237" s="1">
        <v>0.70922193008082579</v>
      </c>
    </row>
    <row r="238" spans="1:5" x14ac:dyDescent="0.3">
      <c r="A238" t="s">
        <v>213</v>
      </c>
      <c r="B238" t="s">
        <v>510</v>
      </c>
      <c r="C238" t="s">
        <v>399</v>
      </c>
      <c r="D238">
        <v>8898</v>
      </c>
      <c r="E238" s="1">
        <v>0.28883046060960171</v>
      </c>
    </row>
    <row r="239" spans="1:5" x14ac:dyDescent="0.3">
      <c r="A239" t="s">
        <v>213</v>
      </c>
      <c r="B239" t="s">
        <v>402</v>
      </c>
      <c r="D239">
        <v>60</v>
      </c>
      <c r="E239" s="1">
        <v>1.9476093095724997E-3</v>
      </c>
    </row>
    <row r="240" spans="1:5" x14ac:dyDescent="0.3">
      <c r="A240" t="s">
        <v>214</v>
      </c>
      <c r="B240" t="s">
        <v>511</v>
      </c>
      <c r="C240" t="s">
        <v>401</v>
      </c>
      <c r="D240">
        <v>9713</v>
      </c>
      <c r="E240" s="1">
        <v>0.37194608256107836</v>
      </c>
    </row>
    <row r="241" spans="1:5" x14ac:dyDescent="0.3">
      <c r="A241" t="s">
        <v>214</v>
      </c>
      <c r="B241" t="s">
        <v>512</v>
      </c>
      <c r="C241" t="s">
        <v>401</v>
      </c>
      <c r="D241">
        <v>8924</v>
      </c>
      <c r="E241" s="1">
        <v>0.34173240407444283</v>
      </c>
    </row>
    <row r="242" spans="1:5" x14ac:dyDescent="0.3">
      <c r="A242" t="s">
        <v>214</v>
      </c>
      <c r="B242" t="s">
        <v>513</v>
      </c>
      <c r="C242" t="s">
        <v>401</v>
      </c>
      <c r="D242">
        <v>7003</v>
      </c>
      <c r="E242" s="1">
        <v>0.26817033009113883</v>
      </c>
    </row>
    <row r="243" spans="1:5" x14ac:dyDescent="0.3">
      <c r="A243" t="s">
        <v>214</v>
      </c>
      <c r="B243" t="s">
        <v>402</v>
      </c>
      <c r="D243">
        <v>474</v>
      </c>
      <c r="E243" s="1">
        <v>1.815118327333997E-2</v>
      </c>
    </row>
    <row r="244" spans="1:5" x14ac:dyDescent="0.3">
      <c r="A244" t="s">
        <v>241</v>
      </c>
      <c r="B244" t="s">
        <v>514</v>
      </c>
      <c r="C244" t="s">
        <v>399</v>
      </c>
      <c r="D244">
        <v>5640</v>
      </c>
      <c r="E244" s="1">
        <v>0.42886472511596074</v>
      </c>
    </row>
    <row r="245" spans="1:5" x14ac:dyDescent="0.3">
      <c r="A245" t="s">
        <v>241</v>
      </c>
      <c r="B245" t="s">
        <v>515</v>
      </c>
      <c r="C245" t="s">
        <v>405</v>
      </c>
      <c r="D245">
        <v>706</v>
      </c>
      <c r="E245" s="1">
        <v>5.3684130484373808E-2</v>
      </c>
    </row>
    <row r="246" spans="1:5" x14ac:dyDescent="0.3">
      <c r="A246" t="s">
        <v>241</v>
      </c>
      <c r="B246" t="s">
        <v>516</v>
      </c>
      <c r="C246" t="s">
        <v>401</v>
      </c>
      <c r="D246">
        <v>6759</v>
      </c>
      <c r="E246" s="1">
        <v>0.51395331153524448</v>
      </c>
    </row>
    <row r="247" spans="1:5" x14ac:dyDescent="0.3">
      <c r="A247" t="s">
        <v>241</v>
      </c>
      <c r="B247" t="s">
        <v>402</v>
      </c>
      <c r="D247">
        <v>46</v>
      </c>
      <c r="E247" s="1">
        <v>3.4978328644209565E-3</v>
      </c>
    </row>
    <row r="248" spans="1:5" x14ac:dyDescent="0.3">
      <c r="A248" t="s">
        <v>242</v>
      </c>
      <c r="B248" t="s">
        <v>44</v>
      </c>
      <c r="C248" t="s">
        <v>401</v>
      </c>
      <c r="D248">
        <v>6700</v>
      </c>
      <c r="E248" s="1">
        <v>0.51035953686776359</v>
      </c>
    </row>
    <row r="249" spans="1:5" x14ac:dyDescent="0.3">
      <c r="A249" t="s">
        <v>242</v>
      </c>
      <c r="B249" t="s">
        <v>386</v>
      </c>
      <c r="C249" t="s">
        <v>468</v>
      </c>
      <c r="D249">
        <v>2406</v>
      </c>
      <c r="E249" s="1">
        <v>0.18327239488117003</v>
      </c>
    </row>
    <row r="250" spans="1:5" x14ac:dyDescent="0.3">
      <c r="A250" t="s">
        <v>242</v>
      </c>
      <c r="B250" t="s">
        <v>46</v>
      </c>
      <c r="C250" t="s">
        <v>399</v>
      </c>
      <c r="D250">
        <v>3992</v>
      </c>
      <c r="E250" s="1">
        <v>0.30408287629494213</v>
      </c>
    </row>
    <row r="251" spans="1:5" x14ac:dyDescent="0.3">
      <c r="A251" t="s">
        <v>242</v>
      </c>
      <c r="B251" t="s">
        <v>402</v>
      </c>
      <c r="D251">
        <v>30</v>
      </c>
      <c r="E251" s="1">
        <v>2.2851919561243145E-3</v>
      </c>
    </row>
    <row r="252" spans="1:5" x14ac:dyDescent="0.3">
      <c r="A252" t="s">
        <v>208</v>
      </c>
      <c r="B252" t="s">
        <v>517</v>
      </c>
      <c r="C252" t="s">
        <v>401</v>
      </c>
      <c r="D252">
        <v>20900</v>
      </c>
      <c r="E252" s="1">
        <v>0.67146437062263065</v>
      </c>
    </row>
    <row r="253" spans="1:5" x14ac:dyDescent="0.3">
      <c r="A253" t="s">
        <v>208</v>
      </c>
      <c r="B253" t="s">
        <v>518</v>
      </c>
      <c r="C253" t="s">
        <v>399</v>
      </c>
      <c r="D253">
        <v>10159</v>
      </c>
      <c r="E253" s="1">
        <v>0.32638308809355521</v>
      </c>
    </row>
    <row r="254" spans="1:5" x14ac:dyDescent="0.3">
      <c r="A254" t="s">
        <v>208</v>
      </c>
      <c r="B254" t="s">
        <v>402</v>
      </c>
      <c r="D254">
        <v>67</v>
      </c>
      <c r="E254" s="1">
        <v>2.1525412838141749E-3</v>
      </c>
    </row>
    <row r="255" spans="1:5" x14ac:dyDescent="0.3">
      <c r="A255" t="s">
        <v>209</v>
      </c>
      <c r="B255" t="s">
        <v>519</v>
      </c>
      <c r="C255" t="s">
        <v>401</v>
      </c>
      <c r="D255">
        <v>14710</v>
      </c>
      <c r="E255" s="1">
        <v>0.48348397699260476</v>
      </c>
    </row>
    <row r="256" spans="1:5" x14ac:dyDescent="0.3">
      <c r="A256" t="s">
        <v>209</v>
      </c>
      <c r="B256" t="s">
        <v>520</v>
      </c>
      <c r="C256" t="s">
        <v>401</v>
      </c>
      <c r="D256">
        <v>6448</v>
      </c>
      <c r="E256" s="1">
        <v>0.21193097781429746</v>
      </c>
    </row>
    <row r="257" spans="1:5" x14ac:dyDescent="0.3">
      <c r="A257" t="s">
        <v>209</v>
      </c>
      <c r="B257" t="s">
        <v>521</v>
      </c>
      <c r="C257" t="s">
        <v>522</v>
      </c>
      <c r="D257">
        <v>9136</v>
      </c>
      <c r="E257" s="1">
        <v>0.30027937551355793</v>
      </c>
    </row>
    <row r="258" spans="1:5" x14ac:dyDescent="0.3">
      <c r="A258" t="s">
        <v>209</v>
      </c>
      <c r="B258" t="s">
        <v>402</v>
      </c>
      <c r="D258">
        <v>131</v>
      </c>
      <c r="E258" s="1">
        <v>4.3056696795398522E-3</v>
      </c>
    </row>
    <row r="259" spans="1:5" x14ac:dyDescent="0.3">
      <c r="A259" t="s">
        <v>236</v>
      </c>
      <c r="B259" t="s">
        <v>523</v>
      </c>
      <c r="C259" t="s">
        <v>401</v>
      </c>
      <c r="D259">
        <v>21367</v>
      </c>
      <c r="E259" s="1">
        <v>0.60363872644574401</v>
      </c>
    </row>
    <row r="260" spans="1:5" x14ac:dyDescent="0.3">
      <c r="A260" t="s">
        <v>236</v>
      </c>
      <c r="B260" t="s">
        <v>524</v>
      </c>
      <c r="C260" t="s">
        <v>399</v>
      </c>
      <c r="D260">
        <v>13998</v>
      </c>
      <c r="E260" s="1">
        <v>0.39545724213916433</v>
      </c>
    </row>
    <row r="261" spans="1:5" x14ac:dyDescent="0.3">
      <c r="A261" t="s">
        <v>236</v>
      </c>
      <c r="B261" t="s">
        <v>402</v>
      </c>
      <c r="D261">
        <v>32</v>
      </c>
      <c r="E261" s="1">
        <v>9.0403141509167448E-4</v>
      </c>
    </row>
    <row r="262" spans="1:5" x14ac:dyDescent="0.3">
      <c r="A262" t="s">
        <v>237</v>
      </c>
      <c r="B262" t="s">
        <v>525</v>
      </c>
      <c r="C262" t="s">
        <v>401</v>
      </c>
      <c r="D262">
        <v>20493</v>
      </c>
      <c r="E262" s="1">
        <v>0.57970071567989589</v>
      </c>
    </row>
    <row r="263" spans="1:5" x14ac:dyDescent="0.3">
      <c r="A263" t="s">
        <v>237</v>
      </c>
      <c r="B263" t="s">
        <v>526</v>
      </c>
      <c r="C263" t="s">
        <v>399</v>
      </c>
      <c r="D263">
        <v>14831</v>
      </c>
      <c r="E263" s="1">
        <v>0.41953551526123728</v>
      </c>
    </row>
    <row r="264" spans="1:5" x14ac:dyDescent="0.3">
      <c r="A264" t="s">
        <v>237</v>
      </c>
      <c r="B264" t="s">
        <v>402</v>
      </c>
      <c r="D264">
        <v>27</v>
      </c>
      <c r="E264" s="1">
        <v>7.6376905886679303E-4</v>
      </c>
    </row>
    <row r="265" spans="1:5" x14ac:dyDescent="0.3">
      <c r="A265" t="s">
        <v>110</v>
      </c>
      <c r="B265" t="s">
        <v>527</v>
      </c>
      <c r="C265" t="s">
        <v>401</v>
      </c>
      <c r="D265">
        <v>20718</v>
      </c>
      <c r="E265" s="1">
        <v>0.43902439024390244</v>
      </c>
    </row>
    <row r="266" spans="1:5" x14ac:dyDescent="0.3">
      <c r="A266" t="s">
        <v>110</v>
      </c>
      <c r="B266" t="s">
        <v>528</v>
      </c>
      <c r="C266" t="s">
        <v>529</v>
      </c>
      <c r="D266">
        <v>1711</v>
      </c>
      <c r="E266" s="1">
        <v>3.6256913394503189E-2</v>
      </c>
    </row>
    <row r="267" spans="1:5" x14ac:dyDescent="0.3">
      <c r="A267" t="s">
        <v>110</v>
      </c>
      <c r="B267" t="s">
        <v>530</v>
      </c>
      <c r="C267" t="s">
        <v>399</v>
      </c>
      <c r="D267">
        <v>24703</v>
      </c>
      <c r="E267" s="1">
        <v>0.52346845796868047</v>
      </c>
    </row>
    <row r="268" spans="1:5" x14ac:dyDescent="0.3">
      <c r="A268" t="s">
        <v>110</v>
      </c>
      <c r="B268" t="s">
        <v>402</v>
      </c>
      <c r="D268">
        <v>59</v>
      </c>
      <c r="E268" s="1">
        <v>1.2502383929139031E-3</v>
      </c>
    </row>
    <row r="269" spans="1:5" x14ac:dyDescent="0.3">
      <c r="A269" t="s">
        <v>112</v>
      </c>
      <c r="B269" t="s">
        <v>531</v>
      </c>
      <c r="C269" t="s">
        <v>399</v>
      </c>
      <c r="D269">
        <v>25825</v>
      </c>
      <c r="E269" s="1">
        <v>0.54868591582212589</v>
      </c>
    </row>
    <row r="270" spans="1:5" x14ac:dyDescent="0.3">
      <c r="A270" t="s">
        <v>112</v>
      </c>
      <c r="B270" t="s">
        <v>532</v>
      </c>
      <c r="C270" t="s">
        <v>401</v>
      </c>
      <c r="D270">
        <v>21170</v>
      </c>
      <c r="E270" s="1">
        <v>0.44978434996919286</v>
      </c>
    </row>
    <row r="271" spans="1:5" x14ac:dyDescent="0.3">
      <c r="A271" t="s">
        <v>112</v>
      </c>
      <c r="B271" t="s">
        <v>402</v>
      </c>
      <c r="D271">
        <v>72</v>
      </c>
      <c r="E271" s="1">
        <v>1.5297342086812416E-3</v>
      </c>
    </row>
    <row r="272" spans="1:5" x14ac:dyDescent="0.3">
      <c r="A272" t="s">
        <v>128</v>
      </c>
      <c r="B272" t="s">
        <v>533</v>
      </c>
      <c r="C272" t="s">
        <v>401</v>
      </c>
      <c r="D272">
        <v>21014</v>
      </c>
      <c r="E272" s="1">
        <v>0.47818864489703039</v>
      </c>
    </row>
    <row r="273" spans="1:5" x14ac:dyDescent="0.3">
      <c r="A273" t="s">
        <v>128</v>
      </c>
      <c r="B273" t="s">
        <v>534</v>
      </c>
      <c r="C273" t="s">
        <v>399</v>
      </c>
      <c r="D273">
        <v>22859</v>
      </c>
      <c r="E273" s="1">
        <v>0.52017294345204235</v>
      </c>
    </row>
    <row r="274" spans="1:5" x14ac:dyDescent="0.3">
      <c r="A274" t="s">
        <v>128</v>
      </c>
      <c r="B274" t="s">
        <v>402</v>
      </c>
      <c r="D274">
        <v>72</v>
      </c>
      <c r="E274" s="1">
        <v>1.6384116509272956E-3</v>
      </c>
    </row>
    <row r="275" spans="1:5" x14ac:dyDescent="0.3">
      <c r="A275" t="s">
        <v>130</v>
      </c>
      <c r="B275" t="s">
        <v>535</v>
      </c>
      <c r="C275" t="s">
        <v>401</v>
      </c>
      <c r="D275">
        <v>20325</v>
      </c>
      <c r="E275" s="1">
        <v>0.46385047240859922</v>
      </c>
    </row>
    <row r="276" spans="1:5" x14ac:dyDescent="0.3">
      <c r="A276" t="s">
        <v>130</v>
      </c>
      <c r="B276" t="s">
        <v>536</v>
      </c>
      <c r="C276" t="s">
        <v>399</v>
      </c>
      <c r="D276">
        <v>23407</v>
      </c>
      <c r="E276" s="1">
        <v>0.53418686384590808</v>
      </c>
    </row>
    <row r="277" spans="1:5" x14ac:dyDescent="0.3">
      <c r="A277" t="s">
        <v>130</v>
      </c>
      <c r="B277" t="s">
        <v>402</v>
      </c>
      <c r="D277">
        <v>86</v>
      </c>
      <c r="E277" s="1">
        <v>1.96266374549272E-3</v>
      </c>
    </row>
    <row r="278" spans="1:5" x14ac:dyDescent="0.3">
      <c r="A278" t="s">
        <v>132</v>
      </c>
      <c r="B278" t="s">
        <v>537</v>
      </c>
      <c r="C278" t="s">
        <v>401</v>
      </c>
      <c r="D278">
        <v>24113</v>
      </c>
      <c r="E278" s="1">
        <v>0.55495972382048331</v>
      </c>
    </row>
    <row r="279" spans="1:5" x14ac:dyDescent="0.3">
      <c r="A279" t="s">
        <v>132</v>
      </c>
      <c r="B279" t="s">
        <v>538</v>
      </c>
      <c r="C279" t="s">
        <v>399</v>
      </c>
      <c r="D279">
        <v>19272</v>
      </c>
      <c r="E279" s="1">
        <v>0.44354430379746834</v>
      </c>
    </row>
    <row r="280" spans="1:5" x14ac:dyDescent="0.3">
      <c r="A280" t="s">
        <v>132</v>
      </c>
      <c r="B280" t="s">
        <v>402</v>
      </c>
      <c r="D280">
        <v>65</v>
      </c>
      <c r="E280" s="1">
        <v>1.4959723820483315E-3</v>
      </c>
    </row>
    <row r="281" spans="1:5" x14ac:dyDescent="0.3">
      <c r="A281" t="s">
        <v>134</v>
      </c>
      <c r="B281" t="s">
        <v>539</v>
      </c>
      <c r="C281" t="s">
        <v>401</v>
      </c>
      <c r="D281">
        <v>2958</v>
      </c>
      <c r="E281" s="1">
        <v>6.9677054625114837E-2</v>
      </c>
    </row>
    <row r="282" spans="1:5" x14ac:dyDescent="0.3">
      <c r="A282" t="s">
        <v>134</v>
      </c>
      <c r="B282" t="s">
        <v>540</v>
      </c>
      <c r="C282" t="s">
        <v>401</v>
      </c>
      <c r="D282">
        <v>3404</v>
      </c>
      <c r="E282" s="1">
        <v>8.0182790379949589E-2</v>
      </c>
    </row>
    <row r="283" spans="1:5" x14ac:dyDescent="0.3">
      <c r="A283" t="s">
        <v>134</v>
      </c>
      <c r="B283" t="s">
        <v>541</v>
      </c>
      <c r="C283" t="s">
        <v>399</v>
      </c>
      <c r="D283">
        <v>18354</v>
      </c>
      <c r="E283" s="1">
        <v>0.43233693731891737</v>
      </c>
    </row>
    <row r="284" spans="1:5" x14ac:dyDescent="0.3">
      <c r="A284" t="s">
        <v>134</v>
      </c>
      <c r="B284" t="s">
        <v>542</v>
      </c>
      <c r="C284" t="s">
        <v>401</v>
      </c>
      <c r="D284">
        <v>17670</v>
      </c>
      <c r="E284" s="1">
        <v>0.41622500176665961</v>
      </c>
    </row>
    <row r="285" spans="1:5" x14ac:dyDescent="0.3">
      <c r="A285" t="s">
        <v>134</v>
      </c>
      <c r="B285" t="s">
        <v>402</v>
      </c>
      <c r="D285">
        <v>67</v>
      </c>
      <c r="E285" s="1">
        <v>1.5782159093585847E-3</v>
      </c>
    </row>
    <row r="286" spans="1:5" x14ac:dyDescent="0.3">
      <c r="A286" t="s">
        <v>98</v>
      </c>
      <c r="B286" t="s">
        <v>543</v>
      </c>
      <c r="C286" t="s">
        <v>401</v>
      </c>
      <c r="D286">
        <v>31475</v>
      </c>
      <c r="E286" s="1">
        <v>0.65607087024491928</v>
      </c>
    </row>
    <row r="287" spans="1:5" x14ac:dyDescent="0.3">
      <c r="A287" t="s">
        <v>98</v>
      </c>
      <c r="B287" t="s">
        <v>544</v>
      </c>
      <c r="C287" t="s">
        <v>399</v>
      </c>
      <c r="D287">
        <v>16418</v>
      </c>
      <c r="E287" s="1">
        <v>0.34221990620114645</v>
      </c>
    </row>
    <row r="288" spans="1:5" x14ac:dyDescent="0.3">
      <c r="A288" t="s">
        <v>98</v>
      </c>
      <c r="B288" t="s">
        <v>402</v>
      </c>
      <c r="D288">
        <v>82</v>
      </c>
      <c r="E288" s="1">
        <v>1.7092235539343408E-3</v>
      </c>
    </row>
    <row r="289" spans="1:5" x14ac:dyDescent="0.3">
      <c r="A289" t="s">
        <v>100</v>
      </c>
      <c r="B289" t="s">
        <v>545</v>
      </c>
      <c r="C289" t="s">
        <v>399</v>
      </c>
      <c r="D289">
        <v>17728</v>
      </c>
      <c r="E289" s="1">
        <v>0.36975701324434246</v>
      </c>
    </row>
    <row r="290" spans="1:5" x14ac:dyDescent="0.3">
      <c r="A290" t="s">
        <v>100</v>
      </c>
      <c r="B290" t="s">
        <v>546</v>
      </c>
      <c r="C290" t="s">
        <v>401</v>
      </c>
      <c r="D290">
        <v>30140</v>
      </c>
      <c r="E290" s="1">
        <v>0.6286369798727709</v>
      </c>
    </row>
    <row r="291" spans="1:5" x14ac:dyDescent="0.3">
      <c r="A291" t="s">
        <v>100</v>
      </c>
      <c r="B291" t="s">
        <v>402</v>
      </c>
      <c r="D291">
        <v>77</v>
      </c>
      <c r="E291" s="1">
        <v>1.6060068828866408E-3</v>
      </c>
    </row>
    <row r="292" spans="1:5" x14ac:dyDescent="0.3">
      <c r="A292" t="s">
        <v>205</v>
      </c>
      <c r="B292" t="s">
        <v>547</v>
      </c>
      <c r="C292" t="s">
        <v>399</v>
      </c>
      <c r="D292">
        <v>13379</v>
      </c>
      <c r="E292" s="1">
        <v>0.44193036929378343</v>
      </c>
    </row>
    <row r="293" spans="1:5" x14ac:dyDescent="0.3">
      <c r="A293" t="s">
        <v>205</v>
      </c>
      <c r="B293" t="s">
        <v>548</v>
      </c>
      <c r="C293" t="s">
        <v>399</v>
      </c>
      <c r="D293">
        <v>16344</v>
      </c>
      <c r="E293" s="1">
        <v>0.53986919468851158</v>
      </c>
    </row>
    <row r="294" spans="1:5" x14ac:dyDescent="0.3">
      <c r="A294" t="s">
        <v>205</v>
      </c>
      <c r="B294" t="s">
        <v>402</v>
      </c>
      <c r="D294">
        <v>551</v>
      </c>
      <c r="E294" s="1">
        <v>1.8200436017704963E-2</v>
      </c>
    </row>
    <row r="295" spans="1:5" x14ac:dyDescent="0.3">
      <c r="A295" t="s">
        <v>206</v>
      </c>
      <c r="B295" t="s">
        <v>549</v>
      </c>
      <c r="C295" t="s">
        <v>399</v>
      </c>
      <c r="D295">
        <v>22909</v>
      </c>
      <c r="E295" s="1">
        <v>0.72602522659567725</v>
      </c>
    </row>
    <row r="296" spans="1:5" x14ac:dyDescent="0.3">
      <c r="A296" t="s">
        <v>206</v>
      </c>
      <c r="B296" t="s">
        <v>550</v>
      </c>
      <c r="C296" t="s">
        <v>457</v>
      </c>
      <c r="D296">
        <v>8430</v>
      </c>
      <c r="E296" s="1">
        <v>0.26716105723521583</v>
      </c>
    </row>
    <row r="297" spans="1:5" x14ac:dyDescent="0.3">
      <c r="A297" t="s">
        <v>206</v>
      </c>
      <c r="B297" t="s">
        <v>402</v>
      </c>
      <c r="D297">
        <v>215</v>
      </c>
      <c r="E297" s="1">
        <v>6.8137161691069282E-3</v>
      </c>
    </row>
    <row r="298" spans="1:5" x14ac:dyDescent="0.3">
      <c r="A298" t="s">
        <v>114</v>
      </c>
      <c r="B298" t="s">
        <v>551</v>
      </c>
      <c r="C298" t="s">
        <v>399</v>
      </c>
      <c r="D298">
        <v>33979</v>
      </c>
      <c r="E298" s="1">
        <v>0.73173830648634675</v>
      </c>
    </row>
    <row r="299" spans="1:5" x14ac:dyDescent="0.3">
      <c r="A299" t="s">
        <v>114</v>
      </c>
      <c r="B299" t="s">
        <v>552</v>
      </c>
      <c r="C299" t="s">
        <v>401</v>
      </c>
      <c r="D299">
        <v>12329</v>
      </c>
      <c r="E299" s="1">
        <v>0.26550521147385647</v>
      </c>
    </row>
    <row r="300" spans="1:5" x14ac:dyDescent="0.3">
      <c r="A300" t="s">
        <v>114</v>
      </c>
      <c r="B300" t="s">
        <v>402</v>
      </c>
      <c r="D300">
        <v>128</v>
      </c>
      <c r="E300" s="1">
        <v>2.7564820397967095E-3</v>
      </c>
    </row>
    <row r="301" spans="1:5" x14ac:dyDescent="0.3">
      <c r="A301" t="s">
        <v>116</v>
      </c>
      <c r="B301" t="s">
        <v>553</v>
      </c>
      <c r="C301" t="s">
        <v>399</v>
      </c>
      <c r="D301">
        <v>28156</v>
      </c>
      <c r="E301" s="1">
        <v>0.6821066912156597</v>
      </c>
    </row>
    <row r="302" spans="1:5" x14ac:dyDescent="0.3">
      <c r="A302" t="s">
        <v>116</v>
      </c>
      <c r="B302" t="s">
        <v>554</v>
      </c>
      <c r="C302" t="s">
        <v>399</v>
      </c>
      <c r="D302">
        <v>11907</v>
      </c>
      <c r="E302" s="1">
        <v>0.28845874315616066</v>
      </c>
    </row>
    <row r="303" spans="1:5" x14ac:dyDescent="0.3">
      <c r="A303" t="s">
        <v>116</v>
      </c>
      <c r="B303" t="s">
        <v>402</v>
      </c>
      <c r="D303">
        <v>1215</v>
      </c>
      <c r="E303" s="1">
        <v>2.943456562817966E-2</v>
      </c>
    </row>
    <row r="304" spans="1:5" x14ac:dyDescent="0.3">
      <c r="A304" t="s">
        <v>102</v>
      </c>
      <c r="B304" t="s">
        <v>555</v>
      </c>
      <c r="C304" t="s">
        <v>399</v>
      </c>
      <c r="D304">
        <v>16753</v>
      </c>
      <c r="E304" s="1">
        <v>0.39011270491803279</v>
      </c>
    </row>
    <row r="305" spans="1:5" x14ac:dyDescent="0.3">
      <c r="A305" t="s">
        <v>102</v>
      </c>
      <c r="B305" t="s">
        <v>556</v>
      </c>
      <c r="C305" t="s">
        <v>399</v>
      </c>
      <c r="D305">
        <v>24583</v>
      </c>
      <c r="E305" s="1">
        <v>0.57244318181818177</v>
      </c>
    </row>
    <row r="306" spans="1:5" x14ac:dyDescent="0.3">
      <c r="A306" t="s">
        <v>102</v>
      </c>
      <c r="B306" t="s">
        <v>402</v>
      </c>
      <c r="D306">
        <v>1608</v>
      </c>
      <c r="E306" s="1">
        <v>3.7444113263785397E-2</v>
      </c>
    </row>
    <row r="307" spans="1:5" x14ac:dyDescent="0.3">
      <c r="A307" t="s">
        <v>104</v>
      </c>
      <c r="B307" t="s">
        <v>557</v>
      </c>
      <c r="C307" t="s">
        <v>399</v>
      </c>
      <c r="D307">
        <v>27915</v>
      </c>
      <c r="E307" s="1">
        <v>0.5811266550087435</v>
      </c>
    </row>
    <row r="308" spans="1:5" x14ac:dyDescent="0.3">
      <c r="A308" t="s">
        <v>104</v>
      </c>
      <c r="B308" t="s">
        <v>558</v>
      </c>
      <c r="C308" t="s">
        <v>401</v>
      </c>
      <c r="D308">
        <v>14202</v>
      </c>
      <c r="E308" s="1">
        <v>0.29565326005495879</v>
      </c>
    </row>
    <row r="309" spans="1:5" x14ac:dyDescent="0.3">
      <c r="A309" t="s">
        <v>104</v>
      </c>
      <c r="B309" t="s">
        <v>559</v>
      </c>
      <c r="C309" t="s">
        <v>399</v>
      </c>
      <c r="D309">
        <v>5882</v>
      </c>
      <c r="E309" s="1">
        <v>0.12244982929469564</v>
      </c>
    </row>
    <row r="310" spans="1:5" x14ac:dyDescent="0.3">
      <c r="A310" t="s">
        <v>104</v>
      </c>
      <c r="B310" t="s">
        <v>404</v>
      </c>
      <c r="D310">
        <v>37</v>
      </c>
      <c r="E310" s="1">
        <v>7.7025564160213174E-4</v>
      </c>
    </row>
    <row r="311" spans="1:5" x14ac:dyDescent="0.3">
      <c r="A311" t="s">
        <v>176</v>
      </c>
      <c r="B311" t="s">
        <v>560</v>
      </c>
      <c r="C311" t="s">
        <v>401</v>
      </c>
      <c r="D311">
        <v>11779</v>
      </c>
      <c r="E311" s="1">
        <v>0.21818619642129441</v>
      </c>
    </row>
    <row r="312" spans="1:5" x14ac:dyDescent="0.3">
      <c r="A312" t="s">
        <v>176</v>
      </c>
      <c r="B312" t="s">
        <v>561</v>
      </c>
      <c r="C312" t="s">
        <v>400</v>
      </c>
      <c r="D312">
        <v>3643</v>
      </c>
      <c r="E312" s="1">
        <v>6.748045789649168E-2</v>
      </c>
    </row>
    <row r="313" spans="1:5" x14ac:dyDescent="0.3">
      <c r="A313" t="s">
        <v>176</v>
      </c>
      <c r="B313" t="s">
        <v>562</v>
      </c>
      <c r="C313" t="s">
        <v>399</v>
      </c>
      <c r="D313">
        <v>32592</v>
      </c>
      <c r="E313" s="1">
        <v>0.60371207350053713</v>
      </c>
    </row>
    <row r="314" spans="1:5" x14ac:dyDescent="0.3">
      <c r="A314" t="s">
        <v>176</v>
      </c>
      <c r="B314" t="s">
        <v>563</v>
      </c>
      <c r="C314" t="s">
        <v>401</v>
      </c>
      <c r="D314">
        <v>5930</v>
      </c>
      <c r="E314" s="1">
        <v>0.10984329270551625</v>
      </c>
    </row>
    <row r="315" spans="1:5" x14ac:dyDescent="0.3">
      <c r="A315" t="s">
        <v>176</v>
      </c>
      <c r="B315" t="s">
        <v>402</v>
      </c>
      <c r="D315">
        <v>42</v>
      </c>
      <c r="E315" s="1">
        <v>7.7797947616048608E-4</v>
      </c>
    </row>
    <row r="316" spans="1:5" x14ac:dyDescent="0.3">
      <c r="A316" t="s">
        <v>177</v>
      </c>
      <c r="B316" t="s">
        <v>564</v>
      </c>
      <c r="C316" t="s">
        <v>399</v>
      </c>
      <c r="D316">
        <v>2374</v>
      </c>
      <c r="E316" s="1">
        <v>4.5288057993132395E-2</v>
      </c>
    </row>
    <row r="317" spans="1:5" x14ac:dyDescent="0.3">
      <c r="A317" t="s">
        <v>177</v>
      </c>
      <c r="B317" t="s">
        <v>565</v>
      </c>
      <c r="C317" t="s">
        <v>399</v>
      </c>
      <c r="D317">
        <v>12699</v>
      </c>
      <c r="E317" s="1">
        <v>0.24225486455551315</v>
      </c>
    </row>
    <row r="318" spans="1:5" x14ac:dyDescent="0.3">
      <c r="A318" t="s">
        <v>177</v>
      </c>
      <c r="B318" t="s">
        <v>566</v>
      </c>
      <c r="C318" t="s">
        <v>399</v>
      </c>
      <c r="D318">
        <v>13617</v>
      </c>
      <c r="E318" s="1">
        <v>0.25976726440289966</v>
      </c>
    </row>
    <row r="319" spans="1:5" x14ac:dyDescent="0.3">
      <c r="A319" t="s">
        <v>177</v>
      </c>
      <c r="B319" t="s">
        <v>567</v>
      </c>
      <c r="C319" t="s">
        <v>399</v>
      </c>
      <c r="D319">
        <v>3644</v>
      </c>
      <c r="E319" s="1">
        <v>6.9515452117512394E-2</v>
      </c>
    </row>
    <row r="320" spans="1:5" x14ac:dyDescent="0.3">
      <c r="A320" t="s">
        <v>177</v>
      </c>
      <c r="B320" t="s">
        <v>568</v>
      </c>
      <c r="C320" t="s">
        <v>405</v>
      </c>
      <c r="D320">
        <v>19818</v>
      </c>
      <c r="E320" s="1">
        <v>0.37806180847004961</v>
      </c>
    </row>
    <row r="321" spans="1:5" x14ac:dyDescent="0.3">
      <c r="A321" t="s">
        <v>177</v>
      </c>
      <c r="B321" t="s">
        <v>402</v>
      </c>
      <c r="D321">
        <v>268</v>
      </c>
      <c r="E321" s="1">
        <v>5.1125524608927886E-3</v>
      </c>
    </row>
    <row r="322" spans="1:5" x14ac:dyDescent="0.3">
      <c r="A322" t="s">
        <v>218</v>
      </c>
      <c r="B322" t="s">
        <v>569</v>
      </c>
      <c r="C322" t="s">
        <v>399</v>
      </c>
      <c r="D322">
        <v>10454</v>
      </c>
      <c r="E322" s="1">
        <v>0.36283492989032345</v>
      </c>
    </row>
    <row r="323" spans="1:5" x14ac:dyDescent="0.3">
      <c r="A323" t="s">
        <v>218</v>
      </c>
      <c r="B323" t="s">
        <v>570</v>
      </c>
      <c r="C323" t="s">
        <v>399</v>
      </c>
      <c r="D323">
        <v>3880</v>
      </c>
      <c r="E323" s="1">
        <v>0.13466611134249618</v>
      </c>
    </row>
    <row r="324" spans="1:5" x14ac:dyDescent="0.3">
      <c r="A324" t="s">
        <v>218</v>
      </c>
      <c r="B324" t="s">
        <v>571</v>
      </c>
      <c r="C324" t="s">
        <v>401</v>
      </c>
      <c r="D324">
        <v>14460</v>
      </c>
      <c r="E324" s="1">
        <v>0.50187421907538521</v>
      </c>
    </row>
    <row r="325" spans="1:5" x14ac:dyDescent="0.3">
      <c r="A325" t="s">
        <v>218</v>
      </c>
      <c r="B325" t="s">
        <v>402</v>
      </c>
      <c r="D325">
        <v>18</v>
      </c>
      <c r="E325" s="1">
        <v>6.2473969179508543E-4</v>
      </c>
    </row>
    <row r="326" spans="1:5" x14ac:dyDescent="0.3">
      <c r="A326" t="s">
        <v>219</v>
      </c>
      <c r="B326" t="s">
        <v>572</v>
      </c>
      <c r="C326" t="s">
        <v>399</v>
      </c>
      <c r="D326">
        <v>13466</v>
      </c>
      <c r="E326" s="1">
        <v>0.4671963362592374</v>
      </c>
    </row>
    <row r="327" spans="1:5" x14ac:dyDescent="0.3">
      <c r="A327" t="s">
        <v>219</v>
      </c>
      <c r="B327" t="s">
        <v>573</v>
      </c>
      <c r="C327" t="s">
        <v>401</v>
      </c>
      <c r="D327">
        <v>1333</v>
      </c>
      <c r="E327" s="1">
        <v>4.6247788224681681E-2</v>
      </c>
    </row>
    <row r="328" spans="1:5" x14ac:dyDescent="0.3">
      <c r="A328" t="s">
        <v>219</v>
      </c>
      <c r="B328" t="s">
        <v>574</v>
      </c>
      <c r="C328" t="s">
        <v>401</v>
      </c>
      <c r="D328">
        <v>14005</v>
      </c>
      <c r="E328" s="1">
        <v>0.48589667973493389</v>
      </c>
    </row>
    <row r="329" spans="1:5" x14ac:dyDescent="0.3">
      <c r="A329" t="s">
        <v>219</v>
      </c>
      <c r="B329" t="s">
        <v>402</v>
      </c>
      <c r="D329">
        <v>19</v>
      </c>
      <c r="E329" s="1">
        <v>6.5919578114700061E-4</v>
      </c>
    </row>
    <row r="330" spans="1:5" x14ac:dyDescent="0.3">
      <c r="A330" t="s">
        <v>72</v>
      </c>
      <c r="B330" t="s">
        <v>575</v>
      </c>
      <c r="C330" t="s">
        <v>401</v>
      </c>
      <c r="D330">
        <v>22256</v>
      </c>
      <c r="E330" s="1">
        <v>0.43844683910876459</v>
      </c>
    </row>
    <row r="331" spans="1:5" x14ac:dyDescent="0.3">
      <c r="A331" t="s">
        <v>72</v>
      </c>
      <c r="B331" t="s">
        <v>576</v>
      </c>
      <c r="C331" t="s">
        <v>399</v>
      </c>
      <c r="D331">
        <v>11467</v>
      </c>
      <c r="E331" s="1">
        <v>0.22590177498473238</v>
      </c>
    </row>
    <row r="332" spans="1:5" x14ac:dyDescent="0.3">
      <c r="A332" t="s">
        <v>72</v>
      </c>
      <c r="B332" t="s">
        <v>577</v>
      </c>
      <c r="C332" t="s">
        <v>399</v>
      </c>
      <c r="D332">
        <v>17012</v>
      </c>
      <c r="E332" s="1">
        <v>0.33513918165520773</v>
      </c>
    </row>
    <row r="333" spans="1:5" x14ac:dyDescent="0.3">
      <c r="A333" t="s">
        <v>72</v>
      </c>
      <c r="B333" t="s">
        <v>402</v>
      </c>
      <c r="D333">
        <v>26</v>
      </c>
      <c r="E333" s="1">
        <v>5.1220425129528573E-4</v>
      </c>
    </row>
    <row r="334" spans="1:5" x14ac:dyDescent="0.3">
      <c r="A334" t="s">
        <v>74</v>
      </c>
      <c r="B334" t="s">
        <v>578</v>
      </c>
      <c r="C334" t="s">
        <v>405</v>
      </c>
      <c r="D334">
        <v>1213</v>
      </c>
      <c r="E334" s="1">
        <v>2.3963333925996168E-2</v>
      </c>
    </row>
    <row r="335" spans="1:5" x14ac:dyDescent="0.3">
      <c r="A335" t="s">
        <v>74</v>
      </c>
      <c r="B335" t="s">
        <v>579</v>
      </c>
      <c r="C335" t="s">
        <v>399</v>
      </c>
      <c r="D335">
        <v>6720</v>
      </c>
      <c r="E335" s="1">
        <v>0.13275647484146269</v>
      </c>
    </row>
    <row r="336" spans="1:5" x14ac:dyDescent="0.3">
      <c r="A336" t="s">
        <v>74</v>
      </c>
      <c r="B336" t="s">
        <v>580</v>
      </c>
      <c r="C336" t="s">
        <v>399</v>
      </c>
      <c r="D336">
        <v>20023</v>
      </c>
      <c r="E336" s="1">
        <v>0.39556293091526895</v>
      </c>
    </row>
    <row r="337" spans="1:5" x14ac:dyDescent="0.3">
      <c r="A337" t="s">
        <v>74</v>
      </c>
      <c r="B337" t="s">
        <v>581</v>
      </c>
      <c r="C337" t="s">
        <v>401</v>
      </c>
      <c r="D337">
        <v>22635</v>
      </c>
      <c r="E337" s="1">
        <v>0.44716410833876608</v>
      </c>
    </row>
    <row r="338" spans="1:5" x14ac:dyDescent="0.3">
      <c r="A338" t="s">
        <v>74</v>
      </c>
      <c r="B338" t="s">
        <v>402</v>
      </c>
      <c r="D338">
        <v>28</v>
      </c>
      <c r="E338" s="1">
        <v>5.531519785060945E-4</v>
      </c>
    </row>
    <row r="339" spans="1:5" x14ac:dyDescent="0.3">
      <c r="A339" t="s">
        <v>194</v>
      </c>
      <c r="B339" t="s">
        <v>582</v>
      </c>
      <c r="C339" t="s">
        <v>399</v>
      </c>
      <c r="D339">
        <v>26099</v>
      </c>
      <c r="E339" s="1">
        <v>0.77254832312109645</v>
      </c>
    </row>
    <row r="340" spans="1:5" x14ac:dyDescent="0.3">
      <c r="A340" t="s">
        <v>194</v>
      </c>
      <c r="B340" t="s">
        <v>583</v>
      </c>
      <c r="C340" t="s">
        <v>401</v>
      </c>
      <c r="D340">
        <v>7580</v>
      </c>
      <c r="E340" s="1">
        <v>0.22437320545836664</v>
      </c>
    </row>
    <row r="341" spans="1:5" x14ac:dyDescent="0.3">
      <c r="A341" t="s">
        <v>194</v>
      </c>
      <c r="B341" t="s">
        <v>402</v>
      </c>
      <c r="D341">
        <v>104</v>
      </c>
      <c r="E341" s="1">
        <v>3.0784714205369565E-3</v>
      </c>
    </row>
    <row r="342" spans="1:5" x14ac:dyDescent="0.3">
      <c r="A342" t="s">
        <v>195</v>
      </c>
      <c r="B342" t="s">
        <v>584</v>
      </c>
      <c r="C342" t="s">
        <v>399</v>
      </c>
      <c r="D342">
        <v>26333</v>
      </c>
      <c r="E342" s="1">
        <v>0.95537495918441384</v>
      </c>
    </row>
    <row r="343" spans="1:5" x14ac:dyDescent="0.3">
      <c r="A343" t="s">
        <v>195</v>
      </c>
      <c r="B343" t="s">
        <v>402</v>
      </c>
      <c r="D343">
        <v>1230</v>
      </c>
      <c r="E343" s="1">
        <v>4.462504081558611E-2</v>
      </c>
    </row>
    <row r="344" spans="1:5" x14ac:dyDescent="0.3">
      <c r="A344" t="s">
        <v>231</v>
      </c>
      <c r="B344" t="s">
        <v>585</v>
      </c>
      <c r="C344" t="s">
        <v>399</v>
      </c>
      <c r="D344">
        <v>16321</v>
      </c>
      <c r="E344" s="1">
        <v>0.64492037776109379</v>
      </c>
    </row>
    <row r="345" spans="1:5" x14ac:dyDescent="0.3">
      <c r="A345" t="s">
        <v>231</v>
      </c>
      <c r="B345" t="s">
        <v>586</v>
      </c>
      <c r="C345" t="s">
        <v>401</v>
      </c>
      <c r="D345">
        <v>8927</v>
      </c>
      <c r="E345" s="1">
        <v>0.35274825147192479</v>
      </c>
    </row>
    <row r="346" spans="1:5" x14ac:dyDescent="0.3">
      <c r="A346" t="s">
        <v>231</v>
      </c>
      <c r="B346" t="s">
        <v>402</v>
      </c>
      <c r="D346">
        <v>59</v>
      </c>
      <c r="E346" s="1">
        <v>2.3313707669814676E-3</v>
      </c>
    </row>
    <row r="347" spans="1:5" x14ac:dyDescent="0.3">
      <c r="A347" t="s">
        <v>232</v>
      </c>
      <c r="B347" t="s">
        <v>587</v>
      </c>
      <c r="C347" t="s">
        <v>399</v>
      </c>
      <c r="D347">
        <v>17782</v>
      </c>
      <c r="E347" s="1">
        <v>0.90687474500204002</v>
      </c>
    </row>
    <row r="348" spans="1:5" x14ac:dyDescent="0.3">
      <c r="A348" t="s">
        <v>232</v>
      </c>
      <c r="B348" t="s">
        <v>402</v>
      </c>
      <c r="D348">
        <v>1826</v>
      </c>
      <c r="E348" s="1">
        <v>9.3125254997960011E-2</v>
      </c>
    </row>
    <row r="349" spans="1:5" x14ac:dyDescent="0.3">
      <c r="A349" t="s">
        <v>239</v>
      </c>
      <c r="B349" t="s">
        <v>588</v>
      </c>
      <c r="C349" t="s">
        <v>399</v>
      </c>
      <c r="D349">
        <v>7858</v>
      </c>
      <c r="E349" s="1">
        <v>0.46563166627162833</v>
      </c>
    </row>
    <row r="350" spans="1:5" x14ac:dyDescent="0.3">
      <c r="A350" t="s">
        <v>239</v>
      </c>
      <c r="B350" t="s">
        <v>589</v>
      </c>
      <c r="C350" t="s">
        <v>399</v>
      </c>
      <c r="D350">
        <v>8245</v>
      </c>
      <c r="E350" s="1">
        <v>0.48856364067314528</v>
      </c>
    </row>
    <row r="351" spans="1:5" x14ac:dyDescent="0.3">
      <c r="A351" t="s">
        <v>239</v>
      </c>
      <c r="B351" t="s">
        <v>402</v>
      </c>
      <c r="D351">
        <v>773</v>
      </c>
      <c r="E351" s="1">
        <v>4.5804693055226359E-2</v>
      </c>
    </row>
    <row r="352" spans="1:5" x14ac:dyDescent="0.3">
      <c r="A352" t="s">
        <v>240</v>
      </c>
      <c r="B352" t="s">
        <v>590</v>
      </c>
      <c r="C352" t="s">
        <v>401</v>
      </c>
      <c r="D352">
        <v>3332</v>
      </c>
      <c r="E352" s="1">
        <v>0.17630562463622415</v>
      </c>
    </row>
    <row r="353" spans="1:5" x14ac:dyDescent="0.3">
      <c r="A353" t="s">
        <v>240</v>
      </c>
      <c r="B353" t="s">
        <v>591</v>
      </c>
      <c r="C353" t="s">
        <v>399</v>
      </c>
      <c r="D353">
        <v>3784</v>
      </c>
      <c r="E353" s="1">
        <v>0.20022223398063391</v>
      </c>
    </row>
    <row r="354" spans="1:5" x14ac:dyDescent="0.3">
      <c r="A354" t="s">
        <v>240</v>
      </c>
      <c r="B354" t="s">
        <v>592</v>
      </c>
      <c r="C354" t="s">
        <v>399</v>
      </c>
      <c r="D354">
        <v>1793</v>
      </c>
      <c r="E354" s="1">
        <v>9.4872744589660829E-2</v>
      </c>
    </row>
    <row r="355" spans="1:5" x14ac:dyDescent="0.3">
      <c r="A355" t="s">
        <v>240</v>
      </c>
      <c r="B355" t="s">
        <v>593</v>
      </c>
      <c r="C355" t="s">
        <v>399</v>
      </c>
      <c r="D355">
        <v>3612</v>
      </c>
      <c r="E355" s="1">
        <v>0.19112122334515053</v>
      </c>
    </row>
    <row r="356" spans="1:5" x14ac:dyDescent="0.3">
      <c r="A356" t="s">
        <v>240</v>
      </c>
      <c r="B356" t="s">
        <v>594</v>
      </c>
      <c r="C356" t="s">
        <v>401</v>
      </c>
      <c r="D356">
        <v>2255</v>
      </c>
      <c r="E356" s="1">
        <v>0.11931848245938939</v>
      </c>
    </row>
    <row r="357" spans="1:5" x14ac:dyDescent="0.3">
      <c r="A357" t="s">
        <v>240</v>
      </c>
      <c r="B357" t="s">
        <v>595</v>
      </c>
      <c r="C357" t="s">
        <v>399</v>
      </c>
      <c r="D357">
        <v>4092</v>
      </c>
      <c r="E357" s="1">
        <v>0.21651939256045294</v>
      </c>
    </row>
    <row r="358" spans="1:5" x14ac:dyDescent="0.3">
      <c r="A358" t="s">
        <v>240</v>
      </c>
      <c r="B358" t="s">
        <v>402</v>
      </c>
      <c r="D358">
        <v>31</v>
      </c>
      <c r="E358" s="1">
        <v>1.6402984284882799E-3</v>
      </c>
    </row>
    <row r="359" spans="1:5" x14ac:dyDescent="0.3">
      <c r="A359" t="s">
        <v>234</v>
      </c>
      <c r="B359" t="s">
        <v>596</v>
      </c>
      <c r="C359" t="s">
        <v>399</v>
      </c>
      <c r="D359">
        <v>14957</v>
      </c>
      <c r="E359" s="1">
        <v>0.63946130825138947</v>
      </c>
    </row>
    <row r="360" spans="1:5" x14ac:dyDescent="0.3">
      <c r="A360" t="s">
        <v>234</v>
      </c>
      <c r="B360" t="s">
        <v>597</v>
      </c>
      <c r="C360" t="s">
        <v>401</v>
      </c>
      <c r="D360">
        <v>8404</v>
      </c>
      <c r="E360" s="1">
        <v>0.35929884566053871</v>
      </c>
    </row>
    <row r="361" spans="1:5" x14ac:dyDescent="0.3">
      <c r="A361" t="s">
        <v>234</v>
      </c>
      <c r="B361" t="s">
        <v>402</v>
      </c>
      <c r="D361">
        <v>29</v>
      </c>
      <c r="E361" s="1">
        <v>1.2398460880718256E-3</v>
      </c>
    </row>
    <row r="362" spans="1:5" x14ac:dyDescent="0.3">
      <c r="A362" t="s">
        <v>235</v>
      </c>
      <c r="B362" t="s">
        <v>598</v>
      </c>
      <c r="C362" t="s">
        <v>399</v>
      </c>
      <c r="D362">
        <v>14714</v>
      </c>
      <c r="E362" s="1">
        <v>0.63719036895894687</v>
      </c>
    </row>
    <row r="363" spans="1:5" x14ac:dyDescent="0.3">
      <c r="A363" t="s">
        <v>235</v>
      </c>
      <c r="B363" t="s">
        <v>599</v>
      </c>
      <c r="C363" t="s">
        <v>400</v>
      </c>
      <c r="D363">
        <v>8275</v>
      </c>
      <c r="E363" s="1">
        <v>0.35834921184825913</v>
      </c>
    </row>
    <row r="364" spans="1:5" x14ac:dyDescent="0.3">
      <c r="A364" t="s">
        <v>235</v>
      </c>
      <c r="B364" t="s">
        <v>402</v>
      </c>
      <c r="D364">
        <v>103</v>
      </c>
      <c r="E364" s="1">
        <v>4.4604191927940413E-3</v>
      </c>
    </row>
    <row r="365" spans="1:5" x14ac:dyDescent="0.3">
      <c r="A365" t="s">
        <v>200</v>
      </c>
      <c r="B365" t="s">
        <v>600</v>
      </c>
      <c r="C365" t="s">
        <v>401</v>
      </c>
      <c r="D365">
        <v>19674</v>
      </c>
      <c r="E365" s="1">
        <v>0.57871514295799509</v>
      </c>
    </row>
    <row r="366" spans="1:5" x14ac:dyDescent="0.3">
      <c r="A366" t="s">
        <v>200</v>
      </c>
      <c r="B366" t="s">
        <v>601</v>
      </c>
      <c r="C366" t="s">
        <v>399</v>
      </c>
      <c r="D366">
        <v>14299</v>
      </c>
      <c r="E366" s="1">
        <v>0.42060830685963052</v>
      </c>
    </row>
    <row r="367" spans="1:5" x14ac:dyDescent="0.3">
      <c r="A367" t="s">
        <v>200</v>
      </c>
      <c r="B367" t="s">
        <v>402</v>
      </c>
      <c r="D367">
        <v>23</v>
      </c>
      <c r="E367" s="1">
        <v>6.7655018237439699E-4</v>
      </c>
    </row>
    <row r="368" spans="1:5" x14ac:dyDescent="0.3">
      <c r="A368" t="s">
        <v>201</v>
      </c>
      <c r="B368" t="s">
        <v>602</v>
      </c>
      <c r="C368" t="s">
        <v>468</v>
      </c>
      <c r="D368">
        <v>14915</v>
      </c>
      <c r="E368" s="1">
        <v>0.43885717648443479</v>
      </c>
    </row>
    <row r="369" spans="1:5" x14ac:dyDescent="0.3">
      <c r="A369" t="s">
        <v>201</v>
      </c>
      <c r="B369" t="s">
        <v>603</v>
      </c>
      <c r="C369" t="s">
        <v>401</v>
      </c>
      <c r="D369">
        <v>19039</v>
      </c>
      <c r="E369" s="1">
        <v>0.56020125934208198</v>
      </c>
    </row>
    <row r="370" spans="1:5" x14ac:dyDescent="0.3">
      <c r="A370" t="s">
        <v>201</v>
      </c>
      <c r="B370" t="s">
        <v>402</v>
      </c>
      <c r="D370">
        <v>32</v>
      </c>
      <c r="E370" s="1">
        <v>9.4156417348319893E-4</v>
      </c>
    </row>
    <row r="371" spans="1:5" x14ac:dyDescent="0.3">
      <c r="A371" t="s">
        <v>166</v>
      </c>
      <c r="B371" t="s">
        <v>604</v>
      </c>
      <c r="C371" t="s">
        <v>399</v>
      </c>
      <c r="D371">
        <v>3697</v>
      </c>
      <c r="E371" s="1">
        <v>9.188745836854402E-2</v>
      </c>
    </row>
    <row r="372" spans="1:5" x14ac:dyDescent="0.3">
      <c r="A372" t="s">
        <v>166</v>
      </c>
      <c r="B372" t="s">
        <v>605</v>
      </c>
      <c r="C372" t="s">
        <v>399</v>
      </c>
      <c r="D372">
        <v>4415</v>
      </c>
      <c r="E372" s="1">
        <v>0.10973306158970025</v>
      </c>
    </row>
    <row r="373" spans="1:5" x14ac:dyDescent="0.3">
      <c r="A373" t="s">
        <v>166</v>
      </c>
      <c r="B373" t="s">
        <v>606</v>
      </c>
      <c r="C373" t="s">
        <v>399</v>
      </c>
      <c r="D373">
        <v>10698</v>
      </c>
      <c r="E373" s="1">
        <v>0.26589451707511058</v>
      </c>
    </row>
    <row r="374" spans="1:5" x14ac:dyDescent="0.3">
      <c r="A374" t="s">
        <v>166</v>
      </c>
      <c r="B374" t="s">
        <v>607</v>
      </c>
      <c r="C374" t="s">
        <v>399</v>
      </c>
      <c r="D374">
        <v>9735</v>
      </c>
      <c r="E374" s="1">
        <v>0.24195953671024506</v>
      </c>
    </row>
    <row r="375" spans="1:5" x14ac:dyDescent="0.3">
      <c r="A375" t="s">
        <v>166</v>
      </c>
      <c r="B375" t="s">
        <v>608</v>
      </c>
      <c r="C375" t="s">
        <v>401</v>
      </c>
      <c r="D375">
        <v>7612</v>
      </c>
      <c r="E375" s="1">
        <v>0.18919321966495997</v>
      </c>
    </row>
    <row r="376" spans="1:5" x14ac:dyDescent="0.3">
      <c r="A376" t="s">
        <v>166</v>
      </c>
      <c r="B376" t="s">
        <v>609</v>
      </c>
      <c r="C376" t="s">
        <v>399</v>
      </c>
      <c r="D376">
        <v>4044</v>
      </c>
      <c r="E376" s="1">
        <v>0.10051200477208332</v>
      </c>
    </row>
    <row r="377" spans="1:5" x14ac:dyDescent="0.3">
      <c r="A377" t="s">
        <v>166</v>
      </c>
      <c r="B377" t="s">
        <v>402</v>
      </c>
      <c r="D377">
        <v>33</v>
      </c>
      <c r="E377" s="1">
        <v>8.2020181935676289E-4</v>
      </c>
    </row>
    <row r="378" spans="1:5" x14ac:dyDescent="0.3">
      <c r="A378" t="s">
        <v>168</v>
      </c>
      <c r="B378" t="s">
        <v>610</v>
      </c>
      <c r="C378" t="s">
        <v>399</v>
      </c>
      <c r="D378">
        <v>26708</v>
      </c>
      <c r="E378" s="1">
        <v>0.71616657281527363</v>
      </c>
    </row>
    <row r="379" spans="1:5" x14ac:dyDescent="0.3">
      <c r="A379" t="s">
        <v>168</v>
      </c>
      <c r="B379" t="s">
        <v>611</v>
      </c>
      <c r="C379" t="s">
        <v>399</v>
      </c>
      <c r="D379">
        <v>9791</v>
      </c>
      <c r="E379" s="1">
        <v>0.26254256831040679</v>
      </c>
    </row>
    <row r="380" spans="1:5" x14ac:dyDescent="0.3">
      <c r="A380" t="s">
        <v>168</v>
      </c>
      <c r="B380" t="s">
        <v>402</v>
      </c>
      <c r="D380">
        <v>794</v>
      </c>
      <c r="E380" s="1">
        <v>2.1290858874319578E-2</v>
      </c>
    </row>
    <row r="381" spans="1:5" x14ac:dyDescent="0.3">
      <c r="A381" t="s">
        <v>229</v>
      </c>
      <c r="B381" t="s">
        <v>612</v>
      </c>
      <c r="C381" t="s">
        <v>399</v>
      </c>
      <c r="D381">
        <v>18352</v>
      </c>
      <c r="E381" s="1">
        <v>0.7080520081793279</v>
      </c>
    </row>
    <row r="382" spans="1:5" x14ac:dyDescent="0.3">
      <c r="A382" t="s">
        <v>229</v>
      </c>
      <c r="B382" t="s">
        <v>613</v>
      </c>
      <c r="C382" t="s">
        <v>401</v>
      </c>
      <c r="D382">
        <v>3567</v>
      </c>
      <c r="E382" s="1">
        <v>0.13762105019483775</v>
      </c>
    </row>
    <row r="383" spans="1:5" x14ac:dyDescent="0.3">
      <c r="A383" t="s">
        <v>229</v>
      </c>
      <c r="B383" t="s">
        <v>614</v>
      </c>
      <c r="C383" t="s">
        <v>401</v>
      </c>
      <c r="D383">
        <v>3934</v>
      </c>
      <c r="E383" s="1">
        <v>0.15178054708900807</v>
      </c>
    </row>
    <row r="384" spans="1:5" x14ac:dyDescent="0.3">
      <c r="A384" t="s">
        <v>229</v>
      </c>
      <c r="B384" t="s">
        <v>402</v>
      </c>
      <c r="D384">
        <v>66</v>
      </c>
      <c r="E384" s="1">
        <v>2.5463945368262666E-3</v>
      </c>
    </row>
    <row r="385" spans="1:5" x14ac:dyDescent="0.3">
      <c r="A385" t="s">
        <v>230</v>
      </c>
      <c r="B385" t="s">
        <v>615</v>
      </c>
      <c r="C385" t="s">
        <v>399</v>
      </c>
      <c r="D385">
        <v>13795</v>
      </c>
      <c r="E385" s="1">
        <v>0.53299590448960665</v>
      </c>
    </row>
    <row r="386" spans="1:5" x14ac:dyDescent="0.3">
      <c r="A386" t="s">
        <v>230</v>
      </c>
      <c r="B386" t="s">
        <v>616</v>
      </c>
      <c r="C386" t="s">
        <v>401</v>
      </c>
      <c r="D386">
        <v>6317</v>
      </c>
      <c r="E386" s="1">
        <v>0.24406923730778146</v>
      </c>
    </row>
    <row r="387" spans="1:5" x14ac:dyDescent="0.3">
      <c r="A387" t="s">
        <v>230</v>
      </c>
      <c r="B387" t="s">
        <v>617</v>
      </c>
      <c r="C387" t="s">
        <v>399</v>
      </c>
      <c r="D387">
        <v>5717</v>
      </c>
      <c r="E387" s="1">
        <v>0.22088710300595008</v>
      </c>
    </row>
    <row r="388" spans="1:5" x14ac:dyDescent="0.3">
      <c r="A388" t="s">
        <v>230</v>
      </c>
      <c r="B388" t="s">
        <v>402</v>
      </c>
      <c r="D388">
        <v>53</v>
      </c>
      <c r="E388" s="1">
        <v>2.0477551966617729E-3</v>
      </c>
    </row>
    <row r="389" spans="1:5" x14ac:dyDescent="0.3">
      <c r="A389" t="s">
        <v>138</v>
      </c>
      <c r="B389" t="s">
        <v>618</v>
      </c>
      <c r="C389" t="s">
        <v>399</v>
      </c>
      <c r="D389">
        <v>34217</v>
      </c>
      <c r="E389" s="1">
        <v>0.97315207189784136</v>
      </c>
    </row>
    <row r="390" spans="1:5" x14ac:dyDescent="0.3">
      <c r="A390" t="s">
        <v>138</v>
      </c>
      <c r="B390" t="s">
        <v>402</v>
      </c>
      <c r="D390">
        <v>944</v>
      </c>
      <c r="E390" s="1">
        <v>2.6847928102158643E-2</v>
      </c>
    </row>
    <row r="391" spans="1:5" x14ac:dyDescent="0.3">
      <c r="A391" t="s">
        <v>140</v>
      </c>
      <c r="B391" t="s">
        <v>619</v>
      </c>
      <c r="C391" t="s">
        <v>399</v>
      </c>
      <c r="D391">
        <v>30680</v>
      </c>
      <c r="E391" s="1">
        <v>0.74518471739816861</v>
      </c>
    </row>
    <row r="392" spans="1:5" x14ac:dyDescent="0.3">
      <c r="A392" t="s">
        <v>140</v>
      </c>
      <c r="B392" t="s">
        <v>620</v>
      </c>
      <c r="C392" t="s">
        <v>399</v>
      </c>
      <c r="D392">
        <v>9999</v>
      </c>
      <c r="E392" s="1">
        <v>0.24286512350926623</v>
      </c>
    </row>
    <row r="393" spans="1:5" x14ac:dyDescent="0.3">
      <c r="A393" t="s">
        <v>140</v>
      </c>
      <c r="B393" t="s">
        <v>402</v>
      </c>
      <c r="D393">
        <v>492</v>
      </c>
      <c r="E393" s="1">
        <v>1.1950159092565155E-2</v>
      </c>
    </row>
    <row r="394" spans="1:5" x14ac:dyDescent="0.3">
      <c r="A394" t="s">
        <v>78</v>
      </c>
      <c r="B394" t="s">
        <v>621</v>
      </c>
      <c r="C394" t="s">
        <v>401</v>
      </c>
      <c r="D394">
        <v>26669</v>
      </c>
      <c r="E394" s="1">
        <v>0.53264494996904277</v>
      </c>
    </row>
    <row r="395" spans="1:5" x14ac:dyDescent="0.3">
      <c r="A395" t="s">
        <v>78</v>
      </c>
      <c r="B395" t="s">
        <v>622</v>
      </c>
      <c r="C395" t="s">
        <v>399</v>
      </c>
      <c r="D395">
        <v>9320</v>
      </c>
      <c r="E395" s="1">
        <v>0.18614312249096246</v>
      </c>
    </row>
    <row r="396" spans="1:5" x14ac:dyDescent="0.3">
      <c r="A396" t="s">
        <v>78</v>
      </c>
      <c r="B396" t="s">
        <v>623</v>
      </c>
      <c r="C396" t="s">
        <v>399</v>
      </c>
      <c r="D396">
        <v>14047</v>
      </c>
      <c r="E396" s="1">
        <v>0.28055283708482293</v>
      </c>
    </row>
    <row r="397" spans="1:5" x14ac:dyDescent="0.3">
      <c r="A397" t="s">
        <v>78</v>
      </c>
      <c r="B397" t="s">
        <v>402</v>
      </c>
      <c r="D397">
        <v>33</v>
      </c>
      <c r="E397" s="1">
        <v>6.5909045517186285E-4</v>
      </c>
    </row>
    <row r="398" spans="1:5" x14ac:dyDescent="0.3">
      <c r="A398" t="s">
        <v>80</v>
      </c>
      <c r="B398" t="s">
        <v>624</v>
      </c>
      <c r="C398" t="s">
        <v>401</v>
      </c>
      <c r="D398">
        <v>26651</v>
      </c>
      <c r="E398" s="1">
        <v>0.53227481525863796</v>
      </c>
    </row>
    <row r="399" spans="1:5" x14ac:dyDescent="0.3">
      <c r="A399" t="s">
        <v>80</v>
      </c>
      <c r="B399" t="s">
        <v>625</v>
      </c>
      <c r="C399" t="s">
        <v>399</v>
      </c>
      <c r="D399">
        <v>23368</v>
      </c>
      <c r="E399" s="1">
        <v>0.46670661074495706</v>
      </c>
    </row>
    <row r="400" spans="1:5" x14ac:dyDescent="0.3">
      <c r="A400" t="s">
        <v>80</v>
      </c>
      <c r="B400" t="s">
        <v>402</v>
      </c>
      <c r="D400">
        <v>51</v>
      </c>
      <c r="E400" s="1">
        <v>1.018573996405033E-3</v>
      </c>
    </row>
    <row r="401" spans="1:5" x14ac:dyDescent="0.3">
      <c r="A401" t="s">
        <v>90</v>
      </c>
      <c r="B401" t="s">
        <v>626</v>
      </c>
      <c r="C401" t="s">
        <v>399</v>
      </c>
      <c r="D401">
        <v>40696</v>
      </c>
      <c r="E401" s="1">
        <v>0.98199893827517981</v>
      </c>
    </row>
    <row r="402" spans="1:5" x14ac:dyDescent="0.3">
      <c r="A402" t="s">
        <v>90</v>
      </c>
      <c r="B402" t="s">
        <v>402</v>
      </c>
      <c r="D402">
        <v>746</v>
      </c>
      <c r="E402" s="1">
        <v>1.800106172482023E-2</v>
      </c>
    </row>
    <row r="403" spans="1:5" x14ac:dyDescent="0.3">
      <c r="A403" t="s">
        <v>92</v>
      </c>
      <c r="B403" t="s">
        <v>627</v>
      </c>
      <c r="C403" t="s">
        <v>399</v>
      </c>
      <c r="D403">
        <v>40870</v>
      </c>
      <c r="E403" s="1">
        <v>0.98134319398756209</v>
      </c>
    </row>
    <row r="404" spans="1:5" x14ac:dyDescent="0.3">
      <c r="A404" t="s">
        <v>92</v>
      </c>
      <c r="B404" t="s">
        <v>402</v>
      </c>
      <c r="D404">
        <v>777</v>
      </c>
      <c r="E404" s="1">
        <v>1.8656806012437872E-2</v>
      </c>
    </row>
    <row r="405" spans="1:5" x14ac:dyDescent="0.3">
      <c r="A405" t="s">
        <v>172</v>
      </c>
      <c r="B405" t="s">
        <v>34</v>
      </c>
      <c r="C405" t="s">
        <v>399</v>
      </c>
      <c r="D405">
        <v>18517</v>
      </c>
      <c r="E405" s="1">
        <v>0.47885903436861571</v>
      </c>
    </row>
    <row r="406" spans="1:5" x14ac:dyDescent="0.3">
      <c r="A406" t="s">
        <v>172</v>
      </c>
      <c r="B406" t="s">
        <v>35</v>
      </c>
      <c r="C406" t="s">
        <v>399</v>
      </c>
      <c r="D406">
        <v>19902</v>
      </c>
      <c r="E406" s="1">
        <v>0.5146758385269854</v>
      </c>
    </row>
    <row r="407" spans="1:5" x14ac:dyDescent="0.3">
      <c r="A407" t="s">
        <v>172</v>
      </c>
      <c r="B407" t="s">
        <v>402</v>
      </c>
      <c r="D407">
        <v>250</v>
      </c>
      <c r="E407" s="1">
        <v>6.4651271043988726E-3</v>
      </c>
    </row>
    <row r="408" spans="1:5" x14ac:dyDescent="0.3">
      <c r="A408" t="s">
        <v>173</v>
      </c>
      <c r="B408" t="s">
        <v>628</v>
      </c>
      <c r="C408" t="s">
        <v>399</v>
      </c>
      <c r="D408">
        <v>33678</v>
      </c>
      <c r="E408" s="1">
        <v>0.88305626933766845</v>
      </c>
    </row>
    <row r="409" spans="1:5" x14ac:dyDescent="0.3">
      <c r="A409" t="s">
        <v>173</v>
      </c>
      <c r="B409" t="s">
        <v>629</v>
      </c>
      <c r="C409" t="s">
        <v>400</v>
      </c>
      <c r="D409">
        <v>4143</v>
      </c>
      <c r="E409" s="1">
        <v>0.10863181079238554</v>
      </c>
    </row>
    <row r="410" spans="1:5" x14ac:dyDescent="0.3">
      <c r="A410" t="s">
        <v>173</v>
      </c>
      <c r="B410" t="s">
        <v>402</v>
      </c>
      <c r="D410">
        <v>317</v>
      </c>
      <c r="E410" s="1">
        <v>8.311919869945986E-3</v>
      </c>
    </row>
    <row r="411" spans="1:5" x14ac:dyDescent="0.3">
      <c r="A411" t="s">
        <v>221</v>
      </c>
      <c r="B411" t="s">
        <v>630</v>
      </c>
      <c r="C411" t="s">
        <v>399</v>
      </c>
      <c r="D411">
        <v>13707</v>
      </c>
      <c r="E411" s="1">
        <v>0.51097856477166825</v>
      </c>
    </row>
    <row r="412" spans="1:5" x14ac:dyDescent="0.3">
      <c r="A412" t="s">
        <v>221</v>
      </c>
      <c r="B412" t="s">
        <v>631</v>
      </c>
      <c r="C412" t="s">
        <v>403</v>
      </c>
      <c r="D412">
        <v>7627</v>
      </c>
      <c r="E412" s="1">
        <v>0.28432432432432431</v>
      </c>
    </row>
    <row r="413" spans="1:5" x14ac:dyDescent="0.3">
      <c r="A413" t="s">
        <v>221</v>
      </c>
      <c r="B413" t="s">
        <v>632</v>
      </c>
      <c r="C413" t="s">
        <v>399</v>
      </c>
      <c r="D413">
        <v>5176</v>
      </c>
      <c r="E413" s="1">
        <v>0.19295433364398881</v>
      </c>
    </row>
    <row r="414" spans="1:5" x14ac:dyDescent="0.3">
      <c r="A414" t="s">
        <v>221</v>
      </c>
      <c r="B414" t="s">
        <v>402</v>
      </c>
      <c r="D414">
        <v>315</v>
      </c>
      <c r="E414" s="1">
        <v>1.174277726001864E-2</v>
      </c>
    </row>
    <row r="415" spans="1:5" x14ac:dyDescent="0.3">
      <c r="A415" t="s">
        <v>222</v>
      </c>
      <c r="B415" t="s">
        <v>633</v>
      </c>
      <c r="C415" t="s">
        <v>399</v>
      </c>
      <c r="D415">
        <v>20443</v>
      </c>
      <c r="E415" s="1">
        <v>0.92556707565536289</v>
      </c>
    </row>
    <row r="416" spans="1:5" x14ac:dyDescent="0.3">
      <c r="A416" t="s">
        <v>222</v>
      </c>
      <c r="B416" t="s">
        <v>402</v>
      </c>
      <c r="D416">
        <v>1644</v>
      </c>
      <c r="E416" s="1">
        <v>7.4432924344637122E-2</v>
      </c>
    </row>
    <row r="417" spans="1:5" x14ac:dyDescent="0.3">
      <c r="A417" t="s">
        <v>189</v>
      </c>
      <c r="B417" t="s">
        <v>634</v>
      </c>
      <c r="C417" t="s">
        <v>401</v>
      </c>
      <c r="D417">
        <v>15836</v>
      </c>
      <c r="E417" s="1">
        <v>0.43128710714091184</v>
      </c>
    </row>
    <row r="418" spans="1:5" x14ac:dyDescent="0.3">
      <c r="A418" t="s">
        <v>189</v>
      </c>
      <c r="B418" t="s">
        <v>635</v>
      </c>
      <c r="C418" t="s">
        <v>399</v>
      </c>
      <c r="D418">
        <v>15940</v>
      </c>
      <c r="E418" s="1">
        <v>0.43411950541968519</v>
      </c>
    </row>
    <row r="419" spans="1:5" x14ac:dyDescent="0.3">
      <c r="A419" t="s">
        <v>189</v>
      </c>
      <c r="B419" t="s">
        <v>636</v>
      </c>
      <c r="C419" t="s">
        <v>401</v>
      </c>
      <c r="D419">
        <v>4912</v>
      </c>
      <c r="E419" s="1">
        <v>0.13377634947437225</v>
      </c>
    </row>
    <row r="420" spans="1:5" x14ac:dyDescent="0.3">
      <c r="A420" t="s">
        <v>189</v>
      </c>
      <c r="B420" t="s">
        <v>402</v>
      </c>
      <c r="D420">
        <v>30</v>
      </c>
      <c r="E420" s="1">
        <v>8.1703796503077508E-4</v>
      </c>
    </row>
    <row r="421" spans="1:5" x14ac:dyDescent="0.3">
      <c r="A421" t="s">
        <v>190</v>
      </c>
      <c r="B421" t="s">
        <v>637</v>
      </c>
      <c r="C421" t="s">
        <v>401</v>
      </c>
      <c r="D421">
        <v>9072</v>
      </c>
      <c r="E421" s="1">
        <v>0.24788239794524292</v>
      </c>
    </row>
    <row r="422" spans="1:5" x14ac:dyDescent="0.3">
      <c r="A422" t="s">
        <v>190</v>
      </c>
      <c r="B422" t="s">
        <v>638</v>
      </c>
      <c r="C422" t="s">
        <v>399</v>
      </c>
      <c r="D422">
        <v>16742</v>
      </c>
      <c r="E422" s="1">
        <v>0.45745669162249303</v>
      </c>
    </row>
    <row r="423" spans="1:5" x14ac:dyDescent="0.3">
      <c r="A423" t="s">
        <v>190</v>
      </c>
      <c r="B423" t="s">
        <v>639</v>
      </c>
      <c r="C423" t="s">
        <v>401</v>
      </c>
      <c r="D423">
        <v>937</v>
      </c>
      <c r="E423" s="1">
        <v>2.5602491939450245E-2</v>
      </c>
    </row>
    <row r="424" spans="1:5" x14ac:dyDescent="0.3">
      <c r="A424" t="s">
        <v>190</v>
      </c>
      <c r="B424" t="s">
        <v>640</v>
      </c>
      <c r="C424" t="s">
        <v>401</v>
      </c>
      <c r="D424">
        <v>9817</v>
      </c>
      <c r="E424" s="1">
        <v>0.26823870156839169</v>
      </c>
    </row>
    <row r="425" spans="1:5" x14ac:dyDescent="0.3">
      <c r="A425" t="s">
        <v>190</v>
      </c>
      <c r="B425" t="s">
        <v>402</v>
      </c>
      <c r="D425">
        <v>30</v>
      </c>
      <c r="E425" s="1">
        <v>8.1971692442209959E-4</v>
      </c>
    </row>
    <row r="426" spans="1:5" x14ac:dyDescent="0.3">
      <c r="A426" t="s">
        <v>106</v>
      </c>
      <c r="B426" t="s">
        <v>641</v>
      </c>
      <c r="C426" t="s">
        <v>399</v>
      </c>
      <c r="D426">
        <v>34514</v>
      </c>
      <c r="E426" s="1">
        <v>0.72601443025726242</v>
      </c>
    </row>
    <row r="427" spans="1:5" x14ac:dyDescent="0.3">
      <c r="A427" t="s">
        <v>106</v>
      </c>
      <c r="B427" t="s">
        <v>642</v>
      </c>
      <c r="C427" t="s">
        <v>401</v>
      </c>
      <c r="D427">
        <v>12966</v>
      </c>
      <c r="E427" s="1">
        <v>0.27274448347672436</v>
      </c>
    </row>
    <row r="428" spans="1:5" x14ac:dyDescent="0.3">
      <c r="A428" t="s">
        <v>106</v>
      </c>
      <c r="B428" t="s">
        <v>402</v>
      </c>
      <c r="D428">
        <v>59</v>
      </c>
      <c r="E428" s="1">
        <v>1.2410862660131681E-3</v>
      </c>
    </row>
    <row r="429" spans="1:5" x14ac:dyDescent="0.3">
      <c r="A429" t="s">
        <v>108</v>
      </c>
      <c r="B429" t="s">
        <v>643</v>
      </c>
      <c r="C429" t="s">
        <v>400</v>
      </c>
      <c r="D429">
        <v>4903</v>
      </c>
      <c r="E429" s="1">
        <v>0.10644580013460411</v>
      </c>
    </row>
    <row r="430" spans="1:5" x14ac:dyDescent="0.3">
      <c r="A430" t="s">
        <v>108</v>
      </c>
      <c r="B430" t="s">
        <v>644</v>
      </c>
      <c r="C430" t="s">
        <v>399</v>
      </c>
      <c r="D430">
        <v>31216</v>
      </c>
      <c r="E430" s="1">
        <v>0.67770999326979442</v>
      </c>
    </row>
    <row r="431" spans="1:5" x14ac:dyDescent="0.3">
      <c r="A431" t="s">
        <v>108</v>
      </c>
      <c r="B431" t="s">
        <v>645</v>
      </c>
      <c r="C431" t="s">
        <v>405</v>
      </c>
      <c r="D431">
        <v>5988</v>
      </c>
      <c r="E431" s="1">
        <v>0.13000151972384447</v>
      </c>
    </row>
    <row r="432" spans="1:5" x14ac:dyDescent="0.3">
      <c r="A432" t="s">
        <v>108</v>
      </c>
      <c r="B432" t="s">
        <v>646</v>
      </c>
      <c r="C432" t="s">
        <v>400</v>
      </c>
      <c r="D432">
        <v>3833</v>
      </c>
      <c r="E432" s="1">
        <v>8.3215735654892431E-2</v>
      </c>
    </row>
    <row r="433" spans="1:5" x14ac:dyDescent="0.3">
      <c r="A433" t="s">
        <v>108</v>
      </c>
      <c r="B433" t="s">
        <v>402</v>
      </c>
      <c r="D433">
        <v>121</v>
      </c>
      <c r="E433" s="1">
        <v>2.6269512168645925E-3</v>
      </c>
    </row>
    <row r="434" spans="1:5" x14ac:dyDescent="0.3">
      <c r="A434" t="s">
        <v>187</v>
      </c>
      <c r="B434" t="s">
        <v>647</v>
      </c>
      <c r="C434" t="s">
        <v>399</v>
      </c>
      <c r="D434">
        <v>26578</v>
      </c>
      <c r="E434" s="1">
        <v>0.72044672142256916</v>
      </c>
    </row>
    <row r="435" spans="1:5" x14ac:dyDescent="0.3">
      <c r="A435" t="s">
        <v>187</v>
      </c>
      <c r="B435" t="s">
        <v>648</v>
      </c>
      <c r="C435" t="s">
        <v>401</v>
      </c>
      <c r="D435">
        <v>9871</v>
      </c>
      <c r="E435" s="1">
        <v>0.26757203654007755</v>
      </c>
    </row>
    <row r="436" spans="1:5" x14ac:dyDescent="0.3">
      <c r="A436" t="s">
        <v>187</v>
      </c>
      <c r="B436" t="s">
        <v>649</v>
      </c>
      <c r="C436" t="s">
        <v>650</v>
      </c>
      <c r="D436">
        <v>385</v>
      </c>
      <c r="E436" s="1">
        <v>1.0436149738418584E-2</v>
      </c>
    </row>
    <row r="437" spans="1:5" x14ac:dyDescent="0.3">
      <c r="A437" t="s">
        <v>187</v>
      </c>
      <c r="B437" t="s">
        <v>402</v>
      </c>
      <c r="D437">
        <v>57</v>
      </c>
      <c r="E437" s="1">
        <v>1.5450922989346996E-3</v>
      </c>
    </row>
    <row r="438" spans="1:5" x14ac:dyDescent="0.3">
      <c r="A438" t="s">
        <v>188</v>
      </c>
      <c r="B438" t="s">
        <v>651</v>
      </c>
      <c r="C438" t="s">
        <v>400</v>
      </c>
      <c r="D438">
        <v>12106</v>
      </c>
      <c r="E438" s="1">
        <v>0.33404155514472561</v>
      </c>
    </row>
    <row r="439" spans="1:5" x14ac:dyDescent="0.3">
      <c r="A439" t="s">
        <v>188</v>
      </c>
      <c r="B439" t="s">
        <v>652</v>
      </c>
      <c r="C439" t="s">
        <v>399</v>
      </c>
      <c r="D439">
        <v>24035</v>
      </c>
      <c r="E439" s="1">
        <v>0.66319913909660333</v>
      </c>
    </row>
    <row r="440" spans="1:5" x14ac:dyDescent="0.3">
      <c r="A440" t="s">
        <v>188</v>
      </c>
      <c r="B440" t="s">
        <v>402</v>
      </c>
      <c r="D440">
        <v>100</v>
      </c>
      <c r="E440" s="1">
        <v>2.7593057586711182E-3</v>
      </c>
    </row>
    <row r="441" spans="1:5" x14ac:dyDescent="0.3">
      <c r="A441" t="s">
        <v>84</v>
      </c>
      <c r="B441" t="s">
        <v>653</v>
      </c>
      <c r="C441" t="s">
        <v>399</v>
      </c>
      <c r="D441">
        <v>27934</v>
      </c>
      <c r="E441" s="1">
        <v>0.56215411241472302</v>
      </c>
    </row>
    <row r="442" spans="1:5" x14ac:dyDescent="0.3">
      <c r="A442" t="s">
        <v>84</v>
      </c>
      <c r="B442" t="s">
        <v>654</v>
      </c>
      <c r="C442" t="s">
        <v>401</v>
      </c>
      <c r="D442">
        <v>21655</v>
      </c>
      <c r="E442" s="1">
        <v>0.43579320198828764</v>
      </c>
    </row>
    <row r="443" spans="1:5" x14ac:dyDescent="0.3">
      <c r="A443" t="s">
        <v>84</v>
      </c>
      <c r="B443" t="s">
        <v>402</v>
      </c>
      <c r="D443">
        <v>102</v>
      </c>
      <c r="E443" s="1">
        <v>2.0526855969893944E-3</v>
      </c>
    </row>
    <row r="444" spans="1:5" x14ac:dyDescent="0.3">
      <c r="A444" t="s">
        <v>86</v>
      </c>
      <c r="B444" t="s">
        <v>655</v>
      </c>
      <c r="C444" t="s">
        <v>399</v>
      </c>
      <c r="D444">
        <v>26802</v>
      </c>
      <c r="E444" s="1">
        <v>0.53848472063166775</v>
      </c>
    </row>
    <row r="445" spans="1:5" x14ac:dyDescent="0.3">
      <c r="A445" t="s">
        <v>86</v>
      </c>
      <c r="B445" t="s">
        <v>656</v>
      </c>
      <c r="C445" t="s">
        <v>401</v>
      </c>
      <c r="D445">
        <v>22911</v>
      </c>
      <c r="E445" s="1">
        <v>0.46030980652160808</v>
      </c>
    </row>
    <row r="446" spans="1:5" x14ac:dyDescent="0.3">
      <c r="A446" t="s">
        <v>86</v>
      </c>
      <c r="B446" t="s">
        <v>402</v>
      </c>
      <c r="D446">
        <v>60</v>
      </c>
      <c r="E446" s="1">
        <v>1.2054728467241276E-3</v>
      </c>
    </row>
    <row r="447" spans="1:5" x14ac:dyDescent="0.3">
      <c r="A447" t="s">
        <v>179</v>
      </c>
      <c r="B447" t="s">
        <v>657</v>
      </c>
      <c r="C447" t="s">
        <v>399</v>
      </c>
      <c r="D447">
        <v>32872</v>
      </c>
      <c r="E447" s="1">
        <v>0.91532314203770226</v>
      </c>
    </row>
    <row r="448" spans="1:5" x14ac:dyDescent="0.3">
      <c r="A448" t="s">
        <v>179</v>
      </c>
      <c r="B448" t="s">
        <v>658</v>
      </c>
      <c r="C448" t="s">
        <v>399</v>
      </c>
      <c r="D448">
        <v>2647</v>
      </c>
      <c r="E448" s="1">
        <v>7.3705900370339431E-2</v>
      </c>
    </row>
    <row r="449" spans="1:5" x14ac:dyDescent="0.3">
      <c r="A449" t="s">
        <v>179</v>
      </c>
      <c r="B449" t="s">
        <v>402</v>
      </c>
      <c r="D449">
        <v>394</v>
      </c>
      <c r="E449" s="1">
        <v>1.0970957591958343E-2</v>
      </c>
    </row>
    <row r="450" spans="1:5" x14ac:dyDescent="0.3">
      <c r="A450" t="s">
        <v>180</v>
      </c>
      <c r="B450" t="s">
        <v>659</v>
      </c>
      <c r="C450" t="s">
        <v>399</v>
      </c>
      <c r="D450">
        <v>29474</v>
      </c>
      <c r="E450" s="1">
        <v>0.96794745484400657</v>
      </c>
    </row>
    <row r="451" spans="1:5" x14ac:dyDescent="0.3">
      <c r="A451" t="s">
        <v>180</v>
      </c>
      <c r="B451" t="s">
        <v>402</v>
      </c>
      <c r="D451">
        <v>976</v>
      </c>
      <c r="E451" s="1">
        <v>3.2052545155993435E-2</v>
      </c>
    </row>
    <row r="452" spans="1:5" x14ac:dyDescent="0.3">
      <c r="A452" t="s">
        <v>192</v>
      </c>
      <c r="B452" t="s">
        <v>660</v>
      </c>
      <c r="C452" t="s">
        <v>401</v>
      </c>
      <c r="D452">
        <v>14485</v>
      </c>
      <c r="E452" s="1">
        <v>0.40258476931628684</v>
      </c>
    </row>
    <row r="453" spans="1:5" x14ac:dyDescent="0.3">
      <c r="A453" t="s">
        <v>192</v>
      </c>
      <c r="B453" t="s">
        <v>661</v>
      </c>
      <c r="C453" t="s">
        <v>399</v>
      </c>
      <c r="D453">
        <v>21460</v>
      </c>
      <c r="E453" s="1">
        <v>0.59644246803779877</v>
      </c>
    </row>
    <row r="454" spans="1:5" x14ac:dyDescent="0.3">
      <c r="A454" t="s">
        <v>192</v>
      </c>
      <c r="B454" t="s">
        <v>402</v>
      </c>
      <c r="D454">
        <v>35</v>
      </c>
      <c r="E454" s="1">
        <v>9.727626459143969E-4</v>
      </c>
    </row>
    <row r="455" spans="1:5" x14ac:dyDescent="0.3">
      <c r="A455" t="s">
        <v>193</v>
      </c>
      <c r="B455" t="s">
        <v>662</v>
      </c>
      <c r="C455" t="s">
        <v>401</v>
      </c>
      <c r="D455">
        <v>13863</v>
      </c>
      <c r="E455" s="1">
        <v>0.38500847057516596</v>
      </c>
    </row>
    <row r="456" spans="1:5" x14ac:dyDescent="0.3">
      <c r="A456" t="s">
        <v>193</v>
      </c>
      <c r="B456" t="s">
        <v>663</v>
      </c>
      <c r="C456" t="s">
        <v>399</v>
      </c>
      <c r="D456">
        <v>22107</v>
      </c>
      <c r="E456" s="1">
        <v>0.61396395145388394</v>
      </c>
    </row>
    <row r="457" spans="1:5" x14ac:dyDescent="0.3">
      <c r="A457" t="s">
        <v>193</v>
      </c>
      <c r="B457" t="s">
        <v>402</v>
      </c>
      <c r="D457">
        <v>37</v>
      </c>
      <c r="E457" s="1">
        <v>1.0275779709500931E-3</v>
      </c>
    </row>
    <row r="458" spans="1:5" x14ac:dyDescent="0.3">
      <c r="A458" t="s">
        <v>185</v>
      </c>
      <c r="B458" t="s">
        <v>664</v>
      </c>
      <c r="C458" t="s">
        <v>401</v>
      </c>
      <c r="D458">
        <v>9967</v>
      </c>
      <c r="E458" s="1">
        <v>0.26870298978243873</v>
      </c>
    </row>
    <row r="459" spans="1:5" x14ac:dyDescent="0.3">
      <c r="A459" t="s">
        <v>185</v>
      </c>
      <c r="B459" t="s">
        <v>665</v>
      </c>
      <c r="C459" t="s">
        <v>399</v>
      </c>
      <c r="D459">
        <v>27038</v>
      </c>
      <c r="E459" s="1">
        <v>0.72892459493705009</v>
      </c>
    </row>
    <row r="460" spans="1:5" x14ac:dyDescent="0.3">
      <c r="A460" t="s">
        <v>185</v>
      </c>
      <c r="B460" t="s">
        <v>402</v>
      </c>
      <c r="D460">
        <v>88</v>
      </c>
      <c r="E460" s="1">
        <v>2.3724152805111478E-3</v>
      </c>
    </row>
    <row r="461" spans="1:5" x14ac:dyDescent="0.3">
      <c r="A461" t="s">
        <v>186</v>
      </c>
      <c r="B461" t="s">
        <v>666</v>
      </c>
      <c r="C461" t="s">
        <v>399</v>
      </c>
      <c r="D461">
        <v>22890</v>
      </c>
      <c r="E461" s="1">
        <v>0.62715765247410815</v>
      </c>
    </row>
    <row r="462" spans="1:5" x14ac:dyDescent="0.3">
      <c r="A462" t="s">
        <v>186</v>
      </c>
      <c r="B462" t="s">
        <v>667</v>
      </c>
      <c r="C462" t="s">
        <v>401</v>
      </c>
      <c r="D462">
        <v>7630</v>
      </c>
      <c r="E462" s="1">
        <v>0.20905255082470273</v>
      </c>
    </row>
    <row r="463" spans="1:5" x14ac:dyDescent="0.3">
      <c r="A463" t="s">
        <v>186</v>
      </c>
      <c r="B463" t="s">
        <v>668</v>
      </c>
      <c r="C463" t="s">
        <v>399</v>
      </c>
      <c r="D463">
        <v>5873</v>
      </c>
      <c r="E463" s="1">
        <v>0.16091292673571156</v>
      </c>
    </row>
    <row r="464" spans="1:5" x14ac:dyDescent="0.3">
      <c r="A464" t="s">
        <v>186</v>
      </c>
      <c r="B464" t="s">
        <v>402</v>
      </c>
      <c r="D464">
        <v>105</v>
      </c>
      <c r="E464" s="1">
        <v>2.8768699654775605E-3</v>
      </c>
    </row>
    <row r="465" spans="1:5" x14ac:dyDescent="0.3">
      <c r="A465" t="s">
        <v>120</v>
      </c>
      <c r="B465" t="s">
        <v>391</v>
      </c>
      <c r="C465" t="s">
        <v>399</v>
      </c>
      <c r="D465">
        <v>22807</v>
      </c>
      <c r="E465" s="1">
        <v>0.51593711118651742</v>
      </c>
    </row>
    <row r="466" spans="1:5" x14ac:dyDescent="0.3">
      <c r="A466" t="s">
        <v>120</v>
      </c>
      <c r="B466" t="s">
        <v>393</v>
      </c>
      <c r="C466" t="s">
        <v>399</v>
      </c>
      <c r="D466">
        <v>7441</v>
      </c>
      <c r="E466" s="1">
        <v>0.16832937450514648</v>
      </c>
    </row>
    <row r="467" spans="1:5" x14ac:dyDescent="0.3">
      <c r="A467" t="s">
        <v>120</v>
      </c>
      <c r="B467" t="s">
        <v>392</v>
      </c>
      <c r="C467" t="s">
        <v>399</v>
      </c>
      <c r="D467">
        <v>13592</v>
      </c>
      <c r="E467" s="1">
        <v>0.30747652980432078</v>
      </c>
    </row>
    <row r="468" spans="1:5" x14ac:dyDescent="0.3">
      <c r="A468" t="s">
        <v>120</v>
      </c>
      <c r="B468" t="s">
        <v>402</v>
      </c>
      <c r="D468">
        <v>365</v>
      </c>
      <c r="E468" s="1">
        <v>8.2569845040153834E-3</v>
      </c>
    </row>
    <row r="469" spans="1:5" x14ac:dyDescent="0.3">
      <c r="A469" t="s">
        <v>122</v>
      </c>
      <c r="B469" t="s">
        <v>669</v>
      </c>
      <c r="C469" t="s">
        <v>399</v>
      </c>
      <c r="D469">
        <v>39373</v>
      </c>
      <c r="E469" s="1">
        <v>0.89406875879921888</v>
      </c>
    </row>
    <row r="470" spans="1:5" x14ac:dyDescent="0.3">
      <c r="A470" t="s">
        <v>122</v>
      </c>
      <c r="B470" t="s">
        <v>670</v>
      </c>
      <c r="C470" t="s">
        <v>400</v>
      </c>
      <c r="D470">
        <v>4386</v>
      </c>
      <c r="E470" s="1">
        <v>9.959580362414279E-2</v>
      </c>
    </row>
    <row r="471" spans="1:5" x14ac:dyDescent="0.3">
      <c r="A471" t="s">
        <v>122</v>
      </c>
      <c r="B471" t="s">
        <v>402</v>
      </c>
      <c r="D471">
        <v>279</v>
      </c>
      <c r="E471" s="1">
        <v>6.3354375766383579E-3</v>
      </c>
    </row>
    <row r="472" spans="1:5" x14ac:dyDescent="0.3">
      <c r="A472" t="s">
        <v>216</v>
      </c>
      <c r="B472" t="s">
        <v>397</v>
      </c>
      <c r="C472" t="s">
        <v>399</v>
      </c>
      <c r="D472">
        <v>5647</v>
      </c>
      <c r="E472" s="1">
        <v>0.20176504216092611</v>
      </c>
    </row>
    <row r="473" spans="1:5" x14ac:dyDescent="0.3">
      <c r="A473" t="s">
        <v>216</v>
      </c>
      <c r="B473" t="s">
        <v>671</v>
      </c>
      <c r="C473" t="s">
        <v>457</v>
      </c>
      <c r="D473">
        <v>8361</v>
      </c>
      <c r="E473" s="1">
        <v>0.29873517221666429</v>
      </c>
    </row>
    <row r="474" spans="1:5" x14ac:dyDescent="0.3">
      <c r="A474" t="s">
        <v>216</v>
      </c>
      <c r="B474" t="s">
        <v>398</v>
      </c>
      <c r="C474" t="s">
        <v>672</v>
      </c>
      <c r="D474">
        <v>3047</v>
      </c>
      <c r="E474" s="1">
        <v>0.10886808632270974</v>
      </c>
    </row>
    <row r="475" spans="1:5" x14ac:dyDescent="0.3">
      <c r="A475" t="s">
        <v>216</v>
      </c>
      <c r="B475" t="s">
        <v>395</v>
      </c>
      <c r="C475" t="s">
        <v>399</v>
      </c>
      <c r="D475">
        <v>10619</v>
      </c>
      <c r="E475" s="1">
        <v>0.37941260540231525</v>
      </c>
    </row>
    <row r="476" spans="1:5" x14ac:dyDescent="0.3">
      <c r="A476" t="s">
        <v>216</v>
      </c>
      <c r="B476" t="s">
        <v>402</v>
      </c>
      <c r="D476">
        <v>314</v>
      </c>
      <c r="E476" s="1">
        <v>1.1219093897384593E-2</v>
      </c>
    </row>
    <row r="477" spans="1:5" x14ac:dyDescent="0.3">
      <c r="A477" t="s">
        <v>217</v>
      </c>
      <c r="B477" t="s">
        <v>673</v>
      </c>
      <c r="C477" t="s">
        <v>399</v>
      </c>
      <c r="D477">
        <v>17457</v>
      </c>
      <c r="E477" s="1">
        <v>0.60146775082690185</v>
      </c>
    </row>
    <row r="478" spans="1:5" x14ac:dyDescent="0.3">
      <c r="A478" t="s">
        <v>217</v>
      </c>
      <c r="B478" t="s">
        <v>674</v>
      </c>
      <c r="C478" t="s">
        <v>401</v>
      </c>
      <c r="D478">
        <v>11521</v>
      </c>
      <c r="E478" s="1">
        <v>0.39694735391400221</v>
      </c>
    </row>
    <row r="479" spans="1:5" x14ac:dyDescent="0.3">
      <c r="A479" t="s">
        <v>217</v>
      </c>
      <c r="B479" t="s">
        <v>402</v>
      </c>
      <c r="D479">
        <v>46</v>
      </c>
      <c r="E479" s="1">
        <v>1.5848952590959205E-3</v>
      </c>
    </row>
    <row r="480" spans="1:5" x14ac:dyDescent="0.3">
      <c r="A480" t="s">
        <v>224</v>
      </c>
      <c r="B480" t="s">
        <v>675</v>
      </c>
      <c r="C480" t="s">
        <v>399</v>
      </c>
      <c r="D480">
        <v>18388</v>
      </c>
      <c r="E480" s="1">
        <v>0.70595462049372293</v>
      </c>
    </row>
    <row r="481" spans="1:5" x14ac:dyDescent="0.3">
      <c r="A481" t="s">
        <v>224</v>
      </c>
      <c r="B481" t="s">
        <v>676</v>
      </c>
      <c r="C481" t="s">
        <v>401</v>
      </c>
      <c r="D481">
        <v>7599</v>
      </c>
      <c r="E481" s="1">
        <v>0.29174185126886015</v>
      </c>
    </row>
    <row r="482" spans="1:5" x14ac:dyDescent="0.3">
      <c r="A482" t="s">
        <v>224</v>
      </c>
      <c r="B482" t="s">
        <v>402</v>
      </c>
      <c r="D482">
        <v>60</v>
      </c>
      <c r="E482" s="1">
        <v>2.3035282374169771E-3</v>
      </c>
    </row>
    <row r="483" spans="1:5" x14ac:dyDescent="0.3">
      <c r="A483" t="s">
        <v>225</v>
      </c>
      <c r="B483" t="s">
        <v>677</v>
      </c>
      <c r="C483" t="s">
        <v>399</v>
      </c>
      <c r="D483">
        <v>11708</v>
      </c>
      <c r="E483" s="1">
        <v>0.4895467469476501</v>
      </c>
    </row>
    <row r="484" spans="1:5" x14ac:dyDescent="0.3">
      <c r="A484" t="s">
        <v>225</v>
      </c>
      <c r="B484" t="s">
        <v>678</v>
      </c>
      <c r="C484" t="s">
        <v>399</v>
      </c>
      <c r="D484">
        <v>11691</v>
      </c>
      <c r="E484" s="1">
        <v>0.48883592574009033</v>
      </c>
    </row>
    <row r="485" spans="1:5" x14ac:dyDescent="0.3">
      <c r="A485" t="s">
        <v>225</v>
      </c>
      <c r="B485" t="s">
        <v>402</v>
      </c>
      <c r="D485">
        <v>517</v>
      </c>
      <c r="E485" s="1">
        <v>2.1617327312259575E-2</v>
      </c>
    </row>
    <row r="486" spans="1:5" x14ac:dyDescent="0.3">
      <c r="A486" t="s">
        <v>202</v>
      </c>
      <c r="B486" t="s">
        <v>679</v>
      </c>
      <c r="C486" t="s">
        <v>399</v>
      </c>
      <c r="D486">
        <v>17809</v>
      </c>
      <c r="E486" s="1">
        <v>0.52532373676292732</v>
      </c>
    </row>
    <row r="487" spans="1:5" x14ac:dyDescent="0.3">
      <c r="A487" t="s">
        <v>202</v>
      </c>
      <c r="B487" t="s">
        <v>680</v>
      </c>
      <c r="C487" t="s">
        <v>401</v>
      </c>
      <c r="D487">
        <v>9652</v>
      </c>
      <c r="E487" s="1">
        <v>0.28471136544644698</v>
      </c>
    </row>
    <row r="488" spans="1:5" x14ac:dyDescent="0.3">
      <c r="A488" t="s">
        <v>202</v>
      </c>
      <c r="B488" t="s">
        <v>681</v>
      </c>
      <c r="C488" t="s">
        <v>399</v>
      </c>
      <c r="D488">
        <v>6387</v>
      </c>
      <c r="E488" s="1">
        <v>0.18840152207899472</v>
      </c>
    </row>
    <row r="489" spans="1:5" x14ac:dyDescent="0.3">
      <c r="A489" t="s">
        <v>202</v>
      </c>
      <c r="B489" t="s">
        <v>402</v>
      </c>
      <c r="D489">
        <v>53</v>
      </c>
      <c r="E489" s="1">
        <v>1.5633757116309253E-3</v>
      </c>
    </row>
    <row r="490" spans="1:5" x14ac:dyDescent="0.3">
      <c r="A490" t="s">
        <v>203</v>
      </c>
      <c r="B490" t="s">
        <v>682</v>
      </c>
      <c r="C490" t="s">
        <v>399</v>
      </c>
      <c r="D490">
        <v>24398</v>
      </c>
      <c r="E490" s="1">
        <v>0.72613095238095238</v>
      </c>
    </row>
    <row r="491" spans="1:5" x14ac:dyDescent="0.3">
      <c r="A491" t="s">
        <v>203</v>
      </c>
      <c r="B491" t="s">
        <v>683</v>
      </c>
      <c r="C491" t="s">
        <v>401</v>
      </c>
      <c r="D491">
        <v>9095</v>
      </c>
      <c r="E491" s="1">
        <v>0.27068452380952379</v>
      </c>
    </row>
    <row r="492" spans="1:5" x14ac:dyDescent="0.3">
      <c r="A492" t="s">
        <v>203</v>
      </c>
      <c r="B492" t="s">
        <v>402</v>
      </c>
      <c r="D492">
        <v>107</v>
      </c>
      <c r="E492" s="1">
        <v>3.1845238095238094E-3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FC566-5AA5-433D-8723-1C4E16A9C73A}">
  <dimension ref="A1:H133"/>
  <sheetViews>
    <sheetView workbookViewId="0">
      <selection activeCell="B20" sqref="B20"/>
    </sheetView>
  </sheetViews>
  <sheetFormatPr defaultRowHeight="14.4" x14ac:dyDescent="0.3"/>
  <cols>
    <col min="1" max="1" width="45.109375" customWidth="1"/>
    <col min="2" max="2" width="18.77734375" customWidth="1"/>
    <col min="7" max="7" width="19" customWidth="1"/>
    <col min="8" max="8" width="14.5546875" customWidth="1"/>
  </cols>
  <sheetData>
    <row r="1" spans="1:8" x14ac:dyDescent="0.3">
      <c r="A1" t="s">
        <v>47</v>
      </c>
      <c r="B1" t="s">
        <v>48</v>
      </c>
    </row>
    <row r="2" spans="1:8" x14ac:dyDescent="0.3">
      <c r="A2" t="s">
        <v>49</v>
      </c>
      <c r="B2">
        <v>220529</v>
      </c>
      <c r="G2" t="s">
        <v>50</v>
      </c>
    </row>
    <row r="3" spans="1:8" x14ac:dyDescent="0.3">
      <c r="A3" t="s">
        <v>51</v>
      </c>
      <c r="B3">
        <v>215930</v>
      </c>
      <c r="G3" t="s">
        <v>52</v>
      </c>
      <c r="H3" t="s">
        <v>53</v>
      </c>
    </row>
    <row r="4" spans="1:8" x14ac:dyDescent="0.3">
      <c r="A4" t="s">
        <v>54</v>
      </c>
      <c r="B4">
        <v>212516</v>
      </c>
      <c r="F4" t="s">
        <v>55</v>
      </c>
      <c r="G4">
        <f>StatewideResults_Aug13!I2</f>
        <v>162698</v>
      </c>
      <c r="H4" s="11">
        <f>AVERAGE(G4:G13)</f>
        <v>185384.8</v>
      </c>
    </row>
    <row r="5" spans="1:8" x14ac:dyDescent="0.3">
      <c r="A5" t="s">
        <v>56</v>
      </c>
      <c r="B5">
        <v>212089</v>
      </c>
      <c r="F5" t="s">
        <v>57</v>
      </c>
      <c r="G5">
        <f>StatewideResults_Aug13!I3</f>
        <v>212089</v>
      </c>
    </row>
    <row r="6" spans="1:8" x14ac:dyDescent="0.3">
      <c r="A6" t="s">
        <v>58</v>
      </c>
      <c r="B6">
        <v>193951</v>
      </c>
      <c r="F6" t="s">
        <v>59</v>
      </c>
      <c r="G6">
        <f>StatewideResults_Aug13!I4</f>
        <v>215930</v>
      </c>
    </row>
    <row r="7" spans="1:8" x14ac:dyDescent="0.3">
      <c r="A7" t="s">
        <v>60</v>
      </c>
      <c r="B7">
        <v>189719</v>
      </c>
      <c r="F7" t="s">
        <v>61</v>
      </c>
      <c r="G7">
        <f>StatewideResults_Aug13!I5</f>
        <v>145177</v>
      </c>
    </row>
    <row r="8" spans="1:8" x14ac:dyDescent="0.3">
      <c r="A8" t="s">
        <v>62</v>
      </c>
      <c r="B8">
        <v>162698</v>
      </c>
      <c r="F8" t="s">
        <v>63</v>
      </c>
      <c r="G8">
        <f>StatewideResults_Aug13!I6</f>
        <v>189719</v>
      </c>
    </row>
    <row r="9" spans="1:8" x14ac:dyDescent="0.3">
      <c r="A9" t="s">
        <v>64</v>
      </c>
      <c r="B9">
        <v>157691</v>
      </c>
      <c r="F9" t="s">
        <v>65</v>
      </c>
      <c r="G9">
        <f>StatewideResults_Aug13!I7</f>
        <v>212516</v>
      </c>
    </row>
    <row r="10" spans="1:8" x14ac:dyDescent="0.3">
      <c r="A10" t="s">
        <v>66</v>
      </c>
      <c r="B10">
        <v>145177</v>
      </c>
      <c r="F10" t="s">
        <v>67</v>
      </c>
      <c r="G10">
        <f>StatewideResults_Aug13!I8</f>
        <v>220529</v>
      </c>
    </row>
    <row r="11" spans="1:8" x14ac:dyDescent="0.3">
      <c r="A11" t="s">
        <v>68</v>
      </c>
      <c r="B11">
        <v>143548</v>
      </c>
      <c r="F11" t="s">
        <v>69</v>
      </c>
      <c r="G11">
        <f>StatewideResults_Aug13!I9</f>
        <v>193951</v>
      </c>
    </row>
    <row r="12" spans="1:8" x14ac:dyDescent="0.3">
      <c r="A12" t="s">
        <v>70</v>
      </c>
      <c r="B12">
        <v>51269</v>
      </c>
      <c r="F12" t="s">
        <v>71</v>
      </c>
      <c r="G12">
        <f>StatewideResults_Aug13!I10</f>
        <v>143548</v>
      </c>
    </row>
    <row r="13" spans="1:8" x14ac:dyDescent="0.3">
      <c r="A13" t="s">
        <v>72</v>
      </c>
      <c r="B13">
        <v>51269</v>
      </c>
      <c r="F13" t="s">
        <v>73</v>
      </c>
      <c r="G13">
        <f>StatewideResults_Aug13!I11</f>
        <v>157691</v>
      </c>
    </row>
    <row r="14" spans="1:8" x14ac:dyDescent="0.3">
      <c r="A14" t="s">
        <v>74</v>
      </c>
      <c r="B14">
        <v>51269</v>
      </c>
      <c r="F14" t="s">
        <v>75</v>
      </c>
      <c r="G14">
        <f>StatewideResults_Aug13!I36</f>
        <v>40105</v>
      </c>
      <c r="H14" s="11">
        <f>AVERAGE(G14:G62)</f>
        <v>37833.632653061228</v>
      </c>
    </row>
    <row r="15" spans="1:8" x14ac:dyDescent="0.3">
      <c r="A15" t="s">
        <v>76</v>
      </c>
      <c r="B15">
        <v>50910</v>
      </c>
      <c r="F15" t="s">
        <v>77</v>
      </c>
      <c r="G15">
        <f>StatewideResults_Aug13!I38</f>
        <v>32256</v>
      </c>
    </row>
    <row r="16" spans="1:8" x14ac:dyDescent="0.3">
      <c r="A16" t="s">
        <v>78</v>
      </c>
      <c r="B16">
        <v>50910</v>
      </c>
      <c r="F16" t="s">
        <v>79</v>
      </c>
      <c r="G16">
        <f>StatewideResults_Aug13!I40</f>
        <v>42906</v>
      </c>
    </row>
    <row r="17" spans="1:7" x14ac:dyDescent="0.3">
      <c r="A17" t="s">
        <v>80</v>
      </c>
      <c r="B17">
        <v>50910</v>
      </c>
      <c r="F17" t="s">
        <v>81</v>
      </c>
      <c r="G17">
        <f>StatewideResults_Aug13!I42</f>
        <v>42929</v>
      </c>
    </row>
    <row r="18" spans="1:7" x14ac:dyDescent="0.3">
      <c r="A18" t="s">
        <v>82</v>
      </c>
      <c r="B18">
        <v>50320</v>
      </c>
      <c r="F18" t="s">
        <v>83</v>
      </c>
      <c r="G18">
        <f>StatewideResults_Aug13!I44</f>
        <v>41818</v>
      </c>
    </row>
    <row r="19" spans="1:7" x14ac:dyDescent="0.3">
      <c r="A19" t="s">
        <v>84</v>
      </c>
      <c r="B19">
        <v>50320</v>
      </c>
      <c r="F19" t="s">
        <v>85</v>
      </c>
      <c r="G19">
        <f>StatewideResults_Aug13!I46</f>
        <v>37834</v>
      </c>
    </row>
    <row r="20" spans="1:7" x14ac:dyDescent="0.3">
      <c r="A20" t="s">
        <v>86</v>
      </c>
      <c r="B20">
        <v>50320</v>
      </c>
      <c r="F20" t="s">
        <v>87</v>
      </c>
      <c r="G20">
        <f>StatewideResults_Aug13!I48</f>
        <v>43719</v>
      </c>
    </row>
    <row r="21" spans="1:7" x14ac:dyDescent="0.3">
      <c r="A21" t="s">
        <v>88</v>
      </c>
      <c r="B21">
        <v>49797</v>
      </c>
      <c r="F21" t="s">
        <v>89</v>
      </c>
      <c r="G21">
        <f>StatewideResults_Aug13!I50</f>
        <v>34538</v>
      </c>
    </row>
    <row r="22" spans="1:7" x14ac:dyDescent="0.3">
      <c r="A22" t="s">
        <v>90</v>
      </c>
      <c r="B22">
        <v>49797</v>
      </c>
      <c r="F22" t="s">
        <v>91</v>
      </c>
      <c r="G22">
        <f>StatewideResults_Aug13!I52</f>
        <v>42925</v>
      </c>
    </row>
    <row r="23" spans="1:7" x14ac:dyDescent="0.3">
      <c r="A23" t="s">
        <v>92</v>
      </c>
      <c r="B23">
        <v>49797</v>
      </c>
      <c r="F23" t="s">
        <v>93</v>
      </c>
      <c r="G23">
        <f>StatewideResults_Aug13!I54</f>
        <v>49005</v>
      </c>
    </row>
    <row r="24" spans="1:7" x14ac:dyDescent="0.3">
      <c r="A24" t="s">
        <v>94</v>
      </c>
      <c r="B24">
        <v>49005</v>
      </c>
      <c r="F24" t="s">
        <v>95</v>
      </c>
      <c r="G24">
        <f>StatewideResults_Aug13!I56</f>
        <v>26427</v>
      </c>
    </row>
    <row r="25" spans="1:7" x14ac:dyDescent="0.3">
      <c r="A25" t="s">
        <v>96</v>
      </c>
      <c r="B25">
        <v>49005</v>
      </c>
      <c r="F25" t="s">
        <v>97</v>
      </c>
      <c r="G25">
        <f>StatewideResults_Aug13!I58</f>
        <v>45047</v>
      </c>
    </row>
    <row r="26" spans="1:7" x14ac:dyDescent="0.3">
      <c r="A26" t="s">
        <v>98</v>
      </c>
      <c r="B26">
        <v>48776</v>
      </c>
      <c r="F26" t="s">
        <v>99</v>
      </c>
      <c r="G26">
        <f>StatewideResults_Aug13!I60</f>
        <v>31808</v>
      </c>
    </row>
    <row r="27" spans="1:7" x14ac:dyDescent="0.3">
      <c r="A27" t="s">
        <v>100</v>
      </c>
      <c r="B27">
        <v>48776</v>
      </c>
      <c r="F27" t="s">
        <v>101</v>
      </c>
      <c r="G27">
        <f>StatewideResults_Aug13!I62</f>
        <v>13571</v>
      </c>
    </row>
    <row r="28" spans="1:7" x14ac:dyDescent="0.3">
      <c r="A28" t="s">
        <v>102</v>
      </c>
      <c r="B28">
        <v>48430</v>
      </c>
      <c r="F28" t="s">
        <v>103</v>
      </c>
      <c r="G28">
        <f>StatewideResults_Aug13!I64</f>
        <v>32294</v>
      </c>
    </row>
    <row r="29" spans="1:7" x14ac:dyDescent="0.3">
      <c r="A29" t="s">
        <v>104</v>
      </c>
      <c r="B29">
        <v>48430</v>
      </c>
      <c r="F29" t="s">
        <v>105</v>
      </c>
      <c r="G29">
        <f>StatewideResults_Aug13!I66</f>
        <v>19785</v>
      </c>
    </row>
    <row r="30" spans="1:7" x14ac:dyDescent="0.3">
      <c r="A30" t="s">
        <v>106</v>
      </c>
      <c r="B30">
        <v>48106</v>
      </c>
      <c r="F30" t="s">
        <v>107</v>
      </c>
      <c r="G30">
        <f>StatewideResults_Aug13!I68</f>
        <v>47902</v>
      </c>
    </row>
    <row r="31" spans="1:7" x14ac:dyDescent="0.3">
      <c r="A31" t="s">
        <v>108</v>
      </c>
      <c r="B31">
        <v>48106</v>
      </c>
      <c r="F31" t="s">
        <v>109</v>
      </c>
      <c r="G31">
        <f>StatewideResults_Aug13!I70</f>
        <v>44491</v>
      </c>
    </row>
    <row r="32" spans="1:7" x14ac:dyDescent="0.3">
      <c r="A32" t="s">
        <v>110</v>
      </c>
      <c r="B32">
        <v>47902</v>
      </c>
      <c r="F32" t="s">
        <v>111</v>
      </c>
      <c r="G32">
        <f>StatewideResults_Aug13!I72</f>
        <v>44163</v>
      </c>
    </row>
    <row r="33" spans="1:7" x14ac:dyDescent="0.3">
      <c r="A33" t="s">
        <v>112</v>
      </c>
      <c r="B33">
        <v>47902</v>
      </c>
      <c r="F33" t="s">
        <v>113</v>
      </c>
      <c r="G33">
        <f>StatewideResults_Aug13!I74</f>
        <v>48776</v>
      </c>
    </row>
    <row r="34" spans="1:7" x14ac:dyDescent="0.3">
      <c r="A34" t="s">
        <v>114</v>
      </c>
      <c r="B34">
        <v>47074</v>
      </c>
      <c r="F34" t="s">
        <v>115</v>
      </c>
      <c r="G34">
        <f>StatewideResults_Aug13!I76</f>
        <v>33148</v>
      </c>
    </row>
    <row r="35" spans="1:7" x14ac:dyDescent="0.3">
      <c r="A35" t="s">
        <v>116</v>
      </c>
      <c r="B35">
        <v>47074</v>
      </c>
      <c r="F35" t="s">
        <v>117</v>
      </c>
      <c r="G35">
        <f>StatewideResults_Aug13!I78</f>
        <v>47074</v>
      </c>
    </row>
    <row r="36" spans="1:7" x14ac:dyDescent="0.3">
      <c r="A36" t="s">
        <v>118</v>
      </c>
      <c r="B36">
        <v>46587</v>
      </c>
      <c r="F36" t="s">
        <v>119</v>
      </c>
      <c r="G36">
        <f>StatewideResults_Aug13!I80</f>
        <v>48430</v>
      </c>
    </row>
    <row r="37" spans="1:7" x14ac:dyDescent="0.3">
      <c r="A37" t="s">
        <v>120</v>
      </c>
      <c r="B37">
        <v>46587</v>
      </c>
      <c r="F37" t="s">
        <v>121</v>
      </c>
      <c r="G37">
        <f>StatewideResults_Aug13!I82</f>
        <v>39189</v>
      </c>
    </row>
    <row r="38" spans="1:7" x14ac:dyDescent="0.3">
      <c r="A38" t="s">
        <v>122</v>
      </c>
      <c r="B38">
        <v>46587</v>
      </c>
      <c r="F38" t="s">
        <v>123</v>
      </c>
      <c r="G38">
        <f>StatewideResults_Aug13!I84</f>
        <v>29103</v>
      </c>
    </row>
    <row r="39" spans="1:7" x14ac:dyDescent="0.3">
      <c r="A39" t="s">
        <v>124</v>
      </c>
      <c r="B39">
        <v>45047</v>
      </c>
      <c r="F39" t="s">
        <v>125</v>
      </c>
      <c r="G39">
        <f>StatewideResults_Aug13!I86</f>
        <v>51269</v>
      </c>
    </row>
    <row r="40" spans="1:7" x14ac:dyDescent="0.3">
      <c r="A40" t="s">
        <v>126</v>
      </c>
      <c r="B40">
        <v>45047</v>
      </c>
      <c r="F40" t="s">
        <v>127</v>
      </c>
      <c r="G40">
        <f>StatewideResults_Aug13!I88</f>
        <v>34620</v>
      </c>
    </row>
    <row r="41" spans="1:7" x14ac:dyDescent="0.3">
      <c r="A41" t="s">
        <v>128</v>
      </c>
      <c r="B41">
        <v>44491</v>
      </c>
      <c r="F41" t="s">
        <v>129</v>
      </c>
      <c r="G41">
        <f>StatewideResults_Aug13!I90</f>
        <v>25539</v>
      </c>
    </row>
    <row r="42" spans="1:7" x14ac:dyDescent="0.3">
      <c r="A42" t="s">
        <v>130</v>
      </c>
      <c r="B42">
        <v>44491</v>
      </c>
      <c r="F42" t="s">
        <v>131</v>
      </c>
      <c r="G42">
        <f>StatewideResults_Aug13!I92</f>
        <v>19275</v>
      </c>
    </row>
    <row r="43" spans="1:7" x14ac:dyDescent="0.3">
      <c r="A43" t="s">
        <v>132</v>
      </c>
      <c r="B43">
        <v>44163</v>
      </c>
      <c r="F43" t="s">
        <v>133</v>
      </c>
      <c r="G43">
        <f>StatewideResults_Aug13!I94</f>
        <v>23683</v>
      </c>
    </row>
    <row r="44" spans="1:7" x14ac:dyDescent="0.3">
      <c r="A44" t="s">
        <v>134</v>
      </c>
      <c r="B44">
        <v>44163</v>
      </c>
      <c r="F44" t="s">
        <v>135</v>
      </c>
      <c r="G44">
        <f>StatewideResults_Aug13!I96</f>
        <v>34482</v>
      </c>
    </row>
    <row r="45" spans="1:7" x14ac:dyDescent="0.3">
      <c r="A45" t="s">
        <v>136</v>
      </c>
      <c r="B45">
        <v>44084</v>
      </c>
      <c r="F45" t="s">
        <v>137</v>
      </c>
      <c r="G45">
        <f>StatewideResults_Aug13!I98</f>
        <v>41147</v>
      </c>
    </row>
    <row r="46" spans="1:7" x14ac:dyDescent="0.3">
      <c r="A46" t="s">
        <v>138</v>
      </c>
      <c r="B46">
        <v>44084</v>
      </c>
      <c r="F46" t="s">
        <v>139</v>
      </c>
      <c r="G46">
        <f>StatewideResults_Aug13!I100</f>
        <v>26352</v>
      </c>
    </row>
    <row r="47" spans="1:7" x14ac:dyDescent="0.3">
      <c r="A47" t="s">
        <v>140</v>
      </c>
      <c r="B47">
        <v>44084</v>
      </c>
      <c r="F47" t="s">
        <v>141</v>
      </c>
      <c r="G47">
        <f>StatewideResults_Aug13!I102</f>
        <v>44084</v>
      </c>
    </row>
    <row r="48" spans="1:7" x14ac:dyDescent="0.3">
      <c r="A48" t="s">
        <v>142</v>
      </c>
      <c r="B48">
        <v>43719</v>
      </c>
      <c r="F48" t="s">
        <v>143</v>
      </c>
      <c r="G48">
        <f>StatewideResults_Aug13!I104</f>
        <v>50910</v>
      </c>
    </row>
    <row r="49" spans="1:7" x14ac:dyDescent="0.3">
      <c r="A49" t="s">
        <v>144</v>
      </c>
      <c r="B49">
        <v>43719</v>
      </c>
      <c r="F49" t="s">
        <v>145</v>
      </c>
      <c r="G49">
        <f>StatewideResults_Aug13!I106</f>
        <v>49797</v>
      </c>
    </row>
    <row r="50" spans="1:7" x14ac:dyDescent="0.3">
      <c r="A50" t="s">
        <v>146</v>
      </c>
      <c r="B50">
        <v>43719</v>
      </c>
      <c r="F50" t="s">
        <v>147</v>
      </c>
      <c r="G50">
        <f>StatewideResults_Aug13!I108</f>
        <v>40819</v>
      </c>
    </row>
    <row r="51" spans="1:7" x14ac:dyDescent="0.3">
      <c r="A51" t="s">
        <v>148</v>
      </c>
      <c r="B51">
        <v>42929</v>
      </c>
      <c r="F51" t="s">
        <v>149</v>
      </c>
      <c r="G51">
        <f>StatewideResults_Aug13!I110</f>
        <v>28627</v>
      </c>
    </row>
    <row r="52" spans="1:7" x14ac:dyDescent="0.3">
      <c r="A52" t="s">
        <v>150</v>
      </c>
      <c r="B52">
        <v>42929</v>
      </c>
      <c r="F52" t="s">
        <v>151</v>
      </c>
      <c r="G52">
        <f>StatewideResults_Aug13!I112</f>
        <v>37332</v>
      </c>
    </row>
    <row r="53" spans="1:7" x14ac:dyDescent="0.3">
      <c r="A53" t="s">
        <v>152</v>
      </c>
      <c r="B53">
        <v>42925</v>
      </c>
      <c r="F53" t="s">
        <v>153</v>
      </c>
      <c r="G53">
        <f>StatewideResults_Aug13!I114</f>
        <v>48106</v>
      </c>
    </row>
    <row r="54" spans="1:7" x14ac:dyDescent="0.3">
      <c r="A54" t="s">
        <v>154</v>
      </c>
      <c r="B54">
        <v>42925</v>
      </c>
      <c r="F54" t="s">
        <v>155</v>
      </c>
      <c r="G54">
        <f>StatewideResults_Aug13!I116</f>
        <v>37512</v>
      </c>
    </row>
    <row r="55" spans="1:7" x14ac:dyDescent="0.3">
      <c r="A55" t="s">
        <v>156</v>
      </c>
      <c r="B55">
        <v>42906</v>
      </c>
      <c r="F55" t="s">
        <v>157</v>
      </c>
      <c r="G55">
        <f>StatewideResults_Aug13!I118</f>
        <v>50320</v>
      </c>
    </row>
    <row r="56" spans="1:7" x14ac:dyDescent="0.3">
      <c r="A56" t="s">
        <v>158</v>
      </c>
      <c r="B56">
        <v>42906</v>
      </c>
      <c r="F56" t="s">
        <v>159</v>
      </c>
      <c r="G56">
        <f>StatewideResults_Aug13!I120</f>
        <v>39025</v>
      </c>
    </row>
    <row r="57" spans="1:7" x14ac:dyDescent="0.3">
      <c r="A57" t="s">
        <v>160</v>
      </c>
      <c r="B57">
        <v>41818</v>
      </c>
      <c r="F57" t="s">
        <v>161</v>
      </c>
      <c r="G57">
        <f>StatewideResults_Aug13!I122</f>
        <v>36621</v>
      </c>
    </row>
    <row r="58" spans="1:7" x14ac:dyDescent="0.3">
      <c r="A58" t="s">
        <v>162</v>
      </c>
      <c r="B58">
        <v>41818</v>
      </c>
      <c r="F58" t="s">
        <v>163</v>
      </c>
      <c r="G58">
        <f>StatewideResults_Aug13!I124</f>
        <v>37735</v>
      </c>
    </row>
    <row r="59" spans="1:7" x14ac:dyDescent="0.3">
      <c r="A59" t="s">
        <v>164</v>
      </c>
      <c r="B59">
        <v>41147</v>
      </c>
      <c r="F59" t="s">
        <v>165</v>
      </c>
      <c r="G59">
        <f>StatewideResults_Aug13!I126</f>
        <v>46587</v>
      </c>
    </row>
    <row r="60" spans="1:7" x14ac:dyDescent="0.3">
      <c r="A60" t="s">
        <v>166</v>
      </c>
      <c r="B60">
        <v>41147</v>
      </c>
      <c r="F60" t="s">
        <v>167</v>
      </c>
      <c r="G60">
        <f>StatewideResults_Aug13!I128</f>
        <v>29599</v>
      </c>
    </row>
    <row r="61" spans="1:7" x14ac:dyDescent="0.3">
      <c r="A61" t="s">
        <v>168</v>
      </c>
      <c r="B61">
        <v>41147</v>
      </c>
      <c r="F61" t="s">
        <v>169</v>
      </c>
      <c r="G61">
        <f>StatewideResults_Aug13!I130</f>
        <v>26711</v>
      </c>
    </row>
    <row r="62" spans="1:7" x14ac:dyDescent="0.3">
      <c r="A62" t="s">
        <v>170</v>
      </c>
      <c r="B62">
        <v>40819</v>
      </c>
      <c r="F62" t="s">
        <v>171</v>
      </c>
      <c r="G62">
        <f>StatewideResults_Aug13!I132</f>
        <v>34453</v>
      </c>
    </row>
    <row r="63" spans="1:7" x14ac:dyDescent="0.3">
      <c r="A63" t="s">
        <v>172</v>
      </c>
      <c r="B63">
        <v>40819</v>
      </c>
    </row>
    <row r="64" spans="1:7" x14ac:dyDescent="0.3">
      <c r="A64" t="s">
        <v>173</v>
      </c>
      <c r="B64">
        <v>40819</v>
      </c>
    </row>
    <row r="65" spans="1:2" x14ac:dyDescent="0.3">
      <c r="A65" t="s">
        <v>174</v>
      </c>
      <c r="B65">
        <v>40105</v>
      </c>
    </row>
    <row r="66" spans="1:2" x14ac:dyDescent="0.3">
      <c r="A66" t="s">
        <v>175</v>
      </c>
      <c r="B66">
        <v>40105</v>
      </c>
    </row>
    <row r="67" spans="1:2" x14ac:dyDescent="0.3">
      <c r="A67" t="s">
        <v>176</v>
      </c>
      <c r="B67">
        <v>39189</v>
      </c>
    </row>
    <row r="68" spans="1:2" x14ac:dyDescent="0.3">
      <c r="A68" t="s">
        <v>177</v>
      </c>
      <c r="B68">
        <v>39189</v>
      </c>
    </row>
    <row r="69" spans="1:2" x14ac:dyDescent="0.3">
      <c r="A69" t="s">
        <v>178</v>
      </c>
      <c r="B69">
        <v>39025</v>
      </c>
    </row>
    <row r="70" spans="1:2" x14ac:dyDescent="0.3">
      <c r="A70" t="s">
        <v>179</v>
      </c>
      <c r="B70">
        <v>39025</v>
      </c>
    </row>
    <row r="71" spans="1:2" x14ac:dyDescent="0.3">
      <c r="A71" t="s">
        <v>180</v>
      </c>
      <c r="B71">
        <v>39025</v>
      </c>
    </row>
    <row r="72" spans="1:2" x14ac:dyDescent="0.3">
      <c r="A72" t="s">
        <v>181</v>
      </c>
      <c r="B72">
        <v>37834</v>
      </c>
    </row>
    <row r="73" spans="1:2" x14ac:dyDescent="0.3">
      <c r="A73" t="s">
        <v>182</v>
      </c>
      <c r="B73">
        <v>37834</v>
      </c>
    </row>
    <row r="74" spans="1:2" x14ac:dyDescent="0.3">
      <c r="A74" t="s">
        <v>183</v>
      </c>
      <c r="B74">
        <v>37834</v>
      </c>
    </row>
    <row r="75" spans="1:2" x14ac:dyDescent="0.3">
      <c r="A75" t="s">
        <v>184</v>
      </c>
      <c r="B75">
        <v>37735</v>
      </c>
    </row>
    <row r="76" spans="1:2" x14ac:dyDescent="0.3">
      <c r="A76" t="s">
        <v>185</v>
      </c>
      <c r="B76">
        <v>37735</v>
      </c>
    </row>
    <row r="77" spans="1:2" x14ac:dyDescent="0.3">
      <c r="A77" t="s">
        <v>186</v>
      </c>
      <c r="B77">
        <v>37735</v>
      </c>
    </row>
    <row r="78" spans="1:2" x14ac:dyDescent="0.3">
      <c r="A78" t="s">
        <v>187</v>
      </c>
      <c r="B78">
        <v>37512</v>
      </c>
    </row>
    <row r="79" spans="1:2" x14ac:dyDescent="0.3">
      <c r="A79" t="s">
        <v>188</v>
      </c>
      <c r="B79">
        <v>37512</v>
      </c>
    </row>
    <row r="80" spans="1:2" x14ac:dyDescent="0.3">
      <c r="A80" t="s">
        <v>189</v>
      </c>
      <c r="B80">
        <v>37332</v>
      </c>
    </row>
    <row r="81" spans="1:2" x14ac:dyDescent="0.3">
      <c r="A81" t="s">
        <v>190</v>
      </c>
      <c r="B81">
        <v>37332</v>
      </c>
    </row>
    <row r="82" spans="1:2" x14ac:dyDescent="0.3">
      <c r="A82" t="s">
        <v>191</v>
      </c>
      <c r="B82">
        <v>36621</v>
      </c>
    </row>
    <row r="83" spans="1:2" x14ac:dyDescent="0.3">
      <c r="A83" t="s">
        <v>192</v>
      </c>
      <c r="B83">
        <v>36621</v>
      </c>
    </row>
    <row r="84" spans="1:2" x14ac:dyDescent="0.3">
      <c r="A84" t="s">
        <v>193</v>
      </c>
      <c r="B84">
        <v>36621</v>
      </c>
    </row>
    <row r="85" spans="1:2" x14ac:dyDescent="0.3">
      <c r="A85" t="s">
        <v>194</v>
      </c>
      <c r="B85">
        <v>34620</v>
      </c>
    </row>
    <row r="86" spans="1:2" x14ac:dyDescent="0.3">
      <c r="A86" t="s">
        <v>195</v>
      </c>
      <c r="B86">
        <v>34620</v>
      </c>
    </row>
    <row r="87" spans="1:2" x14ac:dyDescent="0.3">
      <c r="A87" t="s">
        <v>196</v>
      </c>
      <c r="B87">
        <v>34538</v>
      </c>
    </row>
    <row r="88" spans="1:2" x14ac:dyDescent="0.3">
      <c r="A88" t="s">
        <v>197</v>
      </c>
      <c r="B88">
        <v>34538</v>
      </c>
    </row>
    <row r="89" spans="1:2" x14ac:dyDescent="0.3">
      <c r="A89" t="s">
        <v>198</v>
      </c>
      <c r="B89">
        <v>34538</v>
      </c>
    </row>
    <row r="90" spans="1:2" x14ac:dyDescent="0.3">
      <c r="A90" t="s">
        <v>199</v>
      </c>
      <c r="B90">
        <v>34482</v>
      </c>
    </row>
    <row r="91" spans="1:2" x14ac:dyDescent="0.3">
      <c r="A91" t="s">
        <v>200</v>
      </c>
      <c r="B91">
        <v>34482</v>
      </c>
    </row>
    <row r="92" spans="1:2" x14ac:dyDescent="0.3">
      <c r="A92" t="s">
        <v>201</v>
      </c>
      <c r="B92">
        <v>34482</v>
      </c>
    </row>
    <row r="93" spans="1:2" x14ac:dyDescent="0.3">
      <c r="A93" t="s">
        <v>202</v>
      </c>
      <c r="B93">
        <v>34453</v>
      </c>
    </row>
    <row r="94" spans="1:2" x14ac:dyDescent="0.3">
      <c r="A94" t="s">
        <v>203</v>
      </c>
      <c r="B94">
        <v>34453</v>
      </c>
    </row>
    <row r="95" spans="1:2" x14ac:dyDescent="0.3">
      <c r="A95" t="s">
        <v>204</v>
      </c>
      <c r="B95">
        <v>33148</v>
      </c>
    </row>
    <row r="96" spans="1:2" x14ac:dyDescent="0.3">
      <c r="A96" t="s">
        <v>205</v>
      </c>
      <c r="B96">
        <v>33148</v>
      </c>
    </row>
    <row r="97" spans="1:2" x14ac:dyDescent="0.3">
      <c r="A97" t="s">
        <v>206</v>
      </c>
      <c r="B97">
        <v>33148</v>
      </c>
    </row>
    <row r="98" spans="1:2" x14ac:dyDescent="0.3">
      <c r="A98" t="s">
        <v>207</v>
      </c>
      <c r="B98">
        <v>32294</v>
      </c>
    </row>
    <row r="99" spans="1:2" x14ac:dyDescent="0.3">
      <c r="A99" t="s">
        <v>208</v>
      </c>
      <c r="B99">
        <v>32294</v>
      </c>
    </row>
    <row r="100" spans="1:2" x14ac:dyDescent="0.3">
      <c r="A100" t="s">
        <v>209</v>
      </c>
      <c r="B100">
        <v>32294</v>
      </c>
    </row>
    <row r="101" spans="1:2" x14ac:dyDescent="0.3">
      <c r="A101" t="s">
        <v>210</v>
      </c>
      <c r="B101">
        <v>32256</v>
      </c>
    </row>
    <row r="102" spans="1:2" x14ac:dyDescent="0.3">
      <c r="A102" t="s">
        <v>211</v>
      </c>
      <c r="B102">
        <v>32256</v>
      </c>
    </row>
    <row r="103" spans="1:2" x14ac:dyDescent="0.3">
      <c r="A103" t="s">
        <v>212</v>
      </c>
      <c r="B103">
        <v>31808</v>
      </c>
    </row>
    <row r="104" spans="1:2" x14ac:dyDescent="0.3">
      <c r="A104" t="s">
        <v>213</v>
      </c>
      <c r="B104">
        <v>31808</v>
      </c>
    </row>
    <row r="105" spans="1:2" x14ac:dyDescent="0.3">
      <c r="A105" t="s">
        <v>214</v>
      </c>
      <c r="B105">
        <v>31808</v>
      </c>
    </row>
    <row r="106" spans="1:2" x14ac:dyDescent="0.3">
      <c r="A106" t="s">
        <v>215</v>
      </c>
      <c r="B106">
        <v>29599</v>
      </c>
    </row>
    <row r="107" spans="1:2" x14ac:dyDescent="0.3">
      <c r="A107" t="s">
        <v>216</v>
      </c>
      <c r="B107">
        <v>29599</v>
      </c>
    </row>
    <row r="108" spans="1:2" x14ac:dyDescent="0.3">
      <c r="A108" t="s">
        <v>217</v>
      </c>
      <c r="B108">
        <v>29599</v>
      </c>
    </row>
    <row r="109" spans="1:2" x14ac:dyDescent="0.3">
      <c r="A109" t="s">
        <v>218</v>
      </c>
      <c r="B109">
        <v>29103</v>
      </c>
    </row>
    <row r="110" spans="1:2" x14ac:dyDescent="0.3">
      <c r="A110" t="s">
        <v>219</v>
      </c>
      <c r="B110">
        <v>29103</v>
      </c>
    </row>
    <row r="111" spans="1:2" x14ac:dyDescent="0.3">
      <c r="A111" t="s">
        <v>220</v>
      </c>
      <c r="B111">
        <v>28627</v>
      </c>
    </row>
    <row r="112" spans="1:2" x14ac:dyDescent="0.3">
      <c r="A112" t="s">
        <v>221</v>
      </c>
      <c r="B112">
        <v>28627</v>
      </c>
    </row>
    <row r="113" spans="1:2" x14ac:dyDescent="0.3">
      <c r="A113" t="s">
        <v>222</v>
      </c>
      <c r="B113">
        <v>28627</v>
      </c>
    </row>
    <row r="114" spans="1:2" x14ac:dyDescent="0.3">
      <c r="A114" t="s">
        <v>223</v>
      </c>
      <c r="B114">
        <v>26711</v>
      </c>
    </row>
    <row r="115" spans="1:2" x14ac:dyDescent="0.3">
      <c r="A115" t="s">
        <v>224</v>
      </c>
      <c r="B115">
        <v>26711</v>
      </c>
    </row>
    <row r="116" spans="1:2" x14ac:dyDescent="0.3">
      <c r="A116" t="s">
        <v>225</v>
      </c>
      <c r="B116">
        <v>26711</v>
      </c>
    </row>
    <row r="117" spans="1:2" x14ac:dyDescent="0.3">
      <c r="A117" t="s">
        <v>226</v>
      </c>
      <c r="B117">
        <v>26427</v>
      </c>
    </row>
    <row r="118" spans="1:2" x14ac:dyDescent="0.3">
      <c r="A118" t="s">
        <v>227</v>
      </c>
      <c r="B118">
        <v>26427</v>
      </c>
    </row>
    <row r="119" spans="1:2" x14ac:dyDescent="0.3">
      <c r="A119" t="s">
        <v>228</v>
      </c>
      <c r="B119">
        <v>26352</v>
      </c>
    </row>
    <row r="120" spans="1:2" x14ac:dyDescent="0.3">
      <c r="A120" t="s">
        <v>229</v>
      </c>
      <c r="B120">
        <v>26352</v>
      </c>
    </row>
    <row r="121" spans="1:2" x14ac:dyDescent="0.3">
      <c r="A121" t="s">
        <v>230</v>
      </c>
      <c r="B121">
        <v>26352</v>
      </c>
    </row>
    <row r="122" spans="1:2" x14ac:dyDescent="0.3">
      <c r="A122" t="s">
        <v>231</v>
      </c>
      <c r="B122">
        <v>25539</v>
      </c>
    </row>
    <row r="123" spans="1:2" x14ac:dyDescent="0.3">
      <c r="A123" t="s">
        <v>232</v>
      </c>
      <c r="B123">
        <v>25539</v>
      </c>
    </row>
    <row r="124" spans="1:2" x14ac:dyDescent="0.3">
      <c r="A124" t="s">
        <v>233</v>
      </c>
      <c r="B124">
        <v>23683</v>
      </c>
    </row>
    <row r="125" spans="1:2" x14ac:dyDescent="0.3">
      <c r="A125" t="s">
        <v>234</v>
      </c>
      <c r="B125">
        <v>23683</v>
      </c>
    </row>
    <row r="126" spans="1:2" x14ac:dyDescent="0.3">
      <c r="A126" t="s">
        <v>235</v>
      </c>
      <c r="B126">
        <v>23683</v>
      </c>
    </row>
    <row r="127" spans="1:2" x14ac:dyDescent="0.3">
      <c r="A127" t="s">
        <v>236</v>
      </c>
      <c r="B127">
        <v>19785</v>
      </c>
    </row>
    <row r="128" spans="1:2" x14ac:dyDescent="0.3">
      <c r="A128" t="s">
        <v>237</v>
      </c>
      <c r="B128">
        <v>19785</v>
      </c>
    </row>
    <row r="129" spans="1:2" x14ac:dyDescent="0.3">
      <c r="A129" t="s">
        <v>238</v>
      </c>
      <c r="B129">
        <v>19275</v>
      </c>
    </row>
    <row r="130" spans="1:2" x14ac:dyDescent="0.3">
      <c r="A130" t="s">
        <v>239</v>
      </c>
      <c r="B130">
        <v>19275</v>
      </c>
    </row>
    <row r="131" spans="1:2" x14ac:dyDescent="0.3">
      <c r="A131" t="s">
        <v>240</v>
      </c>
      <c r="B131">
        <v>19275</v>
      </c>
    </row>
    <row r="132" spans="1:2" x14ac:dyDescent="0.3">
      <c r="A132" t="s">
        <v>241</v>
      </c>
      <c r="B132">
        <v>13571</v>
      </c>
    </row>
    <row r="133" spans="1:2" x14ac:dyDescent="0.3">
      <c r="A133" t="s">
        <v>242</v>
      </c>
      <c r="B133">
        <v>13571</v>
      </c>
    </row>
  </sheetData>
  <autoFilter ref="A1:B133" xr:uid="{87CFC566-5AA5-433D-8723-1C4E16A9C73A}">
    <sortState xmlns:xlrd2="http://schemas.microsoft.com/office/spreadsheetml/2017/richdata2" ref="A2:B133">
      <sortCondition descending="1" ref="B1:B133"/>
    </sortState>
  </autoFilter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6F54-33AE-4305-8D1B-6046473604E6}">
  <dimension ref="B1:AN57"/>
  <sheetViews>
    <sheetView topLeftCell="B1" workbookViewId="0">
      <pane xSplit="2" ySplit="1" topLeftCell="D6" activePane="bottomRight" state="frozen"/>
      <selection activeCell="B1" sqref="B1"/>
      <selection pane="topRight" activeCell="D1" sqref="D1"/>
      <selection pane="bottomLeft" activeCell="B2" sqref="B2"/>
      <selection pane="bottomRight" activeCell="E20" sqref="E20"/>
    </sheetView>
  </sheetViews>
  <sheetFormatPr defaultRowHeight="14.4" x14ac:dyDescent="0.3"/>
  <cols>
    <col min="2" max="2" width="28.77734375" style="2" customWidth="1"/>
    <col min="3" max="3" width="12.33203125" customWidth="1"/>
    <col min="4" max="4" width="17.88671875" style="11" customWidth="1"/>
    <col min="5" max="5" width="16.21875" style="12" customWidth="1"/>
    <col min="6" max="6" width="17.5546875" style="8" customWidth="1"/>
    <col min="7" max="7" width="18.6640625" style="5" customWidth="1"/>
    <col min="8" max="9" width="21.6640625" style="5" customWidth="1"/>
    <col min="10" max="10" width="22.6640625" style="5" customWidth="1"/>
    <col min="11" max="11" width="12.77734375" style="8" bestFit="1" customWidth="1"/>
    <col min="12" max="12" width="8.88671875" style="5" customWidth="1"/>
    <col min="14" max="14" width="11.21875" style="8" bestFit="1" customWidth="1"/>
    <col min="15" max="15" width="9.109375" style="5" bestFit="1" customWidth="1"/>
    <col min="17" max="17" width="21.5546875" customWidth="1"/>
    <col min="18" max="18" width="17.44140625" customWidth="1"/>
    <col min="21" max="21" width="16.88671875" customWidth="1"/>
    <col min="24" max="24" width="13.6640625" customWidth="1"/>
    <col min="25" max="25" width="16.6640625" customWidth="1"/>
    <col min="26" max="26" width="17.77734375" customWidth="1"/>
    <col min="27" max="27" width="17.44140625" customWidth="1"/>
    <col min="28" max="28" width="20.21875" customWidth="1"/>
    <col min="29" max="29" width="14.6640625" customWidth="1"/>
    <col min="30" max="30" width="17.6640625" customWidth="1"/>
    <col min="31" max="31" width="16.77734375" customWidth="1"/>
    <col min="32" max="32" width="22" customWidth="1"/>
    <col min="36" max="36" width="11" customWidth="1"/>
  </cols>
  <sheetData>
    <row r="1" spans="2:40" x14ac:dyDescent="0.3">
      <c r="D1" s="7" t="s">
        <v>243</v>
      </c>
      <c r="E1" s="14" t="s">
        <v>244</v>
      </c>
      <c r="F1" s="7" t="s">
        <v>245</v>
      </c>
      <c r="G1" s="4" t="s">
        <v>246</v>
      </c>
      <c r="H1" s="4" t="s">
        <v>247</v>
      </c>
      <c r="I1" s="4" t="s">
        <v>248</v>
      </c>
      <c r="J1" s="4" t="s">
        <v>249</v>
      </c>
      <c r="K1" s="7" t="s">
        <v>250</v>
      </c>
      <c r="L1" s="4" t="s">
        <v>251</v>
      </c>
      <c r="M1" s="2" t="s">
        <v>252</v>
      </c>
      <c r="N1" s="7" t="s">
        <v>253</v>
      </c>
      <c r="O1" s="4" t="s">
        <v>254</v>
      </c>
      <c r="P1" s="2" t="s">
        <v>255</v>
      </c>
      <c r="Q1" s="3" t="s">
        <v>256</v>
      </c>
      <c r="R1" s="2" t="s">
        <v>257</v>
      </c>
      <c r="S1" s="2" t="s">
        <v>258</v>
      </c>
      <c r="T1" s="3" t="s">
        <v>259</v>
      </c>
      <c r="U1" s="2" t="s">
        <v>260</v>
      </c>
      <c r="V1" s="3" t="s">
        <v>261</v>
      </c>
      <c r="W1" s="2" t="s">
        <v>262</v>
      </c>
      <c r="X1" s="2" t="s">
        <v>263</v>
      </c>
      <c r="Y1" s="3" t="s">
        <v>264</v>
      </c>
      <c r="Z1" t="s">
        <v>265</v>
      </c>
      <c r="AA1" s="1" t="s">
        <v>266</v>
      </c>
      <c r="AB1" t="s">
        <v>267</v>
      </c>
      <c r="AC1" t="s">
        <v>268</v>
      </c>
      <c r="AD1" s="1" t="s">
        <v>269</v>
      </c>
      <c r="AE1" t="s">
        <v>270</v>
      </c>
      <c r="AF1" s="1" t="s">
        <v>271</v>
      </c>
      <c r="AG1" t="s">
        <v>272</v>
      </c>
      <c r="AH1" t="s">
        <v>273</v>
      </c>
      <c r="AI1" s="1" t="s">
        <v>274</v>
      </c>
      <c r="AJ1" t="s">
        <v>275</v>
      </c>
      <c r="AK1" s="1" t="s">
        <v>276</v>
      </c>
      <c r="AL1" t="s">
        <v>277</v>
      </c>
      <c r="AM1" t="s">
        <v>278</v>
      </c>
      <c r="AN1" s="1" t="s">
        <v>279</v>
      </c>
    </row>
    <row r="2" spans="2:40" x14ac:dyDescent="0.3">
      <c r="B2" s="2" t="s">
        <v>280</v>
      </c>
      <c r="C2" t="s">
        <v>281</v>
      </c>
      <c r="D2" s="11">
        <f>AJ2</f>
        <v>1861055</v>
      </c>
      <c r="F2" s="8">
        <f>SUM(F8,F13,F18,F23,F28,F33,F38,F43,F48,F53)</f>
        <v>1029284</v>
      </c>
      <c r="H2" s="15">
        <f>D2-F2</f>
        <v>831771</v>
      </c>
      <c r="I2" s="15"/>
      <c r="K2" s="8">
        <f t="shared" ref="K2:Y6" si="0">SUM(K8,K13,K18,K23,K28,K33,K38,K43,K48,K53)</f>
        <v>1259898</v>
      </c>
      <c r="N2" s="8">
        <f t="shared" si="0"/>
        <v>230614</v>
      </c>
      <c r="P2">
        <f t="shared" si="0"/>
        <v>1514585</v>
      </c>
      <c r="S2">
        <f t="shared" si="0"/>
        <v>254687</v>
      </c>
      <c r="T2">
        <f t="shared" si="0"/>
        <v>0</v>
      </c>
      <c r="U2">
        <f t="shared" si="0"/>
        <v>1688871</v>
      </c>
      <c r="V2">
        <f t="shared" si="0"/>
        <v>0</v>
      </c>
      <c r="W2">
        <f t="shared" si="0"/>
        <v>0</v>
      </c>
      <c r="X2">
        <f t="shared" si="0"/>
        <v>174286</v>
      </c>
      <c r="Y2">
        <f t="shared" si="0"/>
        <v>0</v>
      </c>
      <c r="Z2">
        <f t="shared" ref="Z2:AD2" si="1">SUM(Z8,Z13,Z18,Z23,Z28,Z33,Z38,Z43,Z48,Z53)</f>
        <v>1804194</v>
      </c>
      <c r="AA2">
        <f t="shared" si="1"/>
        <v>0</v>
      </c>
      <c r="AB2">
        <f t="shared" si="1"/>
        <v>0</v>
      </c>
      <c r="AC2">
        <f t="shared" si="1"/>
        <v>115323</v>
      </c>
      <c r="AD2">
        <f t="shared" si="1"/>
        <v>0</v>
      </c>
      <c r="AE2">
        <f t="shared" ref="AE2:AI2" si="2">SUM(AE8,AE13,AE18,AE23,AE28,AE33,AE38,AE43,AE48,AE53)</f>
        <v>1831856</v>
      </c>
      <c r="AF2">
        <f t="shared" si="2"/>
        <v>0</v>
      </c>
      <c r="AG2">
        <f t="shared" si="2"/>
        <v>0</v>
      </c>
      <c r="AH2">
        <f t="shared" si="2"/>
        <v>27662</v>
      </c>
      <c r="AI2">
        <f t="shared" si="2"/>
        <v>0</v>
      </c>
      <c r="AJ2">
        <f t="shared" ref="AJ2:AN2" si="3">SUM(AJ8,AJ13,AJ18,AJ23,AJ28,AJ33,AJ38,AJ43,AJ48,AJ53)</f>
        <v>1861055</v>
      </c>
      <c r="AK2">
        <f t="shared" si="3"/>
        <v>0</v>
      </c>
      <c r="AL2">
        <f t="shared" si="3"/>
        <v>0</v>
      </c>
      <c r="AM2">
        <f t="shared" si="3"/>
        <v>29199</v>
      </c>
      <c r="AN2">
        <f t="shared" si="3"/>
        <v>0</v>
      </c>
    </row>
    <row r="3" spans="2:40" x14ac:dyDescent="0.3">
      <c r="C3" t="s">
        <v>8</v>
      </c>
      <c r="D3" s="11">
        <f t="shared" ref="D3:D57" si="4">AJ3</f>
        <v>734535</v>
      </c>
      <c r="E3" s="12">
        <f>AK3</f>
        <v>0.39463652994286236</v>
      </c>
      <c r="F3" s="8">
        <f t="shared" ref="F3:X6" si="5">SUM(F9,F14,F19,F24,F29,F34,F39,F44,F49,F54)</f>
        <v>432043</v>
      </c>
      <c r="G3" s="5">
        <f>F3/(SUM(F$3:F$6))</f>
        <v>0.41965438296061958</v>
      </c>
      <c r="H3" s="15">
        <f t="shared" ref="H3:H57" si="6">D3-F3</f>
        <v>302492</v>
      </c>
      <c r="I3" s="13">
        <f>H3/SUM(H3:H6)</f>
        <v>0.36367090098993238</v>
      </c>
      <c r="J3" s="5">
        <f>I3-G3</f>
        <v>-5.5983481970687199E-2</v>
      </c>
      <c r="K3" s="8">
        <f t="shared" si="5"/>
        <v>520445</v>
      </c>
      <c r="L3" s="5">
        <f>K3/(SUM(K$3:K$6))</f>
        <v>0.41432085595554635</v>
      </c>
      <c r="M3" s="6">
        <f>(L3-$G3)*100</f>
        <v>-0.53335270050732242</v>
      </c>
      <c r="N3" s="8">
        <f t="shared" si="5"/>
        <v>88402</v>
      </c>
      <c r="O3" s="5">
        <f>N3/(SUM(N$3:N$6))</f>
        <v>0.39009085734205867</v>
      </c>
      <c r="P3">
        <f t="shared" si="5"/>
        <v>615693</v>
      </c>
      <c r="Q3" s="5">
        <f>P3/(SUM(P$3:P$6))</f>
        <v>0.40741804398735582</v>
      </c>
      <c r="R3" s="6">
        <f>(Q3-$G3)*100</f>
        <v>-1.2236338973263761</v>
      </c>
      <c r="S3">
        <f t="shared" si="5"/>
        <v>95248</v>
      </c>
      <c r="T3" s="5">
        <f>S3/(SUM(S$3:S$6))</f>
        <v>0.37342345344556527</v>
      </c>
      <c r="U3">
        <f t="shared" si="5"/>
        <v>675820</v>
      </c>
      <c r="V3" s="5">
        <f>U3/(SUM(U$3:U$6))</f>
        <v>0.40099254287490921</v>
      </c>
      <c r="W3" s="6">
        <f>(V3-$G3)*100</f>
        <v>-1.8661840085710368</v>
      </c>
      <c r="X3">
        <f t="shared" si="5"/>
        <v>60127</v>
      </c>
      <c r="Y3" s="5">
        <f>X3/(SUM(X$3:X$6))</f>
        <v>0.34523802688317135</v>
      </c>
      <c r="Z3">
        <f>SUM(Z9,Z14,Z19,Z24,Z29,Z34,Z39,Z44,Z49,Z54)</f>
        <v>713769</v>
      </c>
      <c r="AA3" s="5">
        <f>Z3/(SUM(Z$3:Z$6))</f>
        <v>0.39646454687599808</v>
      </c>
      <c r="AB3" s="6">
        <f>(AA3-$G3)*100</f>
        <v>-2.3189836084621493</v>
      </c>
      <c r="AC3">
        <f>SUM(AC9,AC14,AC19,AC24,AC29,AC34,AC39,AC44,AC49,AC54)</f>
        <v>37949</v>
      </c>
      <c r="AD3" s="5">
        <f>AC3/(SUM(AC$3:AC$6))</f>
        <v>0.33008602468534448</v>
      </c>
      <c r="AE3">
        <f>SUM(AE9,AE14,AE19,AE24,AE29,AE34,AE39,AE44,AE49,AE54)</f>
        <v>723520</v>
      </c>
      <c r="AF3" s="5">
        <f>AE3/(SUM(AE$3:AE$6))</f>
        <v>0.39575690312784262</v>
      </c>
      <c r="AG3" s="6">
        <f>(AF3-$G3)*100</f>
        <v>-2.3897479832776956</v>
      </c>
      <c r="AH3">
        <f>SUM(AH9,AH14,AH19,AH24,AH29,AH34,AH39,AH44,AH49,AH54)</f>
        <v>9751</v>
      </c>
      <c r="AI3" s="5">
        <f>AH3/(SUM(AH$3:AH$6))</f>
        <v>0.35002512743197645</v>
      </c>
      <c r="AJ3">
        <f>SUM(AJ9,AJ14,AJ19,AJ24,AJ29,AJ34,AJ39,AJ44,AJ49,AJ54)</f>
        <v>734535</v>
      </c>
      <c r="AK3" s="5">
        <f>AJ3/(SUM(AJ$3:AJ$6))</f>
        <v>0.39463652994286236</v>
      </c>
      <c r="AL3" s="6">
        <f>(AK3-$G3)*100</f>
        <v>-2.5017853017757217</v>
      </c>
      <c r="AM3">
        <f>SUM(AM9,AM14,AM19,AM24,AM29,AM34,AM39,AM44,AM49,AM54)</f>
        <v>11015</v>
      </c>
      <c r="AN3" s="5">
        <f>AM3/(SUM(AM$3:AM$6))</f>
        <v>0.33275934988822425</v>
      </c>
    </row>
    <row r="4" spans="2:40" x14ac:dyDescent="0.3">
      <c r="C4" t="s">
        <v>9</v>
      </c>
      <c r="D4" s="11">
        <f t="shared" si="4"/>
        <v>653967</v>
      </c>
      <c r="E4" s="12">
        <f t="shared" ref="E4:E6" si="7">AK4</f>
        <v>0.3513505382005539</v>
      </c>
      <c r="F4" s="8">
        <f t="shared" si="5"/>
        <v>370306</v>
      </c>
      <c r="G4" s="5">
        <f t="shared" ref="G4:G6" si="8">F4/(SUM(F$3:F$6))</f>
        <v>0.35968766057224671</v>
      </c>
      <c r="H4" s="15">
        <f t="shared" si="6"/>
        <v>283661</v>
      </c>
      <c r="I4" s="13">
        <f>H4/SUM(H3:H6)</f>
        <v>0.34103133783936501</v>
      </c>
      <c r="J4" s="5">
        <f t="shared" ref="J4:J57" si="9">I4-G4</f>
        <v>-1.8656322732881703E-2</v>
      </c>
      <c r="K4" s="8">
        <f t="shared" si="0"/>
        <v>448976</v>
      </c>
      <c r="L4" s="5">
        <f t="shared" ref="L4:L6" si="10">K4/(SUM(K$3:K$6))</f>
        <v>0.35742512777238206</v>
      </c>
      <c r="M4" s="6">
        <f t="shared" ref="M4:M57" si="11">(L4-G4)*100</f>
        <v>-0.22625327998646583</v>
      </c>
      <c r="N4" s="8">
        <f t="shared" si="0"/>
        <v>78670</v>
      </c>
      <c r="O4" s="5">
        <f t="shared" ref="O4:O6" si="12">N4/(SUM(N$3:N$6))</f>
        <v>0.34714653228546594</v>
      </c>
      <c r="P4">
        <f t="shared" si="0"/>
        <v>530129</v>
      </c>
      <c r="Q4" s="5">
        <f t="shared" ref="Q4:Q6" si="13">P4/(SUM(P$3:P$6))</f>
        <v>0.350798401542608</v>
      </c>
      <c r="R4" s="6">
        <f t="shared" ref="R4:R57" si="14">(Q4-$G4)*100</f>
        <v>-0.88892590296387186</v>
      </c>
      <c r="S4">
        <f t="shared" si="0"/>
        <v>81153</v>
      </c>
      <c r="T4" s="5">
        <f t="shared" ref="T4:V6" si="15">S4/(SUM(S$3:S$6))</f>
        <v>0.31816346293326853</v>
      </c>
      <c r="U4">
        <f t="shared" si="0"/>
        <v>585282</v>
      </c>
      <c r="V4" s="5">
        <f t="shared" si="15"/>
        <v>0.34727252445756651</v>
      </c>
      <c r="W4" s="6">
        <f t="shared" ref="W4:W6" si="16">(V4-$G4)*100</f>
        <v>-1.2415136114680203</v>
      </c>
      <c r="X4">
        <f t="shared" si="0"/>
        <v>55153</v>
      </c>
      <c r="Y4" s="5">
        <f t="shared" ref="Y4:Y6" si="17">X4/(SUM(X$3:X$6))</f>
        <v>0.31667824599077865</v>
      </c>
      <c r="Z4">
        <f>SUM(Z10,Z15,Z20,Z25,Z30,Z35,Z40,Z45,Z50,Z55)</f>
        <v>626285</v>
      </c>
      <c r="AA4" s="5">
        <f t="shared" ref="AA4:AA6" si="18">Z4/(SUM(Z$3:Z$6))</f>
        <v>0.34787136838421739</v>
      </c>
      <c r="AB4" s="6">
        <f t="shared" ref="AB4:AB6" si="19">(AA4-$G4)*100</f>
        <v>-1.181629218802932</v>
      </c>
      <c r="AC4">
        <f>SUM(AC10,AC15,AC20,AC25,AC30,AC35,AC40,AC45,AC50,AC55)</f>
        <v>41003</v>
      </c>
      <c r="AD4" s="5">
        <f t="shared" ref="AD4:AD6" si="20">AC4/(SUM(AC$3:AC$6))</f>
        <v>0.35665016917898179</v>
      </c>
      <c r="AE4">
        <f>SUM(AE10,AE15,AE20,AE25,AE30,AE35,AE40,AE45,AE50,AE55)</f>
        <v>639934</v>
      </c>
      <c r="AF4" s="5">
        <f t="shared" ref="AF4:AF6" si="21">AE4/(SUM(AE$3:AE$6))</f>
        <v>0.35003634736595096</v>
      </c>
      <c r="AG4" s="6">
        <f t="shared" ref="AG4:AG6" si="22">(AF4-$G4)*100</f>
        <v>-0.9651313206295753</v>
      </c>
      <c r="AH4">
        <f>SUM(AH10,AH15,AH20,AH25,AH30,AH35,AH40,AH45,AH50,AH55)</f>
        <v>13649</v>
      </c>
      <c r="AI4" s="5">
        <f t="shared" ref="AI4:AI6" si="23">AH4/(SUM(AH$3:AH$6))</f>
        <v>0.48994902720941919</v>
      </c>
      <c r="AJ4">
        <f>SUM(AJ10,AJ15,AJ20,AJ25,AJ30,AJ35,AJ40,AJ45,AJ50,AJ55)</f>
        <v>653967</v>
      </c>
      <c r="AK4" s="5">
        <f t="shared" ref="AK4:AK6" si="24">AJ4/(SUM(AJ$3:AJ$6))</f>
        <v>0.3513505382005539</v>
      </c>
      <c r="AL4" s="6">
        <f t="shared" ref="AL4:AL6" si="25">(AK4-$G4)*100</f>
        <v>-0.83371223716928178</v>
      </c>
      <c r="AM4">
        <f>SUM(AM10,AM15,AM20,AM25,AM30,AM35,AM40,AM45,AM50,AM55)</f>
        <v>14033</v>
      </c>
      <c r="AN4" s="5">
        <f t="shared" ref="AN4:AN6" si="26">AM4/(SUM(AM$3:AM$6))</f>
        <v>0.4239320886955471</v>
      </c>
    </row>
    <row r="5" spans="2:40" x14ac:dyDescent="0.3">
      <c r="C5" t="s">
        <v>282</v>
      </c>
      <c r="D5" s="11">
        <f t="shared" si="4"/>
        <v>377807</v>
      </c>
      <c r="E5" s="12">
        <f t="shared" si="7"/>
        <v>0.20298072041240103</v>
      </c>
      <c r="F5" s="8">
        <f t="shared" si="5"/>
        <v>178464</v>
      </c>
      <c r="G5" s="5">
        <f t="shared" si="8"/>
        <v>0.17334663401717887</v>
      </c>
      <c r="H5" s="15">
        <f t="shared" si="6"/>
        <v>199343</v>
      </c>
      <c r="I5" s="13">
        <f>H5/SUM(H3:H6)</f>
        <v>0.23966005188909487</v>
      </c>
      <c r="J5" s="5">
        <f t="shared" si="9"/>
        <v>6.6313417871915997E-2</v>
      </c>
      <c r="K5" s="8">
        <f t="shared" si="0"/>
        <v>228954</v>
      </c>
      <c r="L5" s="5">
        <f t="shared" si="10"/>
        <v>0.18226790007483243</v>
      </c>
      <c r="M5" s="6">
        <f t="shared" si="11"/>
        <v>0.89212660576535596</v>
      </c>
      <c r="N5" s="8">
        <f t="shared" si="0"/>
        <v>50490</v>
      </c>
      <c r="O5" s="5">
        <f t="shared" si="12"/>
        <v>0.22279685286758832</v>
      </c>
      <c r="P5">
        <f t="shared" si="0"/>
        <v>294948</v>
      </c>
      <c r="Q5" s="5">
        <f t="shared" si="13"/>
        <v>0.19517379154543354</v>
      </c>
      <c r="R5" s="6">
        <f t="shared" si="14"/>
        <v>2.1827157528254677</v>
      </c>
      <c r="S5">
        <f t="shared" si="0"/>
        <v>65994</v>
      </c>
      <c r="T5" s="5">
        <f t="shared" si="15"/>
        <v>0.25873201943018892</v>
      </c>
      <c r="U5">
        <f t="shared" si="0"/>
        <v>346289</v>
      </c>
      <c r="V5" s="5">
        <f t="shared" si="15"/>
        <v>0.20546788594538404</v>
      </c>
      <c r="W5" s="6">
        <f t="shared" si="16"/>
        <v>3.2121251928205168</v>
      </c>
      <c r="X5">
        <f t="shared" si="0"/>
        <v>51341</v>
      </c>
      <c r="Y5" s="5">
        <f t="shared" si="17"/>
        <v>0.29479045251233055</v>
      </c>
      <c r="Z5">
        <f>SUM(Z11,Z16,Z21,Z26,Z31,Z36,Z41,Z46,Z51,Z56)</f>
        <v>371043</v>
      </c>
      <c r="AA5" s="5">
        <f t="shared" si="18"/>
        <v>0.20609664312475179</v>
      </c>
      <c r="AB5" s="6">
        <f t="shared" si="19"/>
        <v>3.2750009107572922</v>
      </c>
      <c r="AC5">
        <f>SUM(AC11,AC16,AC21,AC26,AC31,AC36,AC41,AC46,AC51,AC56)</f>
        <v>24754</v>
      </c>
      <c r="AD5" s="5">
        <f t="shared" si="20"/>
        <v>0.2153139596579888</v>
      </c>
      <c r="AE5">
        <f>SUM(AE11,AE16,AE21,AE26,AE31,AE36,AE41,AE46,AE51,AE56)</f>
        <v>372949</v>
      </c>
      <c r="AF5" s="5">
        <f t="shared" si="21"/>
        <v>0.20399870254398741</v>
      </c>
      <c r="AG5" s="6">
        <f t="shared" si="22"/>
        <v>3.0652068526808547</v>
      </c>
      <c r="AH5">
        <f>SUM(AH11,AH16,AH21,AH26,AH31,AH36,AH41,AH46,AH51,AH56)</f>
        <v>1906</v>
      </c>
      <c r="AI5" s="5">
        <f t="shared" si="23"/>
        <v>6.8418407638739326E-2</v>
      </c>
      <c r="AJ5">
        <f>SUM(AJ11,AJ16,AJ21,AJ26,AJ31,AJ36,AJ41,AJ46,AJ51,AJ56)</f>
        <v>377807</v>
      </c>
      <c r="AK5" s="5">
        <f t="shared" si="24"/>
        <v>0.20298072041240103</v>
      </c>
      <c r="AL5" s="6">
        <f t="shared" si="25"/>
        <v>2.9634086395222163</v>
      </c>
      <c r="AM5">
        <f>SUM(AM11,AM16,AM21,AM26,AM31,AM36,AM41,AM46,AM51,AM56)</f>
        <v>4858</v>
      </c>
      <c r="AN5" s="5">
        <f t="shared" si="26"/>
        <v>0.14675850401788412</v>
      </c>
    </row>
    <row r="6" spans="2:40" x14ac:dyDescent="0.3">
      <c r="C6" t="s">
        <v>11</v>
      </c>
      <c r="D6" s="11">
        <f t="shared" si="4"/>
        <v>94986</v>
      </c>
      <c r="E6" s="12">
        <f t="shared" si="7"/>
        <v>5.1032211444182678E-2</v>
      </c>
      <c r="F6" s="8">
        <f t="shared" si="5"/>
        <v>48708</v>
      </c>
      <c r="G6" s="5">
        <f t="shared" si="8"/>
        <v>4.7311322449954882E-2</v>
      </c>
      <c r="H6" s="15">
        <f t="shared" si="6"/>
        <v>46278</v>
      </c>
      <c r="I6" s="13">
        <f>H6/SUM(H3:H6)</f>
        <v>5.5637709281607745E-2</v>
      </c>
      <c r="J6" s="5">
        <f t="shared" si="9"/>
        <v>8.3263868316528628E-3</v>
      </c>
      <c r="K6" s="8">
        <f t="shared" si="0"/>
        <v>57765</v>
      </c>
      <c r="L6" s="5">
        <f t="shared" si="10"/>
        <v>4.5986116197239163E-2</v>
      </c>
      <c r="M6" s="6">
        <f t="shared" si="11"/>
        <v>-0.13252062527157188</v>
      </c>
      <c r="N6" s="8">
        <f t="shared" si="0"/>
        <v>9057</v>
      </c>
      <c r="O6" s="5">
        <f t="shared" si="12"/>
        <v>3.996575750488706E-2</v>
      </c>
      <c r="P6">
        <f t="shared" si="0"/>
        <v>70437</v>
      </c>
      <c r="Q6" s="5">
        <f t="shared" si="13"/>
        <v>4.660976292460265E-2</v>
      </c>
      <c r="R6" s="6">
        <f t="shared" si="14"/>
        <v>-7.0155952535223137E-2</v>
      </c>
      <c r="S6">
        <f t="shared" si="0"/>
        <v>12672</v>
      </c>
      <c r="T6" s="5">
        <f t="shared" si="15"/>
        <v>4.9681064190977273E-2</v>
      </c>
      <c r="U6">
        <f t="shared" si="0"/>
        <v>77977</v>
      </c>
      <c r="V6" s="5">
        <f t="shared" si="15"/>
        <v>4.6267046722140208E-2</v>
      </c>
      <c r="W6" s="6">
        <f t="shared" si="16"/>
        <v>-0.10442757278146739</v>
      </c>
      <c r="X6">
        <f t="shared" si="0"/>
        <v>7540</v>
      </c>
      <c r="Y6" s="5">
        <f t="shared" si="17"/>
        <v>4.3293274613719492E-2</v>
      </c>
      <c r="Z6">
        <f>SUM(Z12,Z17,Z22,Z27,Z32,Z37,Z42,Z47,Z52,Z57)</f>
        <v>89238</v>
      </c>
      <c r="AA6" s="5">
        <f t="shared" si="18"/>
        <v>4.9567441615032758E-2</v>
      </c>
      <c r="AB6" s="6">
        <f t="shared" si="19"/>
        <v>0.22561191650778759</v>
      </c>
      <c r="AC6">
        <f>SUM(AC12,AC17,AC22,AC27,AC32,AC37,AC42,AC47,AC52,AC57)</f>
        <v>11261</v>
      </c>
      <c r="AD6" s="5">
        <f t="shared" si="20"/>
        <v>9.7949846477684899E-2</v>
      </c>
      <c r="AE6">
        <f>SUM(AE12,AE17,AE22,AE27,AE32,AE37,AE42,AE47,AE52,AE57)</f>
        <v>91790</v>
      </c>
      <c r="AF6" s="5">
        <f t="shared" si="21"/>
        <v>5.0208046962218977E-2</v>
      </c>
      <c r="AG6" s="6">
        <f t="shared" si="22"/>
        <v>0.28967245122640956</v>
      </c>
      <c r="AH6">
        <f>SUM(AH12,AH17,AH22,AH27,AH32,AH37,AH42,AH47,AH52,AH57)</f>
        <v>2552</v>
      </c>
      <c r="AI6" s="5">
        <f t="shared" si="23"/>
        <v>9.1607437719865029E-2</v>
      </c>
      <c r="AJ6">
        <f>SUM(AJ12,AJ17,AJ22,AJ27,AJ32,AJ37,AJ42,AJ47,AJ52,AJ57)</f>
        <v>94986</v>
      </c>
      <c r="AK6" s="5">
        <f t="shared" si="24"/>
        <v>5.1032211444182678E-2</v>
      </c>
      <c r="AL6" s="6">
        <f t="shared" si="25"/>
        <v>0.37208889942277956</v>
      </c>
      <c r="AM6">
        <f>SUM(AM12,AM17,AM22,AM27,AM32,AM37,AM42,AM47,AM52,AM57)</f>
        <v>3196</v>
      </c>
      <c r="AN6" s="5">
        <f t="shared" si="26"/>
        <v>9.6550057398344505E-2</v>
      </c>
    </row>
    <row r="7" spans="2:40" x14ac:dyDescent="0.3">
      <c r="C7" t="s">
        <v>283</v>
      </c>
      <c r="D7" s="11">
        <f>D2/10</f>
        <v>186105.5</v>
      </c>
      <c r="H7" s="15"/>
      <c r="I7" s="13"/>
      <c r="J7" s="5">
        <f t="shared" si="9"/>
        <v>0</v>
      </c>
      <c r="M7" s="6"/>
      <c r="Q7" s="5"/>
      <c r="R7" s="6"/>
      <c r="T7" s="5"/>
    </row>
    <row r="8" spans="2:40" x14ac:dyDescent="0.3">
      <c r="B8" s="2" t="s">
        <v>284</v>
      </c>
      <c r="C8" t="s">
        <v>281</v>
      </c>
      <c r="D8" s="11">
        <f t="shared" si="4"/>
        <v>163014</v>
      </c>
      <c r="F8" s="8">
        <f>KeyRaces!E2</f>
        <v>98597</v>
      </c>
      <c r="G8" s="5" t="str">
        <f>KeyRaces!F2</f>
        <v/>
      </c>
      <c r="H8" s="15">
        <f t="shared" si="6"/>
        <v>64417</v>
      </c>
      <c r="I8" s="15"/>
      <c r="K8" s="8">
        <f>KeyRaces!K2</f>
        <v>113370</v>
      </c>
      <c r="L8" s="5" t="str">
        <f>KeyRaces!L2</f>
        <v/>
      </c>
      <c r="M8" s="6"/>
      <c r="N8" s="8">
        <f>KeyRaces!N2</f>
        <v>14773</v>
      </c>
      <c r="O8" s="1" t="str">
        <f>KeyRaces!O2</f>
        <v/>
      </c>
      <c r="P8">
        <f>KeyRaces!P2</f>
        <v>150766</v>
      </c>
      <c r="Q8" t="str">
        <f>KeyRaces!Q2</f>
        <v/>
      </c>
      <c r="R8" s="6"/>
      <c r="S8">
        <f>KeyRaces!S2</f>
        <v>37396</v>
      </c>
      <c r="T8" t="str">
        <f>KeyRaces!T2</f>
        <v/>
      </c>
      <c r="U8">
        <f>KeyRaces!U2</f>
        <v>159269</v>
      </c>
      <c r="V8" t="str">
        <f>KeyRaces!V2</f>
        <v/>
      </c>
      <c r="W8" t="str">
        <f>KeyRaces!W2</f>
        <v/>
      </c>
      <c r="X8">
        <f>KeyRaces!X2</f>
        <v>8503</v>
      </c>
      <c r="Y8" t="str">
        <f>KeyRaces!Y2</f>
        <v/>
      </c>
      <c r="Z8">
        <f>KeyRaces!Z2</f>
        <v>161993</v>
      </c>
      <c r="AA8">
        <f>KeyRaces!AA2</f>
        <v>0</v>
      </c>
      <c r="AB8">
        <f>KeyRaces!AB2</f>
        <v>0</v>
      </c>
      <c r="AC8">
        <f>KeyRaces!AC2</f>
        <v>2724</v>
      </c>
      <c r="AD8">
        <f>KeyRaces!AD2</f>
        <v>0</v>
      </c>
      <c r="AE8">
        <f>KeyRaces!AE2</f>
        <v>162264</v>
      </c>
      <c r="AF8">
        <f>KeyRaces!AF2</f>
        <v>0</v>
      </c>
      <c r="AG8">
        <f>KeyRaces!AG2</f>
        <v>0</v>
      </c>
      <c r="AH8">
        <f>KeyRaces!AH2</f>
        <v>271</v>
      </c>
      <c r="AI8">
        <f>KeyRaces!AI2</f>
        <v>0</v>
      </c>
      <c r="AJ8">
        <f>KeyRaces!AJ2</f>
        <v>163014</v>
      </c>
      <c r="AK8">
        <f>KeyRaces!AK2</f>
        <v>0</v>
      </c>
      <c r="AL8">
        <f>KeyRaces!AL2</f>
        <v>0</v>
      </c>
      <c r="AM8">
        <f>KeyRaces!AM2</f>
        <v>750</v>
      </c>
      <c r="AN8">
        <f>KeyRaces!AN2</f>
        <v>0</v>
      </c>
    </row>
    <row r="9" spans="2:40" x14ac:dyDescent="0.3">
      <c r="C9" t="s">
        <v>8</v>
      </c>
      <c r="D9" s="11">
        <f t="shared" si="4"/>
        <v>88736</v>
      </c>
      <c r="E9" s="12">
        <f t="shared" ref="E9:E57" si="27">AK9</f>
        <v>0.55262092630766069</v>
      </c>
      <c r="F9" s="8">
        <f>SUMIF(KeyRaces!$B$3:$B$9,CongressionalAnalysis!$C9,KeyRaces!E$3:E$9)</f>
        <v>54882</v>
      </c>
      <c r="G9" s="5">
        <f>SUMIF(KeyRaces!$B$3:$B$9,CongressionalAnalysis!$C9,KeyRaces!F$3:F$9)</f>
        <v>0.56530000000000002</v>
      </c>
      <c r="H9" s="15">
        <f t="shared" si="6"/>
        <v>33854</v>
      </c>
      <c r="I9" s="13">
        <f>H9/SUM(H9:H12)</f>
        <v>0.53404215042907621</v>
      </c>
      <c r="J9" s="5">
        <f t="shared" si="9"/>
        <v>-3.1257849570923812E-2</v>
      </c>
      <c r="K9" s="8">
        <f>SUMIF(KeyRaces!$B$3:$B$9,CongressionalAnalysis!$C9,KeyRaces!K$3:K$9)</f>
        <v>62695</v>
      </c>
      <c r="L9" s="5">
        <f>SUMIF(KeyRaces!$B$3:$B$9,CongressionalAnalysis!$C9,KeyRaces!L$3:L$9)</f>
        <v>0.56199999999999994</v>
      </c>
      <c r="M9" s="6">
        <f t="shared" si="11"/>
        <v>-0.33000000000000806</v>
      </c>
      <c r="N9" s="8">
        <f>SUMIF(KeyRaces!$B$3:$B$9,CongressionalAnalysis!$C9,KeyRaces!N$3:N$9)</f>
        <v>7813</v>
      </c>
      <c r="O9" s="5">
        <f>SUMIF(KeyRaces!$B$3:$B$9,CongressionalAnalysis!$C9,KeyRaces!O$3:O$9)</f>
        <v>0.5401999999999999</v>
      </c>
      <c r="P9">
        <f>SUMIF(KeyRaces!$B$3:$B$9,CongressionalAnalysis!$C9,KeyRaces!P$3:P$9)</f>
        <v>81786</v>
      </c>
      <c r="Q9">
        <f>SUMIF(KeyRaces!$B$3:$B$9,CongressionalAnalysis!$C9,KeyRaces!Q$3:Q$9)</f>
        <v>0.55204114693017992</v>
      </c>
      <c r="R9" s="6">
        <f t="shared" si="14"/>
        <v>-1.3258853069820109</v>
      </c>
      <c r="S9">
        <f>SUMIF(KeyRaces!$B$3:$B$9,CongressionalAnalysis!$C9,KeyRaces!S$3:S$9)</f>
        <v>19091</v>
      </c>
      <c r="T9">
        <f>SUMIF(KeyRaces!$B$3:$B$9,CongressionalAnalysis!$C9,KeyRaces!T$3:T$9)</f>
        <v>0.52155502130914655</v>
      </c>
      <c r="U9">
        <f>SUMIF(KeyRaces!$B$3:$B$9,CongressionalAnalysis!$C9,KeyRaces!U$3:U$9)</f>
        <v>86654</v>
      </c>
      <c r="V9">
        <f>SUMIF(KeyRaces!$B$3:$B$9,CongressionalAnalysis!$C9,KeyRaces!V$3:V$9)</f>
        <v>0.55292593750598207</v>
      </c>
      <c r="W9">
        <f>SUMIF(KeyRaces!$B$3:$B$9,CongressionalAnalysis!$C9,KeyRaces!W$3:W$9)</f>
        <v>-1.24</v>
      </c>
      <c r="X9">
        <f>SUMIF(KeyRaces!$B$3:$B$9,CongressionalAnalysis!$C9,KeyRaces!X$3:X$9)</f>
        <v>4868</v>
      </c>
      <c r="Y9">
        <f>SUMIF(KeyRaces!$B$3:$B$9,CongressionalAnalysis!$C9,KeyRaces!Y$3:Y$9)</f>
        <v>0.56822691724057428</v>
      </c>
      <c r="Z9">
        <f>SUMIF(KeyRaces!$B$3:$B$9,CongressionalAnalysis!$C9,KeyRaces!Z$3:Z$9)</f>
        <v>88174</v>
      </c>
      <c r="AA9">
        <f>SUMIF(KeyRaces!$B$3:$B$9,CongressionalAnalysis!$C9,KeyRaces!AA$3:AA$9)</f>
        <v>0.55298839761680785</v>
      </c>
      <c r="AB9">
        <f>SUMIF(KeyRaces!$B$3:$B$9,CongressionalAnalysis!$C9,KeyRaces!AB$3:AB$9)</f>
        <v>-1.24</v>
      </c>
      <c r="AC9">
        <f>SUMIF(KeyRaces!$B$3:$B$9,CongressionalAnalysis!$C9,KeyRaces!AC$3:AC$9)</f>
        <v>1520</v>
      </c>
      <c r="AD9">
        <f>SUMIF(KeyRaces!$B$3:$B$9,CongressionalAnalysis!$C9,KeyRaces!AD$3:AD$9)</f>
        <v>0.55657268399853532</v>
      </c>
      <c r="AE9">
        <f>SUMIF(KeyRaces!$B$3:$B$9,CongressionalAnalysis!$C9,KeyRaces!AE$3:AE$9)</f>
        <v>88375</v>
      </c>
      <c r="AF9">
        <f>SUMIF(KeyRaces!$B$3:$B$9,CongressionalAnalysis!$C9,KeyRaces!AF$3:AF$9)</f>
        <v>0.55285168248328154</v>
      </c>
      <c r="AG9">
        <f>SUMIF(KeyRaces!$B$3:$B$9,CongressionalAnalysis!$C9,KeyRaces!AG$3:AG$9)</f>
        <v>-1.2400000000000002</v>
      </c>
      <c r="AH9">
        <f>SUMIF(KeyRaces!$B$3:$B$9,CongressionalAnalysis!$C9,KeyRaces!AH$3:AH$9)</f>
        <v>201</v>
      </c>
      <c r="AI9">
        <f>SUMIF(KeyRaces!$B$3:$B$9,CongressionalAnalysis!$C9,KeyRaces!AI$3:AI$9)</f>
        <v>0.4987593052109181</v>
      </c>
      <c r="AJ9">
        <f>SUMIF(KeyRaces!$B$3:$B$9,CongressionalAnalysis!$C9,KeyRaces!AJ$3:AJ$9)</f>
        <v>88736</v>
      </c>
      <c r="AK9">
        <f>SUMIF(KeyRaces!$B$3:$B$9,CongressionalAnalysis!$C9,KeyRaces!AK$3:AK$9)</f>
        <v>0.55262092630766069</v>
      </c>
      <c r="AL9">
        <f>SUMIF(KeyRaces!$B$3:$B$9,CongressionalAnalysis!$C9,KeyRaces!AL$3:AL$9)</f>
        <v>-1.27</v>
      </c>
      <c r="AM9">
        <f>SUMIF(KeyRaces!$B$3:$B$9,CongressionalAnalysis!$C9,KeyRaces!AM$3:AM$9)</f>
        <v>361</v>
      </c>
      <c r="AN9">
        <f>SUMIF(KeyRaces!$B$3:$B$9,CongressionalAnalysis!$C9,KeyRaces!AN$3:AN$9)</f>
        <v>0.50138888888888888</v>
      </c>
    </row>
    <row r="10" spans="2:40" x14ac:dyDescent="0.3">
      <c r="C10" t="s">
        <v>9</v>
      </c>
      <c r="D10" s="11">
        <f t="shared" si="4"/>
        <v>42088</v>
      </c>
      <c r="E10" s="12">
        <f t="shared" si="27"/>
        <v>0.26211131385724873</v>
      </c>
      <c r="F10" s="8">
        <f>SUMIF(KeyRaces!$B$3:$B$9,CongressionalAnalysis!$C10,KeyRaces!E$3:E$9)</f>
        <v>26389</v>
      </c>
      <c r="G10" s="5">
        <f>SUMIF(KeyRaces!$B$3:$B$9,CongressionalAnalysis!$C10,KeyRaces!F$3:F$9)</f>
        <v>0.27179999999999999</v>
      </c>
      <c r="H10" s="15">
        <f t="shared" si="6"/>
        <v>15699</v>
      </c>
      <c r="I10" s="13">
        <f>H10/SUM(H9:H12)</f>
        <v>0.24764954568399797</v>
      </c>
      <c r="J10" s="5">
        <f t="shared" si="9"/>
        <v>-2.4150454316002018E-2</v>
      </c>
      <c r="K10" s="8">
        <f>SUMIF(KeyRaces!$B$3:$B$9,CongressionalAnalysis!$C10,KeyRaces!K$3:K$9)</f>
        <v>30202</v>
      </c>
      <c r="L10" s="5">
        <f>SUMIF(KeyRaces!$B$3:$B$9,CongressionalAnalysis!$C10,KeyRaces!L$3:L$9)</f>
        <v>0.27079999999999999</v>
      </c>
      <c r="M10" s="6">
        <f t="shared" si="11"/>
        <v>-0.10000000000000009</v>
      </c>
      <c r="N10" s="8">
        <f>SUMIF(KeyRaces!$B$3:$B$9,CongressionalAnalysis!$C10,KeyRaces!N$3:N$9)</f>
        <v>3813</v>
      </c>
      <c r="O10" s="5">
        <f>SUMIF(KeyRaces!$B$3:$B$9,CongressionalAnalysis!$C10,KeyRaces!O$3:O$9)</f>
        <v>0.26369999999999999</v>
      </c>
      <c r="P10">
        <f>SUMIF(KeyRaces!$B$3:$B$9,CongressionalAnalysis!$C10,KeyRaces!P$3:P$9)</f>
        <v>39700</v>
      </c>
      <c r="Q10">
        <f>SUMIF(KeyRaces!$B$3:$B$9,CongressionalAnalysis!$C10,KeyRaces!Q$3:Q$9)</f>
        <v>0.2679680328311464</v>
      </c>
      <c r="R10" s="6">
        <f t="shared" si="14"/>
        <v>-0.38319671688535895</v>
      </c>
      <c r="S10">
        <f>SUMIF(KeyRaces!$B$3:$B$9,CongressionalAnalysis!$C10,KeyRaces!S$3:S$9)</f>
        <v>9498</v>
      </c>
      <c r="T10">
        <f>SUMIF(KeyRaces!$B$3:$B$9,CongressionalAnalysis!$C10,KeyRaces!T$3:T$9)</f>
        <v>0.25947983826904164</v>
      </c>
      <c r="U10">
        <f>SUMIF(KeyRaces!$B$3:$B$9,CongressionalAnalysis!$C10,KeyRaces!U$3:U$9)</f>
        <v>41269</v>
      </c>
      <c r="V10">
        <f>SUMIF(KeyRaces!$B$3:$B$9,CongressionalAnalysis!$C10,KeyRaces!V$3:V$9)</f>
        <v>0.26333118511475956</v>
      </c>
      <c r="W10">
        <f>SUMIF(KeyRaces!$B$3:$B$9,CongressionalAnalysis!$C10,KeyRaces!W$3:W$9)</f>
        <v>-0.85</v>
      </c>
      <c r="X10">
        <f>SUMIF(KeyRaces!$B$3:$B$9,CongressionalAnalysis!$C10,KeyRaces!X$3:X$9)</f>
        <v>1569</v>
      </c>
      <c r="Y10">
        <f>SUMIF(KeyRaces!$B$3:$B$9,CongressionalAnalysis!$C10,KeyRaces!Y$3:Y$9)</f>
        <v>0.18314462472277343</v>
      </c>
      <c r="Z10">
        <f>SUMIF(KeyRaces!$B$3:$B$9,CongressionalAnalysis!$C10,KeyRaces!Z$3:Z$9)</f>
        <v>41865</v>
      </c>
      <c r="AA10">
        <f>SUMIF(KeyRaces!$B$3:$B$9,CongressionalAnalysis!$C10,KeyRaces!AA$3:AA$9)</f>
        <v>0.26255879586077141</v>
      </c>
      <c r="AB10">
        <f>SUMIF(KeyRaces!$B$3:$B$9,CongressionalAnalysis!$C10,KeyRaces!AB$3:AB$9)</f>
        <v>-0.92</v>
      </c>
      <c r="AC10">
        <f>SUMIF(KeyRaces!$B$3:$B$9,CongressionalAnalysis!$C10,KeyRaces!AC$3:AC$9)</f>
        <v>596</v>
      </c>
      <c r="AD10">
        <f>SUMIF(KeyRaces!$B$3:$B$9,CongressionalAnalysis!$C10,KeyRaces!AD$3:AD$9)</f>
        <v>0.21823507872574149</v>
      </c>
      <c r="AE10">
        <f>SUMIF(KeyRaces!$B$3:$B$9,CongressionalAnalysis!$C10,KeyRaces!AE$3:AE$9)</f>
        <v>41944</v>
      </c>
      <c r="AF10">
        <f>SUMIF(KeyRaces!$B$3:$B$9,CongressionalAnalysis!$C10,KeyRaces!AF$3:AF$9)</f>
        <v>0.26239107179721372</v>
      </c>
      <c r="AG10">
        <f>SUMIF(KeyRaces!$B$3:$B$9,CongressionalAnalysis!$C10,KeyRaces!AG$3:AG$9)</f>
        <v>-0.94</v>
      </c>
      <c r="AH10">
        <f>SUMIF(KeyRaces!$B$3:$B$9,CongressionalAnalysis!$C10,KeyRaces!AH$3:AH$9)</f>
        <v>79</v>
      </c>
      <c r="AI10">
        <f>SUMIF(KeyRaces!$B$3:$B$9,CongressionalAnalysis!$C10,KeyRaces!AI$3:AI$9)</f>
        <v>0.19602977667493796</v>
      </c>
      <c r="AJ10">
        <f>SUMIF(KeyRaces!$B$3:$B$9,CongressionalAnalysis!$C10,KeyRaces!AJ$3:AJ$9)</f>
        <v>42088</v>
      </c>
      <c r="AK10">
        <f>SUMIF(KeyRaces!$B$3:$B$9,CongressionalAnalysis!$C10,KeyRaces!AK$3:AK$9)</f>
        <v>0.26211131385724873</v>
      </c>
      <c r="AL10">
        <f>SUMIF(KeyRaces!$B$3:$B$9,CongressionalAnalysis!$C10,KeyRaces!AL$3:AL$9)</f>
        <v>-0.97</v>
      </c>
      <c r="AM10">
        <f>SUMIF(KeyRaces!$B$3:$B$9,CongressionalAnalysis!$C10,KeyRaces!AM$3:AM$9)</f>
        <v>144</v>
      </c>
      <c r="AN10">
        <f>SUMIF(KeyRaces!$B$3:$B$9,CongressionalAnalysis!$C10,KeyRaces!AN$3:AN$9)</f>
        <v>0.2</v>
      </c>
    </row>
    <row r="11" spans="2:40" x14ac:dyDescent="0.3">
      <c r="C11" t="s">
        <v>282</v>
      </c>
      <c r="D11" s="11">
        <f t="shared" si="4"/>
        <v>17505</v>
      </c>
      <c r="E11" s="12">
        <f t="shared" si="27"/>
        <v>0.10901583703362333</v>
      </c>
      <c r="F11" s="8">
        <f>SUMIF(KeyRaces!$B$3:$B$9,CongressionalAnalysis!$C11,KeyRaces!E$3:E$9)</f>
        <v>8922</v>
      </c>
      <c r="G11" s="5">
        <f>SUMIF(KeyRaces!$B$3:$B$9,CongressionalAnalysis!$C11,KeyRaces!F$3:F$9)</f>
        <v>9.1900000000000009E-2</v>
      </c>
      <c r="H11" s="15">
        <f t="shared" si="6"/>
        <v>8583</v>
      </c>
      <c r="I11" s="13">
        <f>H11/SUM(H9:H12)</f>
        <v>0.13539563351842504</v>
      </c>
      <c r="J11" s="5">
        <f t="shared" si="9"/>
        <v>4.3495633518425031E-2</v>
      </c>
      <c r="K11" s="8">
        <f>SUMIF(KeyRaces!$B$3:$B$9,CongressionalAnalysis!$C11,KeyRaces!K$3:K$9)</f>
        <v>10619</v>
      </c>
      <c r="L11" s="5">
        <f>SUMIF(KeyRaces!$B$3:$B$9,CongressionalAnalysis!$C11,KeyRaces!L$3:L$9)</f>
        <v>9.5200000000000007E-2</v>
      </c>
      <c r="M11" s="6">
        <f t="shared" si="11"/>
        <v>0.32999999999999974</v>
      </c>
      <c r="N11" s="8">
        <f>SUMIF(KeyRaces!$B$3:$B$9,CongressionalAnalysis!$C11,KeyRaces!N$3:N$9)</f>
        <v>1697</v>
      </c>
      <c r="O11" s="5">
        <f>SUMIF(KeyRaces!$B$3:$B$9,CongressionalAnalysis!$C11,KeyRaces!O$3:O$9)</f>
        <v>0.11729999999999999</v>
      </c>
      <c r="P11">
        <f>SUMIF(KeyRaces!$B$3:$B$9,CongressionalAnalysis!$C11,KeyRaces!P$3:P$9)</f>
        <v>15540</v>
      </c>
      <c r="Q11">
        <f>SUMIF(KeyRaces!$B$3:$B$9,CongressionalAnalysis!$C11,KeyRaces!Q$3:Q$9)</f>
        <v>0.10489227280090718</v>
      </c>
      <c r="R11" s="6">
        <f t="shared" si="14"/>
        <v>1.2992272800907174</v>
      </c>
      <c r="S11">
        <f>SUMIF(KeyRaces!$B$3:$B$9,CongressionalAnalysis!$C11,KeyRaces!S$3:S$9)</f>
        <v>4921</v>
      </c>
      <c r="T11">
        <f>SUMIF(KeyRaces!$B$3:$B$9,CongressionalAnalysis!$C11,KeyRaces!T$3:T$9)</f>
        <v>0.13443885914107748</v>
      </c>
      <c r="U11">
        <f>SUMIF(KeyRaces!$B$3:$B$9,CongressionalAnalysis!$C11,KeyRaces!U$3:U$9)</f>
        <v>16896</v>
      </c>
      <c r="V11">
        <f>SUMIF(KeyRaces!$B$3:$B$9,CongressionalAnalysis!$C11,KeyRaces!V$3:V$9)</f>
        <v>0.10781079511737568</v>
      </c>
      <c r="W11">
        <f>SUMIF(KeyRaces!$B$3:$B$9,CongressionalAnalysis!$C11,KeyRaces!W$3:W$9)</f>
        <v>1.58</v>
      </c>
      <c r="X11">
        <f>SUMIF(KeyRaces!$B$3:$B$9,CongressionalAnalysis!$C11,KeyRaces!X$3:X$9)</f>
        <v>1356</v>
      </c>
      <c r="Y11">
        <f>SUMIF(KeyRaces!$B$3:$B$9,CongressionalAnalysis!$C11,KeyRaces!Y$3:Y$9)</f>
        <v>0.15828177891910822</v>
      </c>
      <c r="Z11">
        <f>SUMIF(KeyRaces!$B$3:$B$9,CongressionalAnalysis!$C11,KeyRaces!Z$3:Z$9)</f>
        <v>17273</v>
      </c>
      <c r="AA11">
        <f>SUMIF(KeyRaces!$B$3:$B$9,CongressionalAnalysis!$C11,KeyRaces!AA$3:AA$9)</f>
        <v>0.10832862966447163</v>
      </c>
      <c r="AB11">
        <f>SUMIF(KeyRaces!$B$3:$B$9,CongressionalAnalysis!$C11,KeyRaces!AB$3:AB$9)</f>
        <v>1.6400000000000001</v>
      </c>
      <c r="AC11">
        <f>SUMIF(KeyRaces!$B$3:$B$9,CongressionalAnalysis!$C11,KeyRaces!AC$3:AC$9)</f>
        <v>377</v>
      </c>
      <c r="AD11">
        <f>SUMIF(KeyRaces!$B$3:$B$9,CongressionalAnalysis!$C11,KeyRaces!AD$3:AD$9)</f>
        <v>0.13804467228121567</v>
      </c>
      <c r="AE11">
        <f>SUMIF(KeyRaces!$B$3:$B$9,CongressionalAnalysis!$C11,KeyRaces!AE$3:AE$9)</f>
        <v>17346</v>
      </c>
      <c r="AF11">
        <f>SUMIF(KeyRaces!$B$3:$B$9,CongressionalAnalysis!$C11,KeyRaces!AF$3:AF$9)</f>
        <v>0.10851219557968884</v>
      </c>
      <c r="AG11">
        <f>SUMIF(KeyRaces!$B$3:$B$9,CongressionalAnalysis!$C11,KeyRaces!AG$3:AG$9)</f>
        <v>1.66</v>
      </c>
      <c r="AH11">
        <f>SUMIF(KeyRaces!$B$3:$B$9,CongressionalAnalysis!$C11,KeyRaces!AH$3:AH$9)</f>
        <v>73</v>
      </c>
      <c r="AI11">
        <f>SUMIF(KeyRaces!$B$3:$B$9,CongressionalAnalysis!$C11,KeyRaces!AI$3:AI$9)</f>
        <v>0.18114143920595535</v>
      </c>
      <c r="AJ11">
        <f>SUMIF(KeyRaces!$B$3:$B$9,CongressionalAnalysis!$C11,KeyRaces!AJ$3:AJ$9)</f>
        <v>17505</v>
      </c>
      <c r="AK11">
        <f>SUMIF(KeyRaces!$B$3:$B$9,CongressionalAnalysis!$C11,KeyRaces!AK$3:AK$9)</f>
        <v>0.10901583703362333</v>
      </c>
      <c r="AL11">
        <f>SUMIF(KeyRaces!$B$3:$B$9,CongressionalAnalysis!$C11,KeyRaces!AL$3:AL$9)</f>
        <v>1.72</v>
      </c>
      <c r="AM11">
        <f>SUMIF(KeyRaces!$B$3:$B$9,CongressionalAnalysis!$C11,KeyRaces!AM$3:AM$9)</f>
        <v>159</v>
      </c>
      <c r="AN11">
        <f>SUMIF(KeyRaces!$B$3:$B$9,CongressionalAnalysis!$C11,KeyRaces!AN$3:AN$9)</f>
        <v>0.22083333333333335</v>
      </c>
    </row>
    <row r="12" spans="2:40" x14ac:dyDescent="0.3">
      <c r="C12" t="s">
        <v>11</v>
      </c>
      <c r="D12" s="11">
        <f t="shared" si="4"/>
        <v>12023</v>
      </c>
      <c r="E12" s="12">
        <f t="shared" si="27"/>
        <v>7.4875601751228413E-2</v>
      </c>
      <c r="F12" s="8">
        <f>SUMIF(KeyRaces!$B$3:$B$9,CongressionalAnalysis!$C12,KeyRaces!E$3:E$9)</f>
        <v>6767</v>
      </c>
      <c r="G12" s="5">
        <f>SUMIF(KeyRaces!$B$3:$B$9,CongressionalAnalysis!$C12,KeyRaces!F$3:F$9)</f>
        <v>6.9699999999999998E-2</v>
      </c>
      <c r="H12" s="15">
        <f t="shared" si="6"/>
        <v>5256</v>
      </c>
      <c r="I12" s="13">
        <f>H12/SUM(H9:H12)</f>
        <v>8.2912670368500752E-2</v>
      </c>
      <c r="J12" s="5">
        <f t="shared" si="9"/>
        <v>1.3212670368500753E-2</v>
      </c>
      <c r="K12" s="8">
        <f>SUMIF(KeyRaces!$B$3:$B$9,CongressionalAnalysis!$C12,KeyRaces!K$3:K$9)</f>
        <v>7898</v>
      </c>
      <c r="L12" s="5">
        <f>SUMIF(KeyRaces!$B$3:$B$9,CongressionalAnalysis!$C12,KeyRaces!L$3:L$9)</f>
        <v>7.0800000000000002E-2</v>
      </c>
      <c r="M12" s="6">
        <f t="shared" si="11"/>
        <v>0.11000000000000038</v>
      </c>
      <c r="N12" s="8">
        <f>SUMIF(KeyRaces!$B$3:$B$9,CongressionalAnalysis!$C12,KeyRaces!N$3:N$9)</f>
        <v>1131</v>
      </c>
      <c r="O12" s="5">
        <f>SUMIF(KeyRaces!$B$3:$B$9,CongressionalAnalysis!$C12,KeyRaces!O$3:O$9)</f>
        <v>7.8200000000000006E-2</v>
      </c>
      <c r="P12">
        <f>SUMIF(KeyRaces!$B$3:$B$9,CongressionalAnalysis!$C12,KeyRaces!P$3:P$9)</f>
        <v>10917</v>
      </c>
      <c r="Q12">
        <f>SUMIF(KeyRaces!$B$3:$B$9,CongressionalAnalysis!$C12,KeyRaces!Q$3:Q$9)</f>
        <v>7.3687834116312981E-2</v>
      </c>
      <c r="R12" s="6">
        <f t="shared" si="14"/>
        <v>0.39878341163129827</v>
      </c>
      <c r="S12">
        <f>SUMIF(KeyRaces!$B$3:$B$9,CongressionalAnalysis!$C12,KeyRaces!S$3:S$9)</f>
        <v>3019</v>
      </c>
      <c r="T12">
        <f>SUMIF(KeyRaces!$B$3:$B$9,CongressionalAnalysis!$C12,KeyRaces!T$3:T$9)</f>
        <v>8.2477324882526501E-2</v>
      </c>
      <c r="U12">
        <f>SUMIF(KeyRaces!$B$3:$B$9,CongressionalAnalysis!$C12,KeyRaces!U$3:U$9)</f>
        <v>11689</v>
      </c>
      <c r="V12">
        <f>SUMIF(KeyRaces!$B$3:$B$9,CongressionalAnalysis!$C12,KeyRaces!V$3:V$9)</f>
        <v>7.4585723492365322E-2</v>
      </c>
      <c r="W12">
        <f>SUMIF(KeyRaces!$B$3:$B$9,CongressionalAnalysis!$C12,KeyRaces!W$3:W$9)</f>
        <v>0.49</v>
      </c>
      <c r="X12">
        <f>SUMIF(KeyRaces!$B$3:$B$9,CongressionalAnalysis!$C12,KeyRaces!X$3:X$9)</f>
        <v>772</v>
      </c>
      <c r="Y12">
        <f>SUMIF(KeyRaces!$B$3:$B$9,CongressionalAnalysis!$C12,KeyRaces!Y$3:Y$9)</f>
        <v>9.0113225166335936E-2</v>
      </c>
      <c r="Z12">
        <f>SUMIF(KeyRaces!$B$3:$B$9,CongressionalAnalysis!$C12,KeyRaces!Z$3:Z$9)</f>
        <v>11920</v>
      </c>
      <c r="AA12">
        <f>SUMIF(KeyRaces!$B$3:$B$9,CongressionalAnalysis!$C12,KeyRaces!AA$3:AA$9)</f>
        <v>7.4756977108811545E-2</v>
      </c>
      <c r="AB12">
        <f>SUMIF(KeyRaces!$B$3:$B$9,CongressionalAnalysis!$C12,KeyRaces!AB$3:AB$9)</f>
        <v>0.51</v>
      </c>
      <c r="AC12">
        <f>SUMIF(KeyRaces!$B$3:$B$9,CongressionalAnalysis!$C12,KeyRaces!AC$3:AC$9)</f>
        <v>231</v>
      </c>
      <c r="AD12">
        <f>SUMIF(KeyRaces!$B$3:$B$9,CongressionalAnalysis!$C12,KeyRaces!AD$3:AD$9)</f>
        <v>8.4584401318198457E-2</v>
      </c>
      <c r="AE12">
        <f>SUMIF(KeyRaces!$B$3:$B$9,CongressionalAnalysis!$C12,KeyRaces!AE$3:AE$9)</f>
        <v>11967</v>
      </c>
      <c r="AF12">
        <f>SUMIF(KeyRaces!$B$3:$B$9,CongressionalAnalysis!$C12,KeyRaces!AF$3:AF$9)</f>
        <v>7.4862529949391007E-2</v>
      </c>
      <c r="AG12">
        <f>SUMIF(KeyRaces!$B$3:$B$9,CongressionalAnalysis!$C12,KeyRaces!AG$3:AG$9)</f>
        <v>0.52</v>
      </c>
      <c r="AH12">
        <f>SUMIF(KeyRaces!$B$3:$B$9,CongressionalAnalysis!$C12,KeyRaces!AH$3:AH$9)</f>
        <v>47</v>
      </c>
      <c r="AI12">
        <f>SUMIF(KeyRaces!$B$3:$B$9,CongressionalAnalysis!$C12,KeyRaces!AI$3:AI$9)</f>
        <v>0.11662531017369727</v>
      </c>
      <c r="AJ12">
        <f>SUMIF(KeyRaces!$B$3:$B$9,CongressionalAnalysis!$C12,KeyRaces!AJ$3:AJ$9)</f>
        <v>12023</v>
      </c>
      <c r="AK12">
        <f>SUMIF(KeyRaces!$B$3:$B$9,CongressionalAnalysis!$C12,KeyRaces!AK$3:AK$9)</f>
        <v>7.4875601751228413E-2</v>
      </c>
      <c r="AL12">
        <f>SUMIF(KeyRaces!$B$3:$B$9,CongressionalAnalysis!$C12,KeyRaces!AL$3:AL$9)</f>
        <v>0.52</v>
      </c>
      <c r="AM12">
        <f>SUMIF(KeyRaces!$B$3:$B$9,CongressionalAnalysis!$C12,KeyRaces!AM$3:AM$9)</f>
        <v>56</v>
      </c>
      <c r="AN12">
        <f>SUMIF(KeyRaces!$B$3:$B$9,CongressionalAnalysis!$C12,KeyRaces!AN$3:AN$9)</f>
        <v>7.7777777777777779E-2</v>
      </c>
    </row>
    <row r="13" spans="2:40" x14ac:dyDescent="0.3">
      <c r="B13" s="2" t="s">
        <v>285</v>
      </c>
      <c r="C13" t="s">
        <v>281</v>
      </c>
      <c r="D13" s="11">
        <f t="shared" si="4"/>
        <v>212654</v>
      </c>
      <c r="F13" s="8">
        <f>KeyRaces!E10</f>
        <v>125339</v>
      </c>
      <c r="G13" s="5" t="str">
        <f>KeyRaces!F10</f>
        <v/>
      </c>
      <c r="H13" s="15">
        <f t="shared" si="6"/>
        <v>87315</v>
      </c>
      <c r="I13" s="15"/>
      <c r="K13" s="8">
        <f>KeyRaces!K10</f>
        <v>155944</v>
      </c>
      <c r="L13" s="5" t="str">
        <f>KeyRaces!L10</f>
        <v/>
      </c>
      <c r="M13" s="6"/>
      <c r="N13" s="8">
        <f>KeyRaces!N10</f>
        <v>30605</v>
      </c>
      <c r="O13" s="1" t="str">
        <f>KeyRaces!O10</f>
        <v/>
      </c>
      <c r="P13">
        <f>KeyRaces!P10</f>
        <v>190784</v>
      </c>
      <c r="Q13" t="str">
        <f>KeyRaces!Q10</f>
        <v/>
      </c>
      <c r="R13" s="6"/>
      <c r="S13">
        <f>KeyRaces!S10</f>
        <v>34840</v>
      </c>
      <c r="T13" t="str">
        <f>KeyRaces!T10</f>
        <v/>
      </c>
      <c r="U13">
        <f>KeyRaces!U10</f>
        <v>199931</v>
      </c>
      <c r="V13" t="str">
        <f>KeyRaces!V10</f>
        <v/>
      </c>
      <c r="W13" t="str">
        <f>KeyRaces!W10</f>
        <v/>
      </c>
      <c r="X13">
        <f>KeyRaces!X10</f>
        <v>9147</v>
      </c>
      <c r="Y13" t="str">
        <f>KeyRaces!Y10</f>
        <v/>
      </c>
      <c r="Z13">
        <f>KeyRaces!Z10</f>
        <v>209866</v>
      </c>
      <c r="AA13">
        <f>KeyRaces!AA10</f>
        <v>0</v>
      </c>
      <c r="AB13">
        <f>KeyRaces!AB10</f>
        <v>0</v>
      </c>
      <c r="AC13">
        <f>KeyRaces!AC10</f>
        <v>9935</v>
      </c>
      <c r="AD13">
        <f>KeyRaces!AD10</f>
        <v>0</v>
      </c>
      <c r="AE13">
        <f>KeyRaces!AE10</f>
        <v>210539</v>
      </c>
      <c r="AF13">
        <f>KeyRaces!AF10</f>
        <v>0</v>
      </c>
      <c r="AG13">
        <f>KeyRaces!AG10</f>
        <v>0</v>
      </c>
      <c r="AH13">
        <f>KeyRaces!AH10</f>
        <v>673</v>
      </c>
      <c r="AI13">
        <f>KeyRaces!AI10</f>
        <v>0</v>
      </c>
      <c r="AJ13">
        <f>KeyRaces!AJ10</f>
        <v>212654</v>
      </c>
      <c r="AK13">
        <f>KeyRaces!AK10</f>
        <v>0</v>
      </c>
      <c r="AL13">
        <f>KeyRaces!AL10</f>
        <v>0</v>
      </c>
      <c r="AM13">
        <f>KeyRaces!AM10</f>
        <v>2115</v>
      </c>
      <c r="AN13">
        <f>KeyRaces!AN10</f>
        <v>0</v>
      </c>
    </row>
    <row r="14" spans="2:40" x14ac:dyDescent="0.3">
      <c r="C14" t="s">
        <v>8</v>
      </c>
      <c r="D14" s="11">
        <f t="shared" si="4"/>
        <v>88708</v>
      </c>
      <c r="E14" s="12">
        <f t="shared" si="27"/>
        <v>0.42340699727936615</v>
      </c>
      <c r="F14" s="8">
        <f>SUMIF(KeyRaces!$B$11:$B$14,CongressionalAnalysis!$C9,KeyRaces!E$11:E$14)</f>
        <v>55387</v>
      </c>
      <c r="G14" s="5">
        <f>SUMIF(KeyRaces!$B$11:$B$14,CongressionalAnalysis!$C9,KeyRaces!F$11:F$14)</f>
        <v>0.44850000000000001</v>
      </c>
      <c r="H14" s="15">
        <f t="shared" si="6"/>
        <v>33321</v>
      </c>
      <c r="I14" s="13">
        <f>H14/SUM(H14:H17)</f>
        <v>0.38771497056154153</v>
      </c>
      <c r="J14" s="5">
        <f t="shared" si="9"/>
        <v>-6.0785029438458482E-2</v>
      </c>
      <c r="K14" s="8">
        <f>SUMIF(KeyRaces!$B$11:$B$14,CongressionalAnalysis!$C9,KeyRaces!K$11:K$14)</f>
        <v>67544</v>
      </c>
      <c r="L14" s="5">
        <f>SUMIF(KeyRaces!$B$11:$B$14,CongressionalAnalysis!$C9,KeyRaces!L$11:L$14)</f>
        <v>0.44</v>
      </c>
      <c r="M14" s="6">
        <f t="shared" si="11"/>
        <v>-0.85000000000000075</v>
      </c>
      <c r="N14" s="8">
        <f>SUMIF(KeyRaces!$B$11:$B$14,CongressionalAnalysis!$C9,KeyRaces!N$11:N$14)</f>
        <v>12157</v>
      </c>
      <c r="O14" s="1">
        <f>SUMIF(KeyRaces!$B$11:$B$14,CongressionalAnalysis!$C9,KeyRaces!O$11:O$14)</f>
        <v>0.40500000000000003</v>
      </c>
      <c r="P14">
        <f>SUMIF(KeyRaces!$B$11:$B$14,CongressionalAnalysis!$C9,KeyRaces!P$11:P$14)</f>
        <v>80452</v>
      </c>
      <c r="Q14">
        <f>SUMIF(KeyRaces!$B$11:$B$14,CongressionalAnalysis!$C9,KeyRaces!Q$11:Q$14)</f>
        <v>0.4288006140037629</v>
      </c>
      <c r="R14" s="6">
        <f t="shared" si="14"/>
        <v>-1.9699385996237107</v>
      </c>
      <c r="S14">
        <f>SUMIF(KeyRaces!$B$11:$B$14,CongressionalAnalysis!$C9,KeyRaces!S$11:S$14)</f>
        <v>12908</v>
      </c>
      <c r="T14">
        <f>SUMIF(KeyRaces!$B$11:$B$14,CongressionalAnalysis!$C9,KeyRaces!T$11:T$14)</f>
        <v>0.37836728711710393</v>
      </c>
      <c r="U14">
        <f>SUMIF(KeyRaces!$B$11:$B$14,CongressionalAnalysis!$C9,KeyRaces!U$11:U$14)</f>
        <v>84273</v>
      </c>
      <c r="V14">
        <f>SUMIF(KeyRaces!$B$11:$B$14,CongressionalAnalysis!$C9,KeyRaces!V$11:V$14)</f>
        <v>0.42774698501644537</v>
      </c>
      <c r="W14">
        <f>SUMIF(KeyRaces!$B$11:$B$14,CongressionalAnalysis!$C9,KeyRaces!W$11:W$14)</f>
        <v>-2.08</v>
      </c>
      <c r="X14">
        <f>SUMIF(KeyRaces!$B$11:$B$14,CongressionalAnalysis!$C9,KeyRaces!X$11:X$14)</f>
        <v>3821</v>
      </c>
      <c r="Y14">
        <f>SUMIF(KeyRaces!$B$11:$B$14,CongressionalAnalysis!$C9,KeyRaces!Y$11:Y$14)</f>
        <v>0.40670569451836081</v>
      </c>
      <c r="Z14">
        <f>SUMIF(KeyRaces!$B$11:$B$14,CongressionalAnalysis!$C9,KeyRaces!Z$11:Z$14)</f>
        <v>87790</v>
      </c>
      <c r="AA14">
        <f>SUMIF(KeyRaces!$B$11:$B$14,CongressionalAnalysis!$C9,KeyRaces!AA$11:AA$14)</f>
        <v>0.42450617731679602</v>
      </c>
      <c r="AB14">
        <f>SUMIF(KeyRaces!$B$11:$B$14,CongressionalAnalysis!$C9,KeyRaces!AB$11:AB$14)</f>
        <v>-2.4</v>
      </c>
      <c r="AC14">
        <f>SUMIF(KeyRaces!$B$11:$B$14,CongressionalAnalysis!$C9,KeyRaces!AC$11:AC$14)</f>
        <v>3517</v>
      </c>
      <c r="AD14">
        <f>SUMIF(KeyRaces!$B$11:$B$14,CongressionalAnalysis!$C9,KeyRaces!AD$11:AD$14)</f>
        <v>0.35928082541628359</v>
      </c>
      <c r="AE14">
        <f>SUMIF(KeyRaces!$B$11:$B$14,CongressionalAnalysis!$C9,KeyRaces!AE$11:AE$14)</f>
        <v>88017</v>
      </c>
      <c r="AF14">
        <f>SUMIF(KeyRaces!$B$11:$B$14,CongressionalAnalysis!$C9,KeyRaces!AF$11:AF$14)</f>
        <v>0.42421715723367442</v>
      </c>
      <c r="AG14">
        <f>SUMIF(KeyRaces!$B$11:$B$14,CongressionalAnalysis!$C9,KeyRaces!AG$11:AG$14)</f>
        <v>-2.4300000000000002</v>
      </c>
      <c r="AH14">
        <f>SUMIF(KeyRaces!$B$11:$B$14,CongressionalAnalysis!$C9,KeyRaces!AH$11:AH$14)</f>
        <v>227</v>
      </c>
      <c r="AI14">
        <f>SUMIF(KeyRaces!$B$11:$B$14,CongressionalAnalysis!$C9,KeyRaces!AI$11:AI$14)</f>
        <v>0.33579881656804733</v>
      </c>
      <c r="AJ14">
        <f>SUMIF(KeyRaces!$B$11:$B$14,CongressionalAnalysis!$C9,KeyRaces!AJ$11:AJ$14)</f>
        <v>88708</v>
      </c>
      <c r="AK14">
        <f>SUMIF(KeyRaces!$B$11:$B$14,CongressionalAnalysis!$C9,KeyRaces!AK$11:AK$14)</f>
        <v>0.42340699727936615</v>
      </c>
      <c r="AL14">
        <f>SUMIF(KeyRaces!$B$11:$B$14,CongressionalAnalysis!$C9,KeyRaces!AL$11:AL$14)</f>
        <v>-2.5099999999999998</v>
      </c>
      <c r="AM14">
        <f>SUMIF(KeyRaces!$B$11:$B$14,CongressionalAnalysis!$C9,KeyRaces!AM$11:AM$14)</f>
        <v>691</v>
      </c>
      <c r="AN14">
        <f>SUMIF(KeyRaces!$B$11:$B$14,CongressionalAnalysis!$C9,KeyRaces!AN$11:AN$14)</f>
        <v>0.34056185312962051</v>
      </c>
    </row>
    <row r="15" spans="2:40" x14ac:dyDescent="0.3">
      <c r="C15" t="s">
        <v>9</v>
      </c>
      <c r="D15" s="11">
        <f t="shared" si="4"/>
        <v>68713</v>
      </c>
      <c r="E15" s="12">
        <f t="shared" si="27"/>
        <v>0.32797002529712188</v>
      </c>
      <c r="F15" s="8">
        <f>SUMIF(KeyRaces!$B$11:$B$14,CongressionalAnalysis!$C10,KeyRaces!E$11:E$14)</f>
        <v>40602</v>
      </c>
      <c r="G15" s="5">
        <f>SUMIF(KeyRaces!$B$11:$B$14,CongressionalAnalysis!$C10,KeyRaces!F$11:F$14)</f>
        <v>0.32880000000000004</v>
      </c>
      <c r="H15" s="15">
        <f t="shared" si="6"/>
        <v>28111</v>
      </c>
      <c r="I15" s="13">
        <f>H15/SUM(H14:H17)</f>
        <v>0.32709269041911987</v>
      </c>
      <c r="J15" s="5">
        <f t="shared" si="9"/>
        <v>-1.7073095808801675E-3</v>
      </c>
      <c r="K15" s="8">
        <f>SUMIF(KeyRaces!$B$11:$B$14,CongressionalAnalysis!$C10,KeyRaces!K$11:K$14)</f>
        <v>49728</v>
      </c>
      <c r="L15" s="5">
        <f>SUMIF(KeyRaces!$B$11:$B$14,CongressionalAnalysis!$C10,KeyRaces!L$11:L$14)</f>
        <v>0.32390000000000002</v>
      </c>
      <c r="M15" s="6">
        <f t="shared" si="11"/>
        <v>-0.49000000000000155</v>
      </c>
      <c r="N15" s="8">
        <f>SUMIF(KeyRaces!$B$11:$B$14,CongressionalAnalysis!$C10,KeyRaces!N$11:N$14)</f>
        <v>9126</v>
      </c>
      <c r="O15" s="1">
        <f>SUMIF(KeyRaces!$B$11:$B$14,CongressionalAnalysis!$C10,KeyRaces!O$11:O$14)</f>
        <v>0.30409999999999998</v>
      </c>
      <c r="P15">
        <f>SUMIF(KeyRaces!$B$11:$B$14,CongressionalAnalysis!$C10,KeyRaces!P$11:P$14)</f>
        <v>60591</v>
      </c>
      <c r="Q15">
        <f>SUMIF(KeyRaces!$B$11:$B$14,CongressionalAnalysis!$C10,KeyRaces!Q$11:Q$14)</f>
        <v>0.32294359373417686</v>
      </c>
      <c r="R15" s="6">
        <f t="shared" si="14"/>
        <v>-0.58564062658231775</v>
      </c>
      <c r="S15">
        <f>SUMIF(KeyRaces!$B$11:$B$14,CongressionalAnalysis!$C10,KeyRaces!S$11:S$14)</f>
        <v>10863</v>
      </c>
      <c r="T15">
        <f>SUMIF(KeyRaces!$B$11:$B$14,CongressionalAnalysis!$C10,KeyRaces!T$11:T$14)</f>
        <v>0.3184229810933607</v>
      </c>
      <c r="U15">
        <f>SUMIF(KeyRaces!$B$11:$B$14,CongressionalAnalysis!$C10,KeyRaces!U$11:U$14)</f>
        <v>63680</v>
      </c>
      <c r="V15">
        <f>SUMIF(KeyRaces!$B$11:$B$14,CongressionalAnalysis!$C10,KeyRaces!V$11:V$14)</f>
        <v>0.32322247939253662</v>
      </c>
      <c r="W15">
        <f>SUMIF(KeyRaces!$B$11:$B$14,CongressionalAnalysis!$C10,KeyRaces!W$11:W$14)</f>
        <v>-0.56000000000000005</v>
      </c>
      <c r="X15">
        <f>SUMIF(KeyRaces!$B$11:$B$14,CongressionalAnalysis!$C10,KeyRaces!X$11:X$14)</f>
        <v>3089</v>
      </c>
      <c r="Y15">
        <f>SUMIF(KeyRaces!$B$11:$B$14,CongressionalAnalysis!$C10,KeyRaces!Y$11:Y$14)</f>
        <v>0.32879191059073976</v>
      </c>
      <c r="Z15">
        <f>SUMIF(KeyRaces!$B$11:$B$14,CongressionalAnalysis!$C10,KeyRaces!Z$11:Z$14)</f>
        <v>67671</v>
      </c>
      <c r="AA15">
        <f>SUMIF(KeyRaces!$B$11:$B$14,CongressionalAnalysis!$C10,KeyRaces!AA$11:AA$14)</f>
        <v>0.32722129542322476</v>
      </c>
      <c r="AB15">
        <f>SUMIF(KeyRaces!$B$11:$B$14,CongressionalAnalysis!$C10,KeyRaces!AB$11:AB$14)</f>
        <v>-0.16</v>
      </c>
      <c r="AC15">
        <f>SUMIF(KeyRaces!$B$11:$B$14,CongressionalAnalysis!$C10,KeyRaces!AC$11:AC$14)</f>
        <v>3991</v>
      </c>
      <c r="AD15">
        <f>SUMIF(KeyRaces!$B$11:$B$14,CongressionalAnalysis!$C10,KeyRaces!AD$11:AD$14)</f>
        <v>0.40770252324037187</v>
      </c>
      <c r="AE15">
        <f>SUMIF(KeyRaces!$B$11:$B$14,CongressionalAnalysis!$C10,KeyRaces!AE$11:AE$14)</f>
        <v>67963</v>
      </c>
      <c r="AF15">
        <f>SUMIF(KeyRaces!$B$11:$B$14,CongressionalAnalysis!$C10,KeyRaces!AF$11:AF$14)</f>
        <v>0.32756252379735978</v>
      </c>
      <c r="AG15">
        <f>SUMIF(KeyRaces!$B$11:$B$14,CongressionalAnalysis!$C10,KeyRaces!AG$11:AG$14)</f>
        <v>-0.12</v>
      </c>
      <c r="AH15">
        <f>SUMIF(KeyRaces!$B$11:$B$14,CongressionalAnalysis!$C10,KeyRaces!AH$11:AH$14)</f>
        <v>292</v>
      </c>
      <c r="AI15">
        <f>SUMIF(KeyRaces!$B$11:$B$14,CongressionalAnalysis!$C10,KeyRaces!AI$11:AI$14)</f>
        <v>0.43195266272189348</v>
      </c>
      <c r="AJ15">
        <f>SUMIF(KeyRaces!$B$11:$B$14,CongressionalAnalysis!$C10,KeyRaces!AJ$11:AJ$14)</f>
        <v>68713</v>
      </c>
      <c r="AK15">
        <f>SUMIF(KeyRaces!$B$11:$B$14,CongressionalAnalysis!$C10,KeyRaces!AK$11:AK$14)</f>
        <v>0.32797002529712188</v>
      </c>
      <c r="AL15">
        <f>SUMIF(KeyRaces!$B$11:$B$14,CongressionalAnalysis!$C10,KeyRaces!AL$11:AL$14)</f>
        <v>-0.08</v>
      </c>
      <c r="AM15">
        <f>SUMIF(KeyRaces!$B$11:$B$14,CongressionalAnalysis!$C10,KeyRaces!AM$11:AM$14)</f>
        <v>750</v>
      </c>
      <c r="AN15">
        <f>SUMIF(KeyRaces!$B$11:$B$14,CongressionalAnalysis!$C10,KeyRaces!AN$11:AN$14)</f>
        <v>0.36964021685559389</v>
      </c>
    </row>
    <row r="16" spans="2:40" x14ac:dyDescent="0.3">
      <c r="C16" t="s">
        <v>282</v>
      </c>
      <c r="D16" s="11">
        <f t="shared" si="4"/>
        <v>51908</v>
      </c>
      <c r="E16" s="12">
        <f t="shared" si="27"/>
        <v>0.24775905684692856</v>
      </c>
      <c r="F16" s="8">
        <f>SUMIF(KeyRaces!$B$11:$B$14,CongressionalAnalysis!$C11,KeyRaces!E$11:E$14)</f>
        <v>27398</v>
      </c>
      <c r="G16" s="5">
        <f>SUMIF(KeyRaces!$B$11:$B$14,CongressionalAnalysis!$C11,KeyRaces!F$11:F$14)</f>
        <v>0.2218</v>
      </c>
      <c r="H16" s="15">
        <f t="shared" si="6"/>
        <v>24510</v>
      </c>
      <c r="I16" s="13">
        <f>H16/SUM(H14:H17)</f>
        <v>0.2851923390193386</v>
      </c>
      <c r="J16" s="5">
        <f t="shared" si="9"/>
        <v>6.3392339019338606E-2</v>
      </c>
      <c r="K16" s="8">
        <f>SUMIF(KeyRaces!$B$11:$B$14,CongressionalAnalysis!$C11,KeyRaces!K$11:K$14)</f>
        <v>36118</v>
      </c>
      <c r="L16" s="5">
        <f>SUMIF(KeyRaces!$B$11:$B$14,CongressionalAnalysis!$C11,KeyRaces!L$11:L$14)</f>
        <v>0.23530000000000001</v>
      </c>
      <c r="M16" s="6">
        <f t="shared" si="11"/>
        <v>1.3500000000000012</v>
      </c>
      <c r="N16" s="8">
        <f>SUMIF(KeyRaces!$B$11:$B$14,CongressionalAnalysis!$C11,KeyRaces!N$11:N$14)</f>
        <v>8720</v>
      </c>
      <c r="O16" s="1">
        <f>SUMIF(KeyRaces!$B$11:$B$14,CongressionalAnalysis!$C11,KeyRaces!O$11:O$14)</f>
        <v>0.29049999999999998</v>
      </c>
      <c r="P16">
        <f>SUMIF(KeyRaces!$B$11:$B$14,CongressionalAnalysis!$C11,KeyRaces!P$11:P$14)</f>
        <v>46432</v>
      </c>
      <c r="Q16">
        <f>SUMIF(KeyRaces!$B$11:$B$14,CongressionalAnalysis!$C11,KeyRaces!Q$11:Q$14)</f>
        <v>0.24747762777087851</v>
      </c>
      <c r="R16" s="6">
        <f t="shared" si="14"/>
        <v>2.5677627770878511</v>
      </c>
      <c r="S16">
        <f>SUMIF(KeyRaces!$B$11:$B$14,CongressionalAnalysis!$C11,KeyRaces!S$11:S$14)</f>
        <v>10314</v>
      </c>
      <c r="T16">
        <f>SUMIF(KeyRaces!$B$11:$B$14,CongressionalAnalysis!$C11,KeyRaces!T$11:T$14)</f>
        <v>0.30233035321705992</v>
      </c>
      <c r="U16">
        <f>SUMIF(KeyRaces!$B$11:$B$14,CongressionalAnalysis!$C11,KeyRaces!U$11:U$14)</f>
        <v>48898</v>
      </c>
      <c r="V16">
        <f>SUMIF(KeyRaces!$B$11:$B$14,CongressionalAnalysis!$C11,KeyRaces!V$11:V$14)</f>
        <v>0.2481930401591749</v>
      </c>
      <c r="W16">
        <f>SUMIF(KeyRaces!$B$11:$B$14,CongressionalAnalysis!$C11,KeyRaces!W$11:W$14)</f>
        <v>2.64</v>
      </c>
      <c r="X16">
        <f>SUMIF(KeyRaces!$B$11:$B$14,CongressionalAnalysis!$C11,KeyRaces!X$11:X$14)</f>
        <v>2466</v>
      </c>
      <c r="Y16">
        <f>SUMIF(KeyRaces!$B$11:$B$14,CongressionalAnalysis!$C11,KeyRaces!Y$11:Y$14)</f>
        <v>0.26248004257583823</v>
      </c>
      <c r="Z16">
        <f>SUMIF(KeyRaces!$B$11:$B$14,CongressionalAnalysis!$C11,KeyRaces!Z$11:Z$14)</f>
        <v>51168</v>
      </c>
      <c r="AA16">
        <f>SUMIF(KeyRaces!$B$11:$B$14,CongressionalAnalysis!$C11,KeyRaces!AA$11:AA$14)</f>
        <v>0.24742148400667294</v>
      </c>
      <c r="AB16">
        <f>SUMIF(KeyRaces!$B$11:$B$14,CongressionalAnalysis!$C11,KeyRaces!AB$11:AB$14)</f>
        <v>2.56</v>
      </c>
      <c r="AC16">
        <f>SUMIF(KeyRaces!$B$11:$B$14,CongressionalAnalysis!$C11,KeyRaces!AC$11:AC$14)</f>
        <v>2270</v>
      </c>
      <c r="AD16">
        <f>SUMIF(KeyRaces!$B$11:$B$14,CongressionalAnalysis!$C11,KeyRaces!AD$11:AD$14)</f>
        <v>0.23189294105628766</v>
      </c>
      <c r="AE16">
        <f>SUMIF(KeyRaces!$B$11:$B$14,CongressionalAnalysis!$C11,KeyRaces!AE$11:AE$14)</f>
        <v>51323</v>
      </c>
      <c r="AF16">
        <f>SUMIF(KeyRaces!$B$11:$B$14,CongressionalAnalysis!$C11,KeyRaces!AF$11:AF$14)</f>
        <v>0.24736240908806109</v>
      </c>
      <c r="AG16">
        <f>SUMIF(KeyRaces!$B$11:$B$14,CongressionalAnalysis!$C11,KeyRaces!AG$11:AG$14)</f>
        <v>2.56</v>
      </c>
      <c r="AH16">
        <f>SUMIF(KeyRaces!$B$11:$B$14,CongressionalAnalysis!$C11,KeyRaces!AH$11:AH$14)</f>
        <v>155</v>
      </c>
      <c r="AI16">
        <f>SUMIF(KeyRaces!$B$11:$B$14,CongressionalAnalysis!$C11,KeyRaces!AI$11:AI$14)</f>
        <v>0.22928994082840237</v>
      </c>
      <c r="AJ16">
        <f>SUMIF(KeyRaces!$B$11:$B$14,CongressionalAnalysis!$C11,KeyRaces!AJ$11:AJ$14)</f>
        <v>51908</v>
      </c>
      <c r="AK16">
        <f>SUMIF(KeyRaces!$B$11:$B$14,CongressionalAnalysis!$C11,KeyRaces!AK$11:AK$14)</f>
        <v>0.24775905684692856</v>
      </c>
      <c r="AL16">
        <f>SUMIF(KeyRaces!$B$11:$B$14,CongressionalAnalysis!$C11,KeyRaces!AL$11:AL$14)</f>
        <v>2.6</v>
      </c>
      <c r="AM16">
        <f>SUMIF(KeyRaces!$B$11:$B$14,CongressionalAnalysis!$C11,KeyRaces!AM$11:AM$14)</f>
        <v>585</v>
      </c>
      <c r="AN16">
        <f>SUMIF(KeyRaces!$B$11:$B$14,CongressionalAnalysis!$C11,KeyRaces!AN$11:AN$14)</f>
        <v>0.28831936914736322</v>
      </c>
    </row>
    <row r="17" spans="2:40" x14ac:dyDescent="0.3">
      <c r="C17" t="s">
        <v>11</v>
      </c>
      <c r="D17" s="11">
        <f t="shared" si="4"/>
        <v>0</v>
      </c>
      <c r="E17" s="12">
        <f t="shared" si="27"/>
        <v>0</v>
      </c>
      <c r="F17" s="8">
        <f>SUMIF(KeyRaces!$B$11:$B$14,CongressionalAnalysis!$C12,KeyRaces!E$11:E$14)</f>
        <v>0</v>
      </c>
      <c r="G17" s="5">
        <f>SUMIF(KeyRaces!$B$11:$B$14,CongressionalAnalysis!$C12,KeyRaces!F$11:F$14)</f>
        <v>0</v>
      </c>
      <c r="H17" s="15">
        <f t="shared" si="6"/>
        <v>0</v>
      </c>
      <c r="I17" s="13">
        <f>H17/SUM(H14:H17)</f>
        <v>0</v>
      </c>
      <c r="J17" s="5">
        <f t="shared" si="9"/>
        <v>0</v>
      </c>
      <c r="K17" s="8">
        <f>SUMIF(KeyRaces!$B$11:$B$14,CongressionalAnalysis!$C12,KeyRaces!K$11:K$14)</f>
        <v>0</v>
      </c>
      <c r="L17" s="5">
        <f>SUMIF(KeyRaces!$B$11:$B$14,CongressionalAnalysis!$C12,KeyRaces!L$11:L$14)</f>
        <v>0</v>
      </c>
      <c r="M17" s="6">
        <f t="shared" si="11"/>
        <v>0</v>
      </c>
      <c r="N17" s="8">
        <f>SUMIF(KeyRaces!$B$11:$B$14,CongressionalAnalysis!$C12,KeyRaces!N$11:N$14)</f>
        <v>0</v>
      </c>
      <c r="O17" s="1">
        <f>SUMIF(KeyRaces!$B$11:$B$14,CongressionalAnalysis!$C12,KeyRaces!O$11:O$14)</f>
        <v>0</v>
      </c>
      <c r="P17">
        <f>SUMIF(KeyRaces!$B$11:$B$14,CongressionalAnalysis!$C12,KeyRaces!P$11:P$14)</f>
        <v>0</v>
      </c>
      <c r="Q17">
        <f>SUMIF(KeyRaces!$B$11:$B$14,CongressionalAnalysis!$C12,KeyRaces!Q$11:Q$14)</f>
        <v>0</v>
      </c>
      <c r="R17" s="6">
        <f t="shared" si="14"/>
        <v>0</v>
      </c>
      <c r="S17">
        <f>SUMIF(KeyRaces!$B$11:$B$14,CongressionalAnalysis!$C12,KeyRaces!S$11:S$14)</f>
        <v>0</v>
      </c>
      <c r="T17">
        <f>SUMIF(KeyRaces!$B$11:$B$14,CongressionalAnalysis!$C12,KeyRaces!T$11:T$14)</f>
        <v>0</v>
      </c>
      <c r="U17">
        <f>SUMIF(KeyRaces!$B$11:$B$14,CongressionalAnalysis!$C12,KeyRaces!U$11:U$14)</f>
        <v>0</v>
      </c>
      <c r="V17">
        <f>SUMIF(KeyRaces!$B$11:$B$14,CongressionalAnalysis!$C12,KeyRaces!V$11:V$14)</f>
        <v>0</v>
      </c>
      <c r="W17">
        <f>SUMIF(KeyRaces!$B$11:$B$14,CongressionalAnalysis!$C12,KeyRaces!W$11:W$14)</f>
        <v>0</v>
      </c>
      <c r="X17">
        <f>SUMIF(KeyRaces!$B$11:$B$14,CongressionalAnalysis!$C12,KeyRaces!X$11:X$14)</f>
        <v>0</v>
      </c>
      <c r="Y17">
        <f>SUMIF(KeyRaces!$B$11:$B$14,CongressionalAnalysis!$C12,KeyRaces!Y$11:Y$14)</f>
        <v>0</v>
      </c>
      <c r="Z17">
        <f>SUMIF(KeyRaces!$B$11:$B$14,CongressionalAnalysis!$C12,KeyRaces!Z$11:Z$14)</f>
        <v>0</v>
      </c>
      <c r="AA17">
        <f>SUMIF(KeyRaces!$B$11:$B$14,CongressionalAnalysis!$C12,KeyRaces!AA$11:AA$14)</f>
        <v>0</v>
      </c>
      <c r="AB17">
        <f>SUMIF(KeyRaces!$B$11:$B$14,CongressionalAnalysis!$C12,KeyRaces!AB$11:AB$14)</f>
        <v>0</v>
      </c>
      <c r="AC17">
        <f>SUMIF(KeyRaces!$B$11:$B$14,CongressionalAnalysis!$C12,KeyRaces!AC$11:AC$14)</f>
        <v>0</v>
      </c>
      <c r="AD17">
        <f>SUMIF(KeyRaces!$B$11:$B$14,CongressionalAnalysis!$C12,KeyRaces!AD$11:AD$14)</f>
        <v>0</v>
      </c>
      <c r="AE17">
        <f>SUMIF(KeyRaces!$B$11:$B$14,CongressionalAnalysis!$C12,KeyRaces!AE$11:AE$14)</f>
        <v>0</v>
      </c>
      <c r="AF17">
        <f>SUMIF(KeyRaces!$B$11:$B$14,CongressionalAnalysis!$C12,KeyRaces!AF$11:AF$14)</f>
        <v>0</v>
      </c>
      <c r="AG17">
        <f>SUMIF(KeyRaces!$B$11:$B$14,CongressionalAnalysis!$C12,KeyRaces!AG$11:AG$14)</f>
        <v>0</v>
      </c>
      <c r="AH17">
        <f>SUMIF(KeyRaces!$B$11:$B$14,CongressionalAnalysis!$C12,KeyRaces!AH$11:AH$14)</f>
        <v>0</v>
      </c>
      <c r="AI17">
        <f>SUMIF(KeyRaces!$B$11:$B$14,CongressionalAnalysis!$C12,KeyRaces!AI$11:AI$14)</f>
        <v>0</v>
      </c>
      <c r="AJ17">
        <f>SUMIF(KeyRaces!$B$11:$B$14,CongressionalAnalysis!$C12,KeyRaces!AJ$11:AJ$14)</f>
        <v>0</v>
      </c>
      <c r="AK17">
        <f>SUMIF(KeyRaces!$B$11:$B$14,CongressionalAnalysis!$C12,KeyRaces!AK$11:AK$14)</f>
        <v>0</v>
      </c>
      <c r="AL17">
        <f>SUMIF(KeyRaces!$B$11:$B$14,CongressionalAnalysis!$C12,KeyRaces!AL$11:AL$14)</f>
        <v>0</v>
      </c>
      <c r="AM17">
        <f>SUMIF(KeyRaces!$B$11:$B$14,CongressionalAnalysis!$C12,KeyRaces!AM$11:AM$14)</f>
        <v>0</v>
      </c>
      <c r="AN17">
        <f>SUMIF(KeyRaces!$B$11:$B$14,CongressionalAnalysis!$C12,KeyRaces!AN$11:AN$14)</f>
        <v>0</v>
      </c>
    </row>
    <row r="18" spans="2:40" x14ac:dyDescent="0.3">
      <c r="B18" s="2" t="s">
        <v>286</v>
      </c>
      <c r="C18" t="s">
        <v>281</v>
      </c>
      <c r="D18" s="11">
        <f t="shared" si="4"/>
        <v>216864</v>
      </c>
      <c r="F18" s="8">
        <f>KeyRaces!E15</f>
        <v>140669</v>
      </c>
      <c r="G18" s="5" t="str">
        <f>KeyRaces!F15</f>
        <v/>
      </c>
      <c r="H18" s="15">
        <f t="shared" si="6"/>
        <v>76195</v>
      </c>
      <c r="I18" s="15"/>
      <c r="K18" s="8">
        <f>KeyRaces!K15</f>
        <v>175609</v>
      </c>
      <c r="L18" s="5" t="str">
        <f>KeyRaces!L15</f>
        <v/>
      </c>
      <c r="M18" s="6"/>
      <c r="N18" s="8">
        <f>KeyRaces!N15</f>
        <v>34940</v>
      </c>
      <c r="O18" s="1" t="str">
        <f>KeyRaces!O15</f>
        <v/>
      </c>
      <c r="P18">
        <f>KeyRaces!P15</f>
        <v>206503</v>
      </c>
      <c r="Q18" t="str">
        <f>KeyRaces!Q15</f>
        <v/>
      </c>
      <c r="R18" s="6"/>
      <c r="S18">
        <f>KeyRaces!S15</f>
        <v>30894</v>
      </c>
      <c r="T18" t="str">
        <f>KeyRaces!T15</f>
        <v/>
      </c>
      <c r="U18">
        <f>KeyRaces!U15</f>
        <v>210175</v>
      </c>
      <c r="V18" t="str">
        <f>KeyRaces!V15</f>
        <v/>
      </c>
      <c r="W18" t="str">
        <f>KeyRaces!W15</f>
        <v/>
      </c>
      <c r="X18">
        <f>KeyRaces!X15</f>
        <v>3672</v>
      </c>
      <c r="Y18" t="str">
        <f>KeyRaces!Y15</f>
        <v/>
      </c>
      <c r="Z18">
        <f>KeyRaces!Z15</f>
        <v>214816</v>
      </c>
      <c r="AA18">
        <f>KeyRaces!AA15</f>
        <v>0</v>
      </c>
      <c r="AB18">
        <f>KeyRaces!AB15</f>
        <v>0</v>
      </c>
      <c r="AC18">
        <f>KeyRaces!AC15</f>
        <v>4641</v>
      </c>
      <c r="AD18">
        <f>KeyRaces!AD15</f>
        <v>0</v>
      </c>
      <c r="AE18">
        <f>KeyRaces!AE15</f>
        <v>215333</v>
      </c>
      <c r="AF18">
        <f>KeyRaces!AF15</f>
        <v>0</v>
      </c>
      <c r="AG18">
        <f>KeyRaces!AG15</f>
        <v>0</v>
      </c>
      <c r="AH18">
        <f>KeyRaces!AH15</f>
        <v>517</v>
      </c>
      <c r="AI18">
        <f>KeyRaces!AI15</f>
        <v>0</v>
      </c>
      <c r="AJ18">
        <f>KeyRaces!AJ15</f>
        <v>216864</v>
      </c>
      <c r="AK18">
        <f>KeyRaces!AK15</f>
        <v>0</v>
      </c>
      <c r="AL18">
        <f>KeyRaces!AL15</f>
        <v>0</v>
      </c>
      <c r="AM18">
        <f>KeyRaces!AM15</f>
        <v>1531</v>
      </c>
      <c r="AN18">
        <f>KeyRaces!AN15</f>
        <v>0</v>
      </c>
    </row>
    <row r="19" spans="2:40" x14ac:dyDescent="0.3">
      <c r="C19" t="s">
        <v>8</v>
      </c>
      <c r="D19" s="11">
        <f t="shared" si="4"/>
        <v>81739</v>
      </c>
      <c r="E19" s="12">
        <f t="shared" si="27"/>
        <v>0.38108358858879854</v>
      </c>
      <c r="F19" s="8">
        <f>SUMIF(KeyRaces!$B$16:$B$24,CongressionalAnalysis!$C14,KeyRaces!E$16:E$24)</f>
        <v>56513</v>
      </c>
      <c r="G19" s="5">
        <f>SUMIF(KeyRaces!$B$16:$B$24,CongressionalAnalysis!$C14,KeyRaces!F$16:F$24)</f>
        <v>0.40609999999999996</v>
      </c>
      <c r="H19" s="15">
        <f t="shared" si="6"/>
        <v>25226</v>
      </c>
      <c r="I19" s="13">
        <f>H19/SUM(H19:H22)</f>
        <v>0.33515352013498612</v>
      </c>
      <c r="J19" s="5">
        <f t="shared" si="9"/>
        <v>-7.0946479865013845E-2</v>
      </c>
      <c r="K19" s="8">
        <f>SUMIF(KeyRaces!$B$16:$B$24,CongressionalAnalysis!$C14,KeyRaces!K$16:K$24)</f>
        <v>68179</v>
      </c>
      <c r="L19" s="5">
        <f>SUMIF(KeyRaces!$B$16:$B$24,CongressionalAnalysis!$C14,KeyRaces!L$16:L$24)</f>
        <v>0.39229999999999998</v>
      </c>
      <c r="M19" s="6">
        <f t="shared" si="11"/>
        <v>-1.3799999999999979</v>
      </c>
      <c r="N19" s="8">
        <f>SUMIF(KeyRaces!$B$16:$B$24,CongressionalAnalysis!$C14,KeyRaces!N$16:N$24)</f>
        <v>11666</v>
      </c>
      <c r="O19" s="1">
        <f>SUMIF(KeyRaces!$B$16:$B$24,CongressionalAnalysis!$C14,KeyRaces!O$16:O$24)</f>
        <v>0.33680000000000004</v>
      </c>
      <c r="P19">
        <f>SUMIF(KeyRaces!$B$16:$B$24,CongressionalAnalysis!$C14,KeyRaces!P$16:P$24)</f>
        <v>78533</v>
      </c>
      <c r="Q19">
        <f>SUMIF(KeyRaces!$B$16:$B$24,CongressionalAnalysis!$C14,KeyRaces!Q$16:Q$24)</f>
        <v>0.38420481008199442</v>
      </c>
      <c r="R19" s="6">
        <f t="shared" si="14"/>
        <v>-2.1895189918005542</v>
      </c>
      <c r="S19">
        <f>SUMIF(KeyRaces!$B$16:$B$24,CongressionalAnalysis!$C14,KeyRaces!S$16:S$24)</f>
        <v>10354</v>
      </c>
      <c r="T19">
        <f>SUMIF(KeyRaces!$B$16:$B$24,CongressionalAnalysis!$C14,KeyRaces!T$16:T$24)</f>
        <v>0.33839918946301922</v>
      </c>
      <c r="U19">
        <f>SUMIF(KeyRaces!$B$16:$B$24,CongressionalAnalysis!$C14,KeyRaces!U$16:U$24)</f>
        <v>79527</v>
      </c>
      <c r="V19">
        <f>SUMIF(KeyRaces!$B$16:$B$24,CongressionalAnalysis!$C14,KeyRaces!V$16:V$24)</f>
        <v>0.38233766983009781</v>
      </c>
      <c r="W19">
        <f>SUMIF(KeyRaces!$B$16:$B$24,CongressionalAnalysis!$C14,KeyRaces!W$16:W$24)</f>
        <v>-2.38</v>
      </c>
      <c r="X19">
        <f>SUMIF(KeyRaces!$B$16:$B$24,CongressionalAnalysis!$C14,KeyRaces!X$16:X$24)</f>
        <v>994</v>
      </c>
      <c r="Y19">
        <f>SUMIF(KeyRaces!$B$16:$B$24,CongressionalAnalysis!$C14,KeyRaces!Y$16:Y$24)</f>
        <v>0.27626459143968879</v>
      </c>
      <c r="Z19">
        <f>SUMIF(KeyRaces!$B$16:$B$24,CongressionalAnalysis!$C14,KeyRaces!Z$16:Z$24)</f>
        <v>81124</v>
      </c>
      <c r="AA19">
        <f>SUMIF(KeyRaces!$B$16:$B$24,CongressionalAnalysis!$C14,KeyRaces!AA$16:AA$24)</f>
        <v>0.38175281406467643</v>
      </c>
      <c r="AB19">
        <f>SUMIF(KeyRaces!$B$16:$B$24,CongressionalAnalysis!$C14,KeyRaces!AB$16:AB$24)</f>
        <v>-2.4300000000000002</v>
      </c>
      <c r="AC19">
        <f>SUMIF(KeyRaces!$B$16:$B$24,CongressionalAnalysis!$C14,KeyRaces!AC$16:AC$24)</f>
        <v>1597</v>
      </c>
      <c r="AD19">
        <f>SUMIF(KeyRaces!$B$16:$B$24,CongressionalAnalysis!$C14,KeyRaces!AD$16:AD$24)</f>
        <v>0.35473123056419364</v>
      </c>
      <c r="AE19">
        <f>SUMIF(KeyRaces!$B$16:$B$24,CongressionalAnalysis!$C14,KeyRaces!AE$16:AE$24)</f>
        <v>81284</v>
      </c>
      <c r="AF19">
        <f>SUMIF(KeyRaces!$B$16:$B$24,CongressionalAnalysis!$C14,KeyRaces!AF$16:AF$24)</f>
        <v>0.38161681510241835</v>
      </c>
      <c r="AG19">
        <f>SUMIF(KeyRaces!$B$16:$B$24,CongressionalAnalysis!$C14,KeyRaces!AG$16:AG$24)</f>
        <v>-2.4500000000000002</v>
      </c>
      <c r="AH19">
        <f>SUMIF(KeyRaces!$B$16:$B$24,CongressionalAnalysis!$C14,KeyRaces!AH$16:AH$24)</f>
        <v>160</v>
      </c>
      <c r="AI19">
        <f>SUMIF(KeyRaces!$B$16:$B$24,CongressionalAnalysis!$C14,KeyRaces!AI$16:AI$24)</f>
        <v>0.32323232323232326</v>
      </c>
      <c r="AJ19">
        <f>SUMIF(KeyRaces!$B$16:$B$24,CongressionalAnalysis!$C14,KeyRaces!AJ$16:AJ$24)</f>
        <v>81739</v>
      </c>
      <c r="AK19">
        <f>SUMIF(KeyRaces!$B$16:$B$24,CongressionalAnalysis!$C14,KeyRaces!AK$16:AK$24)</f>
        <v>0.38108358858879854</v>
      </c>
      <c r="AL19">
        <f>SUMIF(KeyRaces!$B$16:$B$24,CongressionalAnalysis!$C14,KeyRaces!AL$16:AL$24)</f>
        <v>-2.5</v>
      </c>
      <c r="AM19">
        <f>SUMIF(KeyRaces!$B$16:$B$24,CongressionalAnalysis!$C14,KeyRaces!AM$16:AM$24)</f>
        <v>455</v>
      </c>
      <c r="AN19">
        <f>SUMIF(KeyRaces!$B$16:$B$24,CongressionalAnalysis!$C14,KeyRaces!AN$16:AN$24)</f>
        <v>0.30495978552278824</v>
      </c>
    </row>
    <row r="20" spans="2:40" x14ac:dyDescent="0.3">
      <c r="C20" t="s">
        <v>9</v>
      </c>
      <c r="D20" s="11">
        <f t="shared" si="4"/>
        <v>91893</v>
      </c>
      <c r="E20" s="12">
        <f t="shared" si="27"/>
        <v>0.42842357021972949</v>
      </c>
      <c r="F20" s="8">
        <f>SUMIF(KeyRaces!$B$16:$B$24,CongressionalAnalysis!$C15,KeyRaces!E$16:E$24)</f>
        <v>58392</v>
      </c>
      <c r="G20" s="5">
        <f>SUMIF(KeyRaces!$B$16:$B$24,CongressionalAnalysis!$C15,KeyRaces!F$16:F$24)</f>
        <v>0.41959999999999997</v>
      </c>
      <c r="H20" s="15">
        <f t="shared" si="6"/>
        <v>33501</v>
      </c>
      <c r="I20" s="13">
        <f>H20/SUM(H19:H22)</f>
        <v>0.44509546016182389</v>
      </c>
      <c r="J20" s="5">
        <f t="shared" si="9"/>
        <v>2.5495460161823913E-2</v>
      </c>
      <c r="K20" s="8">
        <f>SUMIF(KeyRaces!$B$16:$B$24,CongressionalAnalysis!$C15,KeyRaces!K$16:K$24)</f>
        <v>73781</v>
      </c>
      <c r="L20" s="5">
        <f>SUMIF(KeyRaces!$B$16:$B$24,CongressionalAnalysis!$C15,KeyRaces!L$16:L$24)</f>
        <v>0.42449999999999999</v>
      </c>
      <c r="M20" s="6">
        <f t="shared" si="11"/>
        <v>0.49000000000000155</v>
      </c>
      <c r="N20" s="8">
        <f>SUMIF(KeyRaces!$B$16:$B$24,CongressionalAnalysis!$C15,KeyRaces!N$16:N$24)</f>
        <v>15389</v>
      </c>
      <c r="O20" s="1">
        <f>SUMIF(KeyRaces!$B$16:$B$24,CongressionalAnalysis!$C15,KeyRaces!O$16:O$24)</f>
        <v>0.44440000000000002</v>
      </c>
      <c r="P20">
        <f>SUMIF(KeyRaces!$B$16:$B$24,CongressionalAnalysis!$C15,KeyRaces!P$16:P$24)</f>
        <v>86786</v>
      </c>
      <c r="Q20">
        <f>SUMIF(KeyRaces!$B$16:$B$24,CongressionalAnalysis!$C15,KeyRaces!Q$16:Q$24)</f>
        <v>0.42458073227529797</v>
      </c>
      <c r="R20" s="6">
        <f t="shared" si="14"/>
        <v>0.49807322752979943</v>
      </c>
      <c r="S20">
        <f>SUMIF(KeyRaces!$B$16:$B$24,CongressionalAnalysis!$C15,KeyRaces!S$16:S$24)</f>
        <v>13005</v>
      </c>
      <c r="T20">
        <f>SUMIF(KeyRaces!$B$16:$B$24,CongressionalAnalysis!$C15,KeyRaces!T$16:T$24)</f>
        <v>0.42504167075203453</v>
      </c>
      <c r="U20">
        <f>SUMIF(KeyRaces!$B$16:$B$24,CongressionalAnalysis!$C15,KeyRaces!U$16:U$24)</f>
        <v>88754</v>
      </c>
      <c r="V20">
        <f>SUMIF(KeyRaces!$B$16:$B$24,CongressionalAnalysis!$C15,KeyRaces!V$16:V$24)</f>
        <v>0.42669782021326719</v>
      </c>
      <c r="W20">
        <f>SUMIF(KeyRaces!$B$16:$B$24,CongressionalAnalysis!$C15,KeyRaces!W$16:W$24)</f>
        <v>0.71000000000000008</v>
      </c>
      <c r="X20">
        <f>SUMIF(KeyRaces!$B$16:$B$24,CongressionalAnalysis!$C15,KeyRaces!X$16:X$24)</f>
        <v>1968</v>
      </c>
      <c r="Y20">
        <f>SUMIF(KeyRaces!$B$16:$B$24,CongressionalAnalysis!$C15,KeyRaces!Y$16:Y$24)</f>
        <v>0.54697053918843808</v>
      </c>
      <c r="Z20">
        <f>SUMIF(KeyRaces!$B$16:$B$24,CongressionalAnalysis!$C15,KeyRaces!Z$16:Z$24)</f>
        <v>90873</v>
      </c>
      <c r="AA20">
        <f>SUMIF(KeyRaces!$B$16:$B$24,CongressionalAnalysis!$C15,KeyRaces!AA$16:AA$24)</f>
        <v>0.42762959756051649</v>
      </c>
      <c r="AB20">
        <f>SUMIF(KeyRaces!$B$16:$B$24,CongressionalAnalysis!$C15,KeyRaces!AB$16:AB$24)</f>
        <v>0.8</v>
      </c>
      <c r="AC20">
        <f>SUMIF(KeyRaces!$B$16:$B$24,CongressionalAnalysis!$C15,KeyRaces!AC$16:AC$24)</f>
        <v>2119</v>
      </c>
      <c r="AD20">
        <f>SUMIF(KeyRaces!$B$16:$B$24,CongressionalAnalysis!$C15,KeyRaces!AD$16:AD$24)</f>
        <v>0.47067969791203912</v>
      </c>
      <c r="AE20">
        <f>SUMIF(KeyRaces!$B$16:$B$24,CongressionalAnalysis!$C15,KeyRaces!AE$16:AE$24)</f>
        <v>91097</v>
      </c>
      <c r="AF20">
        <f>SUMIF(KeyRaces!$B$16:$B$24,CongressionalAnalysis!$C15,KeyRaces!AF$16:AF$24)</f>
        <v>0.42768745393170859</v>
      </c>
      <c r="AG20">
        <f>SUMIF(KeyRaces!$B$16:$B$24,CongressionalAnalysis!$C15,KeyRaces!AG$16:AG$24)</f>
        <v>0.81</v>
      </c>
      <c r="AH20">
        <f>SUMIF(KeyRaces!$B$16:$B$24,CongressionalAnalysis!$C15,KeyRaces!AH$16:AH$24)</f>
        <v>224</v>
      </c>
      <c r="AI20">
        <f>SUMIF(KeyRaces!$B$16:$B$24,CongressionalAnalysis!$C15,KeyRaces!AI$16:AI$24)</f>
        <v>0.4525252525252525</v>
      </c>
      <c r="AJ20">
        <f>SUMIF(KeyRaces!$B$16:$B$24,CongressionalAnalysis!$C15,KeyRaces!AJ$16:AJ$24)</f>
        <v>91893</v>
      </c>
      <c r="AK20">
        <f>SUMIF(KeyRaces!$B$16:$B$24,CongressionalAnalysis!$C15,KeyRaces!AK$16:AK$24)</f>
        <v>0.42842357021972949</v>
      </c>
      <c r="AL20">
        <f>SUMIF(KeyRaces!$B$16:$B$24,CongressionalAnalysis!$C15,KeyRaces!AL$16:AL$24)</f>
        <v>0.87999999999999989</v>
      </c>
      <c r="AM20">
        <f>SUMIF(KeyRaces!$B$16:$B$24,CongressionalAnalysis!$C15,KeyRaces!AM$16:AM$24)</f>
        <v>796</v>
      </c>
      <c r="AN20">
        <f>SUMIF(KeyRaces!$B$16:$B$24,CongressionalAnalysis!$C15,KeyRaces!AN$16:AN$24)</f>
        <v>0.53351206434316345</v>
      </c>
    </row>
    <row r="21" spans="2:40" x14ac:dyDescent="0.3">
      <c r="C21" t="s">
        <v>282</v>
      </c>
      <c r="D21" s="11">
        <f t="shared" si="4"/>
        <v>35820</v>
      </c>
      <c r="E21" s="12">
        <f t="shared" si="27"/>
        <v>0.16700001398660083</v>
      </c>
      <c r="F21" s="8">
        <f>SUMIF(KeyRaces!$B$16:$B$24,CongressionalAnalysis!$C16,KeyRaces!E$16:E$24)</f>
        <v>21290</v>
      </c>
      <c r="G21" s="5">
        <f>SUMIF(KeyRaces!$B$16:$B$24,CongressionalAnalysis!$C16,KeyRaces!F$16:F$24)</f>
        <v>0.153</v>
      </c>
      <c r="H21" s="15">
        <f t="shared" si="6"/>
        <v>14530</v>
      </c>
      <c r="I21" s="13">
        <f>H21/SUM(H19:H22)</f>
        <v>0.19304608925558345</v>
      </c>
      <c r="J21" s="5">
        <f t="shared" si="9"/>
        <v>4.004608925558345E-2</v>
      </c>
      <c r="K21" s="8">
        <f>SUMIF(KeyRaces!$B$16:$B$24,CongressionalAnalysis!$C16,KeyRaces!K$16:K$24)</f>
        <v>28062</v>
      </c>
      <c r="L21" s="5">
        <f>SUMIF(KeyRaces!$B$16:$B$24,CongressionalAnalysis!$C16,KeyRaces!L$16:L$24)</f>
        <v>0.16149999999999998</v>
      </c>
      <c r="M21" s="6">
        <f t="shared" si="11"/>
        <v>0.84999999999999798</v>
      </c>
      <c r="N21" s="8">
        <f>SUMIF(KeyRaces!$B$16:$B$24,CongressionalAnalysis!$C16,KeyRaces!N$16:N$24)</f>
        <v>6772</v>
      </c>
      <c r="O21" s="1">
        <f>SUMIF(KeyRaces!$B$16:$B$24,CongressionalAnalysis!$C16,KeyRaces!O$16:O$24)</f>
        <v>0.19550000000000001</v>
      </c>
      <c r="P21">
        <f>SUMIF(KeyRaces!$B$16:$B$24,CongressionalAnalysis!$C16,KeyRaces!P$16:P$24)</f>
        <v>34479</v>
      </c>
      <c r="Q21">
        <f>SUMIF(KeyRaces!$B$16:$B$24,CongressionalAnalysis!$C16,KeyRaces!Q$16:Q$24)</f>
        <v>0.16868065204203439</v>
      </c>
      <c r="R21" s="6">
        <f t="shared" si="14"/>
        <v>1.5680652042034393</v>
      </c>
      <c r="S21">
        <f>SUMIF(KeyRaces!$B$16:$B$24,CongressionalAnalysis!$C16,KeyRaces!S$16:S$24)</f>
        <v>6417</v>
      </c>
      <c r="T21">
        <f>SUMIF(KeyRaces!$B$16:$B$24,CongressionalAnalysis!$C16,KeyRaces!T$16:T$24)</f>
        <v>0.20972644376899696</v>
      </c>
      <c r="U21">
        <f>SUMIF(KeyRaces!$B$16:$B$24,CongressionalAnalysis!$C16,KeyRaces!U$16:U$24)</f>
        <v>34927</v>
      </c>
      <c r="V21">
        <f>SUMIF(KeyRaces!$B$16:$B$24,CongressionalAnalysis!$C16,KeyRaces!V$16:V$24)</f>
        <v>0.16791665464755146</v>
      </c>
      <c r="W21">
        <f>SUMIF(KeyRaces!$B$16:$B$24,CongressionalAnalysis!$C16,KeyRaces!W$16:W$24)</f>
        <v>1.49</v>
      </c>
      <c r="X21">
        <f>SUMIF(KeyRaces!$B$16:$B$24,CongressionalAnalysis!$C16,KeyRaces!X$16:X$24)</f>
        <v>448</v>
      </c>
      <c r="Y21">
        <f>SUMIF(KeyRaces!$B$16:$B$24,CongressionalAnalysis!$C16,KeyRaces!Y$16:Y$24)</f>
        <v>0.1245136186770428</v>
      </c>
      <c r="Z21">
        <f>SUMIF(KeyRaces!$B$16:$B$24,CongressionalAnalysis!$C16,KeyRaces!Z$16:Z$24)</f>
        <v>35540</v>
      </c>
      <c r="AA21">
        <f>SUMIF(KeyRaces!$B$16:$B$24,CongressionalAnalysis!$C16,KeyRaces!AA$16:AA$24)</f>
        <v>0.16724391070285735</v>
      </c>
      <c r="AB21">
        <f>SUMIF(KeyRaces!$B$16:$B$24,CongressionalAnalysis!$C16,KeyRaces!AB$16:AB$24)</f>
        <v>1.42</v>
      </c>
      <c r="AC21">
        <f>SUMIF(KeyRaces!$B$16:$B$24,CongressionalAnalysis!$C16,KeyRaces!AC$16:AC$24)</f>
        <v>613</v>
      </c>
      <c r="AD21">
        <f>SUMIF(KeyRaces!$B$16:$B$24,CongressionalAnalysis!$C16,KeyRaces!AD$16:AD$24)</f>
        <v>0.13616170590848511</v>
      </c>
      <c r="AE21">
        <f>SUMIF(KeyRaces!$B$16:$B$24,CongressionalAnalysis!$C16,KeyRaces!AE$16:AE$24)</f>
        <v>35638</v>
      </c>
      <c r="AF21">
        <f>SUMIF(KeyRaces!$B$16:$B$24,CongressionalAnalysis!$C16,KeyRaces!AF$16:AF$24)</f>
        <v>0.1673153395086362</v>
      </c>
      <c r="AG21">
        <f>SUMIF(KeyRaces!$B$16:$B$24,CongressionalAnalysis!$C16,KeyRaces!AG$16:AG$24)</f>
        <v>1.43</v>
      </c>
      <c r="AH21">
        <f>SUMIF(KeyRaces!$B$16:$B$24,CongressionalAnalysis!$C16,KeyRaces!AH$16:AH$24)</f>
        <v>98</v>
      </c>
      <c r="AI21">
        <f>SUMIF(KeyRaces!$B$16:$B$24,CongressionalAnalysis!$C16,KeyRaces!AI$16:AI$24)</f>
        <v>0.19797979797979798</v>
      </c>
      <c r="AJ21">
        <f>SUMIF(KeyRaces!$B$16:$B$24,CongressionalAnalysis!$C16,KeyRaces!AJ$16:AJ$24)</f>
        <v>35820</v>
      </c>
      <c r="AK21">
        <f>SUMIF(KeyRaces!$B$16:$B$24,CongressionalAnalysis!$C16,KeyRaces!AK$16:AK$24)</f>
        <v>0.16700001398660083</v>
      </c>
      <c r="AL21">
        <f>SUMIF(KeyRaces!$B$16:$B$24,CongressionalAnalysis!$C16,KeyRaces!AL$16:AL$24)</f>
        <v>1.4</v>
      </c>
      <c r="AM21">
        <f>SUMIF(KeyRaces!$B$16:$B$24,CongressionalAnalysis!$C16,KeyRaces!AM$16:AM$24)</f>
        <v>182</v>
      </c>
      <c r="AN21">
        <f>SUMIF(KeyRaces!$B$16:$B$24,CongressionalAnalysis!$C16,KeyRaces!AN$16:AN$24)</f>
        <v>0.12198391420911528</v>
      </c>
    </row>
    <row r="22" spans="2:40" x14ac:dyDescent="0.3">
      <c r="C22" t="s">
        <v>11</v>
      </c>
      <c r="D22" s="11">
        <f t="shared" si="4"/>
        <v>4894</v>
      </c>
      <c r="E22" s="12">
        <f t="shared" si="27"/>
        <v>2.2816808164445129E-2</v>
      </c>
      <c r="F22" s="8">
        <f>SUMIF(KeyRaces!$B$16:$B$24,CongressionalAnalysis!$C17,KeyRaces!E$16:E$24)</f>
        <v>2884</v>
      </c>
      <c r="G22" s="5">
        <f>SUMIF(KeyRaces!$B$16:$B$24,CongressionalAnalysis!$C17,KeyRaces!F$16:F$24)</f>
        <v>2.07E-2</v>
      </c>
      <c r="H22" s="15">
        <f t="shared" si="6"/>
        <v>2010</v>
      </c>
      <c r="I22" s="13">
        <f>H22/SUM(H19:H22)</f>
        <v>2.670493044760652E-2</v>
      </c>
      <c r="J22" s="5">
        <f t="shared" si="9"/>
        <v>6.0049304476065199E-3</v>
      </c>
      <c r="K22" s="8">
        <f>SUMIF(KeyRaces!$B$16:$B$24,CongressionalAnalysis!$C17,KeyRaces!K$16:K$24)</f>
        <v>3673</v>
      </c>
      <c r="L22" s="5">
        <f>SUMIF(KeyRaces!$B$16:$B$24,CongressionalAnalysis!$C17,KeyRaces!L$16:L$24)</f>
        <v>2.12E-2</v>
      </c>
      <c r="M22" s="6">
        <f t="shared" si="11"/>
        <v>5.0000000000000044E-2</v>
      </c>
      <c r="N22" s="8">
        <f>SUMIF(KeyRaces!$B$16:$B$24,CongressionalAnalysis!$C17,KeyRaces!N$16:N$24)</f>
        <v>789</v>
      </c>
      <c r="O22" s="1">
        <f>SUMIF(KeyRaces!$B$16:$B$24,CongressionalAnalysis!$C17,KeyRaces!O$16:O$24)</f>
        <v>2.2800000000000001E-2</v>
      </c>
      <c r="P22">
        <f>SUMIF(KeyRaces!$B$16:$B$24,CongressionalAnalysis!$C17,KeyRaces!P$16:P$24)</f>
        <v>4475</v>
      </c>
      <c r="Q22">
        <f>SUMIF(KeyRaces!$B$16:$B$24,CongressionalAnalysis!$C17,KeyRaces!Q$16:Q$24)</f>
        <v>2.1892917946811218E-2</v>
      </c>
      <c r="R22" s="6">
        <f t="shared" si="14"/>
        <v>0.11929179468112179</v>
      </c>
      <c r="S22">
        <f>SUMIF(KeyRaces!$B$16:$B$24,CongressionalAnalysis!$C17,KeyRaces!S$16:S$24)</f>
        <v>802</v>
      </c>
      <c r="T22">
        <f>SUMIF(KeyRaces!$B$16:$B$24,CongressionalAnalysis!$C17,KeyRaces!T$16:T$24)</f>
        <v>2.6211720103278099E-2</v>
      </c>
      <c r="U22">
        <f>SUMIF(KeyRaces!$B$16:$B$24,CongressionalAnalysis!$C17,KeyRaces!U$16:U$24)</f>
        <v>4654</v>
      </c>
      <c r="V22">
        <f>SUMIF(KeyRaces!$B$16:$B$24,CongressionalAnalysis!$C17,KeyRaces!V$16:V$24)</f>
        <v>2.2374784857837903E-2</v>
      </c>
      <c r="W22">
        <f>SUMIF(KeyRaces!$B$16:$B$24,CongressionalAnalysis!$C17,KeyRaces!W$16:W$24)</f>
        <v>0.16</v>
      </c>
      <c r="X22">
        <f>SUMIF(KeyRaces!$B$16:$B$24,CongressionalAnalysis!$C17,KeyRaces!X$16:X$24)</f>
        <v>179</v>
      </c>
      <c r="Y22">
        <f>SUMIF(KeyRaces!$B$16:$B$24,CongressionalAnalysis!$C17,KeyRaces!Y$16:Y$24)</f>
        <v>4.9749861033907723E-2</v>
      </c>
      <c r="Z22">
        <f>SUMIF(KeyRaces!$B$16:$B$24,CongressionalAnalysis!$C17,KeyRaces!Z$16:Z$24)</f>
        <v>4813</v>
      </c>
      <c r="AA22">
        <f>SUMIF(KeyRaces!$B$16:$B$24,CongressionalAnalysis!$C17,KeyRaces!AA$16:AA$24)</f>
        <v>2.2648985430862478E-2</v>
      </c>
      <c r="AB22">
        <f>SUMIF(KeyRaces!$B$16:$B$24,CongressionalAnalysis!$C17,KeyRaces!AB$16:AB$24)</f>
        <v>0.2</v>
      </c>
      <c r="AC22">
        <f>SUMIF(KeyRaces!$B$16:$B$24,CongressionalAnalysis!$C17,KeyRaces!AC$16:AC$24)</f>
        <v>159</v>
      </c>
      <c r="AD22">
        <f>SUMIF(KeyRaces!$B$16:$B$24,CongressionalAnalysis!$C17,KeyRaces!AD$16:AD$24)</f>
        <v>3.5317636605952912E-2</v>
      </c>
      <c r="AE22">
        <f>SUMIF(KeyRaces!$B$16:$B$24,CongressionalAnalysis!$C17,KeyRaces!AE$16:AE$24)</f>
        <v>4830</v>
      </c>
      <c r="AF22">
        <f>SUMIF(KeyRaces!$B$16:$B$24,CongressionalAnalysis!$C17,KeyRaces!AF$16:AF$24)</f>
        <v>2.267616279888638E-2</v>
      </c>
      <c r="AG22">
        <f>SUMIF(KeyRaces!$B$16:$B$24,CongressionalAnalysis!$C17,KeyRaces!AG$16:AG$24)</f>
        <v>0.2</v>
      </c>
      <c r="AH22">
        <f>SUMIF(KeyRaces!$B$16:$B$24,CongressionalAnalysis!$C17,KeyRaces!AH$16:AH$24)</f>
        <v>17</v>
      </c>
      <c r="AI22">
        <f>SUMIF(KeyRaces!$B$16:$B$24,CongressionalAnalysis!$C17,KeyRaces!AI$16:AI$24)</f>
        <v>3.4343434343434343E-2</v>
      </c>
      <c r="AJ22">
        <f>SUMIF(KeyRaces!$B$16:$B$24,CongressionalAnalysis!$C17,KeyRaces!AJ$16:AJ$24)</f>
        <v>4894</v>
      </c>
      <c r="AK22">
        <f>SUMIF(KeyRaces!$B$16:$B$24,CongressionalAnalysis!$C17,KeyRaces!AK$16:AK$24)</f>
        <v>2.2816808164445129E-2</v>
      </c>
      <c r="AL22">
        <f>SUMIF(KeyRaces!$B$16:$B$24,CongressionalAnalysis!$C17,KeyRaces!AL$16:AL$24)</f>
        <v>0.21000000000000002</v>
      </c>
      <c r="AM22">
        <f>SUMIF(KeyRaces!$B$16:$B$24,CongressionalAnalysis!$C17,KeyRaces!AM$16:AM$24)</f>
        <v>64</v>
      </c>
      <c r="AN22">
        <f>SUMIF(KeyRaces!$B$16:$B$24,CongressionalAnalysis!$C17,KeyRaces!AN$16:AN$24)</f>
        <v>4.2895442359249331E-2</v>
      </c>
    </row>
    <row r="23" spans="2:40" x14ac:dyDescent="0.3">
      <c r="B23" s="2" t="s">
        <v>287</v>
      </c>
      <c r="C23" t="s">
        <v>281</v>
      </c>
      <c r="D23" s="11">
        <f t="shared" si="4"/>
        <v>145781</v>
      </c>
      <c r="F23" s="8">
        <f>KeyRaces!E25</f>
        <v>75273</v>
      </c>
      <c r="G23" s="5" t="str">
        <f>KeyRaces!F25</f>
        <v/>
      </c>
      <c r="H23" s="15">
        <f t="shared" si="6"/>
        <v>70508</v>
      </c>
      <c r="I23" s="15"/>
      <c r="K23" s="8">
        <f>KeyRaces!K25</f>
        <v>93309</v>
      </c>
      <c r="L23" s="5" t="str">
        <f>KeyRaces!L25</f>
        <v/>
      </c>
      <c r="M23" s="6"/>
      <c r="N23" s="8">
        <f>KeyRaces!N25</f>
        <v>18036</v>
      </c>
      <c r="O23" s="1" t="str">
        <f>KeyRaces!O25</f>
        <v/>
      </c>
      <c r="P23">
        <f>KeyRaces!P25</f>
        <v>106450</v>
      </c>
      <c r="Q23" t="str">
        <f>KeyRaces!Q25</f>
        <v/>
      </c>
      <c r="R23" s="6"/>
      <c r="S23">
        <f>KeyRaces!S25</f>
        <v>13141</v>
      </c>
      <c r="T23" t="str">
        <f>KeyRaces!T25</f>
        <v/>
      </c>
      <c r="U23">
        <f>KeyRaces!U25</f>
        <v>135665</v>
      </c>
      <c r="V23" t="str">
        <f>KeyRaces!V25</f>
        <v/>
      </c>
      <c r="W23" t="str">
        <f>KeyRaces!W25</f>
        <v/>
      </c>
      <c r="X23">
        <f>KeyRaces!X25</f>
        <v>29215</v>
      </c>
      <c r="Y23" t="str">
        <f>KeyRaces!Y25</f>
        <v/>
      </c>
      <c r="Z23">
        <f>KeyRaces!Z25</f>
        <v>143270</v>
      </c>
      <c r="AA23">
        <f>KeyRaces!AA25</f>
        <v>0</v>
      </c>
      <c r="AB23">
        <f>KeyRaces!AB25</f>
        <v>0</v>
      </c>
      <c r="AC23">
        <f>KeyRaces!AC25</f>
        <v>7605</v>
      </c>
      <c r="AD23">
        <f>KeyRaces!AD25</f>
        <v>0</v>
      </c>
      <c r="AE23">
        <f>KeyRaces!AE25</f>
        <v>144687</v>
      </c>
      <c r="AF23">
        <f>KeyRaces!AF25</f>
        <v>0</v>
      </c>
      <c r="AG23">
        <f>KeyRaces!AG25</f>
        <v>0</v>
      </c>
      <c r="AH23">
        <f>KeyRaces!AH25</f>
        <v>1417</v>
      </c>
      <c r="AI23">
        <f>KeyRaces!AI25</f>
        <v>0</v>
      </c>
      <c r="AJ23">
        <f>KeyRaces!AJ25</f>
        <v>145781</v>
      </c>
      <c r="AK23">
        <f>KeyRaces!AK25</f>
        <v>0</v>
      </c>
      <c r="AL23">
        <f>KeyRaces!AL25</f>
        <v>0</v>
      </c>
      <c r="AM23">
        <f>KeyRaces!AM25</f>
        <v>1094</v>
      </c>
      <c r="AN23">
        <f>KeyRaces!AN25</f>
        <v>0</v>
      </c>
    </row>
    <row r="24" spans="2:40" x14ac:dyDescent="0.3">
      <c r="C24" t="s">
        <v>8</v>
      </c>
      <c r="D24" s="11">
        <f t="shared" si="4"/>
        <v>42681</v>
      </c>
      <c r="E24" s="12">
        <f t="shared" si="27"/>
        <v>0.2991777710796924</v>
      </c>
      <c r="F24" s="8">
        <f>SUMIF(KeyRaces!$B$26:$B$36,CongressionalAnalysis!$C19,KeyRaces!E$26:E$36)</f>
        <v>22657</v>
      </c>
      <c r="G24" s="5">
        <f>SUMIF(KeyRaces!$B$26:$B$36,CongressionalAnalysis!$C19,KeyRaces!F$26:F$36)</f>
        <v>0.308</v>
      </c>
      <c r="H24" s="15">
        <f t="shared" si="6"/>
        <v>20024</v>
      </c>
      <c r="I24" s="13">
        <f>H24/SUM(H24:H27)</f>
        <v>0.28992977629769057</v>
      </c>
      <c r="J24" s="5">
        <f t="shared" si="9"/>
        <v>-1.8070223702309429E-2</v>
      </c>
      <c r="K24" s="8">
        <f>SUMIF(KeyRaces!$B$26:$B$36,CongressionalAnalysis!$C19,KeyRaces!K$26:K$36)</f>
        <v>27963</v>
      </c>
      <c r="L24" s="5">
        <f>SUMIF(KeyRaces!$B$26:$B$36,CongressionalAnalysis!$C19,KeyRaces!L$26:L$36)</f>
        <v>0.30670000000000003</v>
      </c>
      <c r="M24" s="6">
        <f t="shared" si="11"/>
        <v>-0.12999999999999678</v>
      </c>
      <c r="N24" s="8">
        <f>SUMIF(KeyRaces!$B$26:$B$36,CongressionalAnalysis!$C19,KeyRaces!N$26:N$36)</f>
        <v>5306</v>
      </c>
      <c r="O24" s="1">
        <f>SUMIF(KeyRaces!$B$26:$B$36,CongressionalAnalysis!$C19,KeyRaces!O$26:O$36)</f>
        <v>0.30120000000000002</v>
      </c>
      <c r="P24">
        <f>SUMIF(KeyRaces!$B$26:$B$36,CongressionalAnalysis!$C19,KeyRaces!P$26:P$36)</f>
        <v>31659</v>
      </c>
      <c r="Q24">
        <f>SUMIF(KeyRaces!$B$26:$B$36,CongressionalAnalysis!$C19,KeyRaces!Q$26:Q$36)</f>
        <v>0.30414441071359949</v>
      </c>
      <c r="R24" s="6">
        <f t="shared" si="14"/>
        <v>-0.3855589286400507</v>
      </c>
      <c r="S24">
        <f>SUMIF(KeyRaces!$B$26:$B$36,CongressionalAnalysis!$C19,KeyRaces!S$26:S$36)</f>
        <v>3696</v>
      </c>
      <c r="T24">
        <f>SUMIF(KeyRaces!$B$26:$B$36,CongressionalAnalysis!$C19,KeyRaces!T$26:T$36)</f>
        <v>0.28600170239108569</v>
      </c>
      <c r="U24">
        <f>SUMIF(KeyRaces!$B$26:$B$36,CongressionalAnalysis!$C19,KeyRaces!U$26:U$36)</f>
        <v>39911</v>
      </c>
      <c r="V24">
        <f>SUMIF(KeyRaces!$B$26:$B$36,CongressionalAnalysis!$C19,KeyRaces!V$26:V$36)</f>
        <v>0.30034918198100569</v>
      </c>
      <c r="W24">
        <f>SUMIF(KeyRaces!$B$26:$B$36,CongressionalAnalysis!$C19,KeyRaces!W$26:W$36)</f>
        <v>-0.77</v>
      </c>
      <c r="X24">
        <f>SUMIF(KeyRaces!$B$26:$B$36,CongressionalAnalysis!$C19,KeyRaces!X$26:X$36)</f>
        <v>8252</v>
      </c>
      <c r="Y24">
        <f>SUMIF(KeyRaces!$B$26:$B$36,CongressionalAnalysis!$C19,KeyRaces!Y$26:Y$36)</f>
        <v>0.28662730114623131</v>
      </c>
      <c r="Z24">
        <f>SUMIF(KeyRaces!$B$26:$B$36,CongressionalAnalysis!$C19,KeyRaces!Z$26:Z$36)</f>
        <v>41998</v>
      </c>
      <c r="AA24">
        <f>SUMIF(KeyRaces!$B$26:$B$36,CongressionalAnalysis!$C19,KeyRaces!AA$26:AA$36)</f>
        <v>0.29947233314318311</v>
      </c>
      <c r="AB24">
        <f>SUMIF(KeyRaces!$B$26:$B$36,CongressionalAnalysis!$C19,KeyRaces!AB$26:AB$36)</f>
        <v>-0.85</v>
      </c>
      <c r="AC24">
        <f>SUMIF(KeyRaces!$B$26:$B$36,CongressionalAnalysis!$C19,KeyRaces!AC$26:AC$36)</f>
        <v>2087</v>
      </c>
      <c r="AD24">
        <f>SUMIF(KeyRaces!$B$26:$B$36,CongressionalAnalysis!$C19,KeyRaces!AD$26:AD$36)</f>
        <v>0.28363685784180481</v>
      </c>
      <c r="AE24">
        <f>SUMIF(KeyRaces!$B$26:$B$36,CongressionalAnalysis!$C19,KeyRaces!AE$26:AE$36)</f>
        <v>42354</v>
      </c>
      <c r="AF24">
        <f>SUMIF(KeyRaces!$B$26:$B$36,CongressionalAnalysis!$C19,KeyRaces!AF$26:AF$36)</f>
        <v>0.29908482332005765</v>
      </c>
      <c r="AG24">
        <f>SUMIF(KeyRaces!$B$26:$B$36,CongressionalAnalysis!$C19,KeyRaces!AG$26:AG$36)</f>
        <v>-0.89</v>
      </c>
      <c r="AH24">
        <f>SUMIF(KeyRaces!$B$26:$B$36,CongressionalAnalysis!$C19,KeyRaces!AH$26:AH$36)</f>
        <v>356</v>
      </c>
      <c r="AI24">
        <f>SUMIF(KeyRaces!$B$26:$B$36,CongressionalAnalysis!$C19,KeyRaces!AI$26:AI$36)</f>
        <v>0.25947521865889212</v>
      </c>
      <c r="AJ24">
        <f>SUMIF(KeyRaces!$B$26:$B$36,CongressionalAnalysis!$C19,KeyRaces!AJ$26:AJ$36)</f>
        <v>42681</v>
      </c>
      <c r="AK24">
        <f>SUMIF(KeyRaces!$B$26:$B$36,CongressionalAnalysis!$C19,KeyRaces!AK$26:AK$36)</f>
        <v>0.2991777710796924</v>
      </c>
      <c r="AL24">
        <f>SUMIF(KeyRaces!$B$26:$B$36,CongressionalAnalysis!$C19,KeyRaces!AL$26:AL$36)</f>
        <v>-0.88</v>
      </c>
      <c r="AM24">
        <f>SUMIF(KeyRaces!$B$26:$B$36,CongressionalAnalysis!$C19,KeyRaces!AM$26:AM$36)</f>
        <v>327</v>
      </c>
      <c r="AN24">
        <f>SUMIF(KeyRaces!$B$26:$B$36,CongressionalAnalysis!$C19,KeyRaces!AN$26:AN$36)</f>
        <v>0.3117254528122021</v>
      </c>
    </row>
    <row r="25" spans="2:40" x14ac:dyDescent="0.3">
      <c r="C25" t="s">
        <v>9</v>
      </c>
      <c r="D25" s="11">
        <f t="shared" si="4"/>
        <v>89917</v>
      </c>
      <c r="E25" s="12">
        <f t="shared" si="27"/>
        <v>0.63028438045436408</v>
      </c>
      <c r="F25" s="8">
        <f>SUMIF(KeyRaces!$B$26:$B$36,CongressionalAnalysis!$C20,KeyRaces!E$26:E$36)</f>
        <v>45990</v>
      </c>
      <c r="G25" s="5">
        <f>SUMIF(KeyRaces!$B$26:$B$36,CongressionalAnalysis!$C20,KeyRaces!F$26:F$36)</f>
        <v>0.62520000000000009</v>
      </c>
      <c r="H25" s="15">
        <f t="shared" si="6"/>
        <v>43927</v>
      </c>
      <c r="I25" s="13">
        <f>H25/SUM(H24:H27)</f>
        <v>0.63602403532903784</v>
      </c>
      <c r="J25" s="5">
        <f t="shared" si="9"/>
        <v>1.0824035329037751E-2</v>
      </c>
      <c r="K25" s="8">
        <f>SUMIF(KeyRaces!$B$26:$B$36,CongressionalAnalysis!$C20,KeyRaces!K$26:K$36)</f>
        <v>57076</v>
      </c>
      <c r="L25" s="5">
        <f>SUMIF(KeyRaces!$B$26:$B$36,CongressionalAnalysis!$C20,KeyRaces!L$26:L$36)</f>
        <v>0.62609999999999988</v>
      </c>
      <c r="M25" s="6">
        <f t="shared" si="11"/>
        <v>8.9999999999978986E-2</v>
      </c>
      <c r="N25" s="8">
        <f>SUMIF(KeyRaces!$B$26:$B$36,CongressionalAnalysis!$C20,KeyRaces!N$26:N$36)</f>
        <v>11086</v>
      </c>
      <c r="O25" s="1">
        <f>SUMIF(KeyRaces!$B$26:$B$36,CongressionalAnalysis!$C20,KeyRaces!O$26:O$36)</f>
        <v>0.62930000000000008</v>
      </c>
      <c r="P25">
        <f>SUMIF(KeyRaces!$B$26:$B$36,CongressionalAnalysis!$C20,KeyRaces!P$26:P$36)</f>
        <v>65280</v>
      </c>
      <c r="Q25">
        <f>SUMIF(KeyRaces!$B$26:$B$36,CongressionalAnalysis!$C20,KeyRaces!Q$26:Q$36)</f>
        <v>0.62713753218306889</v>
      </c>
      <c r="R25" s="6">
        <f t="shared" si="14"/>
        <v>0.19375321830688019</v>
      </c>
      <c r="S25">
        <f>SUMIF(KeyRaces!$B$26:$B$36,CongressionalAnalysis!$C20,KeyRaces!S$26:S$36)</f>
        <v>8204</v>
      </c>
      <c r="T25">
        <f>SUMIF(KeyRaces!$B$26:$B$36,CongressionalAnalysis!$C20,KeyRaces!T$26:T$36)</f>
        <v>0.63483711212566751</v>
      </c>
      <c r="U25">
        <f>SUMIF(KeyRaces!$B$26:$B$36,CongressionalAnalysis!$C20,KeyRaces!U$26:U$36)</f>
        <v>83683</v>
      </c>
      <c r="V25">
        <f>SUMIF(KeyRaces!$B$26:$B$36,CongressionalAnalysis!$C20,KeyRaces!V$26:V$36)</f>
        <v>0.62975421802802478</v>
      </c>
      <c r="W25">
        <f>SUMIF(KeyRaces!$B$26:$B$36,CongressionalAnalysis!$C20,KeyRaces!W$26:W$36)</f>
        <v>0.45</v>
      </c>
      <c r="X25">
        <f>SUMIF(KeyRaces!$B$26:$B$36,CongressionalAnalysis!$C20,KeyRaces!X$26:X$36)</f>
        <v>18403</v>
      </c>
      <c r="Y25">
        <f>SUMIF(KeyRaces!$B$26:$B$36,CongressionalAnalysis!$C20,KeyRaces!Y$26:Y$36)</f>
        <v>0.63921500521014241</v>
      </c>
      <c r="Z25">
        <f>SUMIF(KeyRaces!$B$26:$B$36,CongressionalAnalysis!$C20,KeyRaces!Z$26:Z$36)</f>
        <v>88384</v>
      </c>
      <c r="AA25">
        <f>SUMIF(KeyRaces!$B$26:$B$36,CongressionalAnalysis!$C20,KeyRaces!AA$26:AA$36)</f>
        <v>0.63023388476896758</v>
      </c>
      <c r="AB25">
        <f>SUMIF(KeyRaces!$B$26:$B$36,CongressionalAnalysis!$C20,KeyRaces!AB$26:AB$36)</f>
        <v>0.5</v>
      </c>
      <c r="AC25">
        <f>SUMIF(KeyRaces!$B$26:$B$36,CongressionalAnalysis!$C20,KeyRaces!AC$26:AC$36)</f>
        <v>4701</v>
      </c>
      <c r="AD25">
        <f>SUMIF(KeyRaces!$B$26:$B$36,CongressionalAnalysis!$C20,KeyRaces!AD$26:AD$36)</f>
        <v>0.63889643924979611</v>
      </c>
      <c r="AE25">
        <f>SUMIF(KeyRaces!$B$26:$B$36,CongressionalAnalysis!$C20,KeyRaces!AE$26:AE$36)</f>
        <v>89296</v>
      </c>
      <c r="AF25">
        <f>SUMIF(KeyRaces!$B$26:$B$36,CongressionalAnalysis!$C20,KeyRaces!AF$26:AF$36)</f>
        <v>0.63056803095782832</v>
      </c>
      <c r="AG25">
        <f>SUMIF(KeyRaces!$B$26:$B$36,CongressionalAnalysis!$C20,KeyRaces!AG$26:AG$36)</f>
        <v>0.52</v>
      </c>
      <c r="AH25">
        <f>SUMIF(KeyRaces!$B$26:$B$36,CongressionalAnalysis!$C20,KeyRaces!AH$26:AH$36)</f>
        <v>912</v>
      </c>
      <c r="AI25">
        <f>SUMIF(KeyRaces!$B$26:$B$36,CongressionalAnalysis!$C20,KeyRaces!AI$26:AI$36)</f>
        <v>0.66472303206997085</v>
      </c>
      <c r="AJ25">
        <f>SUMIF(KeyRaces!$B$26:$B$36,CongressionalAnalysis!$C20,KeyRaces!AJ$26:AJ$36)</f>
        <v>89917</v>
      </c>
      <c r="AK25">
        <f>SUMIF(KeyRaces!$B$26:$B$36,CongressionalAnalysis!$C20,KeyRaces!AK$26:AK$36)</f>
        <v>0.63028438045436408</v>
      </c>
      <c r="AL25">
        <f>SUMIF(KeyRaces!$B$26:$B$36,CongressionalAnalysis!$C20,KeyRaces!AL$26:AL$36)</f>
        <v>0.51</v>
      </c>
      <c r="AM25">
        <f>SUMIF(KeyRaces!$B$26:$B$36,CongressionalAnalysis!$C20,KeyRaces!AM$26:AM$36)</f>
        <v>621</v>
      </c>
      <c r="AN25">
        <f>SUMIF(KeyRaces!$B$26:$B$36,CongressionalAnalysis!$C20,KeyRaces!AN$26:AN$36)</f>
        <v>0.59199237368922786</v>
      </c>
    </row>
    <row r="26" spans="2:40" x14ac:dyDescent="0.3">
      <c r="C26" t="s">
        <v>282</v>
      </c>
      <c r="D26" s="11">
        <f t="shared" si="4"/>
        <v>0</v>
      </c>
      <c r="E26" s="12">
        <f t="shared" si="27"/>
        <v>0</v>
      </c>
      <c r="F26" s="8">
        <f>SUMIF(KeyRaces!$B$26:$B$36,CongressionalAnalysis!$C21,KeyRaces!E$26:E$36)</f>
        <v>0</v>
      </c>
      <c r="G26" s="5">
        <f>SUMIF(KeyRaces!$B$26:$B$36,CongressionalAnalysis!$C21,KeyRaces!F$26:F$36)</f>
        <v>0</v>
      </c>
      <c r="H26" s="15">
        <f t="shared" si="6"/>
        <v>0</v>
      </c>
      <c r="I26" s="13">
        <f>H26/SUM(H24:H27)</f>
        <v>0</v>
      </c>
      <c r="J26" s="5">
        <f t="shared" si="9"/>
        <v>0</v>
      </c>
      <c r="K26" s="8">
        <f>SUMIF(KeyRaces!$B$26:$B$36,CongressionalAnalysis!$C21,KeyRaces!K$26:K$36)</f>
        <v>0</v>
      </c>
      <c r="L26" s="5">
        <f>SUMIF(KeyRaces!$B$26:$B$36,CongressionalAnalysis!$C21,KeyRaces!L$26:L$36)</f>
        <v>0</v>
      </c>
      <c r="M26" s="6">
        <f t="shared" si="11"/>
        <v>0</v>
      </c>
      <c r="N26" s="8">
        <f>SUMIF(KeyRaces!$B$26:$B$36,CongressionalAnalysis!$C21,KeyRaces!N$26:N$36)</f>
        <v>0</v>
      </c>
      <c r="O26" s="1">
        <f>SUMIF(KeyRaces!$B$26:$B$36,CongressionalAnalysis!$C21,KeyRaces!O$26:O$36)</f>
        <v>0</v>
      </c>
      <c r="P26">
        <f>SUMIF(KeyRaces!$B$26:$B$36,CongressionalAnalysis!$C21,KeyRaces!P$26:P$36)</f>
        <v>0</v>
      </c>
      <c r="Q26">
        <f>SUMIF(KeyRaces!$B$26:$B$36,CongressionalAnalysis!$C21,KeyRaces!Q$26:Q$36)</f>
        <v>0</v>
      </c>
      <c r="R26" s="6">
        <f t="shared" si="14"/>
        <v>0</v>
      </c>
      <c r="S26">
        <f>SUMIF(KeyRaces!$B$26:$B$36,CongressionalAnalysis!$C21,KeyRaces!S$26:S$36)</f>
        <v>0</v>
      </c>
      <c r="T26">
        <f>SUMIF(KeyRaces!$B$26:$B$36,CongressionalAnalysis!$C21,KeyRaces!T$26:T$36)</f>
        <v>0</v>
      </c>
      <c r="U26">
        <f>SUMIF(KeyRaces!$B$26:$B$36,CongressionalAnalysis!$C21,KeyRaces!U$26:U$36)</f>
        <v>0</v>
      </c>
      <c r="V26">
        <f>SUMIF(KeyRaces!$B$26:$B$36,CongressionalAnalysis!$C21,KeyRaces!V$26:V$36)</f>
        <v>0</v>
      </c>
      <c r="W26">
        <f>SUMIF(KeyRaces!$B$26:$B$36,CongressionalAnalysis!$C21,KeyRaces!W$26:W$36)</f>
        <v>0</v>
      </c>
      <c r="X26">
        <f>SUMIF(KeyRaces!$B$26:$B$36,CongressionalAnalysis!$C21,KeyRaces!X$26:X$36)</f>
        <v>0</v>
      </c>
      <c r="Y26">
        <f>SUMIF(KeyRaces!$B$26:$B$36,CongressionalAnalysis!$C21,KeyRaces!Y$26:Y$36)</f>
        <v>0</v>
      </c>
      <c r="Z26">
        <f>SUMIF(KeyRaces!$B$26:$B$36,CongressionalAnalysis!$C21,KeyRaces!Z$26:Z$36)</f>
        <v>0</v>
      </c>
      <c r="AA26">
        <f>SUMIF(KeyRaces!$B$26:$B$36,CongressionalAnalysis!$C21,KeyRaces!AA$26:AA$36)</f>
        <v>0</v>
      </c>
      <c r="AB26">
        <f>SUMIF(KeyRaces!$B$26:$B$36,CongressionalAnalysis!$C21,KeyRaces!AB$26:AB$36)</f>
        <v>0</v>
      </c>
      <c r="AC26">
        <f>SUMIF(KeyRaces!$B$26:$B$36,CongressionalAnalysis!$C21,KeyRaces!AC$26:AC$36)</f>
        <v>0</v>
      </c>
      <c r="AD26">
        <f>SUMIF(KeyRaces!$B$26:$B$36,CongressionalAnalysis!$C21,KeyRaces!AD$26:AD$36)</f>
        <v>0</v>
      </c>
      <c r="AE26">
        <f>SUMIF(KeyRaces!$B$26:$B$36,CongressionalAnalysis!$C21,KeyRaces!AE$26:AE$36)</f>
        <v>0</v>
      </c>
      <c r="AF26">
        <f>SUMIF(KeyRaces!$B$26:$B$36,CongressionalAnalysis!$C21,KeyRaces!AF$26:AF$36)</f>
        <v>0</v>
      </c>
      <c r="AG26">
        <f>SUMIF(KeyRaces!$B$26:$B$36,CongressionalAnalysis!$C21,KeyRaces!AG$26:AG$36)</f>
        <v>0</v>
      </c>
      <c r="AH26">
        <f>SUMIF(KeyRaces!$B$26:$B$36,CongressionalAnalysis!$C21,KeyRaces!AH$26:AH$36)</f>
        <v>0</v>
      </c>
      <c r="AI26">
        <f>SUMIF(KeyRaces!$B$26:$B$36,CongressionalAnalysis!$C21,KeyRaces!AI$26:AI$36)</f>
        <v>0</v>
      </c>
      <c r="AJ26">
        <f>SUMIF(KeyRaces!$B$26:$B$36,CongressionalAnalysis!$C21,KeyRaces!AJ$26:AJ$36)</f>
        <v>0</v>
      </c>
      <c r="AK26">
        <f>SUMIF(KeyRaces!$B$26:$B$36,CongressionalAnalysis!$C21,KeyRaces!AK$26:AK$36)</f>
        <v>0</v>
      </c>
      <c r="AL26">
        <f>SUMIF(KeyRaces!$B$26:$B$36,CongressionalAnalysis!$C21,KeyRaces!AL$26:AL$36)</f>
        <v>0</v>
      </c>
      <c r="AM26">
        <f>SUMIF(KeyRaces!$B$26:$B$36,CongressionalAnalysis!$C21,KeyRaces!AM$26:AM$36)</f>
        <v>0</v>
      </c>
      <c r="AN26">
        <f>SUMIF(KeyRaces!$B$26:$B$36,CongressionalAnalysis!$C21,KeyRaces!AN$26:AN$36)</f>
        <v>0</v>
      </c>
    </row>
    <row r="27" spans="2:40" x14ac:dyDescent="0.3">
      <c r="C27" t="s">
        <v>11</v>
      </c>
      <c r="D27" s="11">
        <f t="shared" si="4"/>
        <v>9946</v>
      </c>
      <c r="E27" s="12">
        <f t="shared" si="27"/>
        <v>6.9717722432900378E-2</v>
      </c>
      <c r="F27" s="8">
        <f>SUMIF(KeyRaces!$B$26:$B$36,CongressionalAnalysis!$C22,KeyRaces!E$26:E$36)</f>
        <v>4832</v>
      </c>
      <c r="G27" s="5">
        <f>SUMIF(KeyRaces!$B$26:$B$36,CongressionalAnalysis!$C22,KeyRaces!F$26:F$36)</f>
        <v>6.5699999999999995E-2</v>
      </c>
      <c r="H27" s="15">
        <f t="shared" si="6"/>
        <v>5114</v>
      </c>
      <c r="I27" s="13">
        <f>H27/SUM(H24:H27)</f>
        <v>7.4046188373271551E-2</v>
      </c>
      <c r="J27" s="5">
        <f t="shared" si="9"/>
        <v>8.3461883732715569E-3</v>
      </c>
      <c r="K27" s="8">
        <f>SUMIF(KeyRaces!$B$26:$B$36,CongressionalAnalysis!$C22,KeyRaces!K$26:K$36)</f>
        <v>6043</v>
      </c>
      <c r="L27" s="5">
        <f>SUMIF(KeyRaces!$B$26:$B$36,CongressionalAnalysis!$C22,KeyRaces!L$26:L$36)</f>
        <v>6.6200000000000009E-2</v>
      </c>
      <c r="M27" s="6">
        <f t="shared" si="11"/>
        <v>5.0000000000001432E-2</v>
      </c>
      <c r="N27" s="8">
        <f>SUMIF(KeyRaces!$B$26:$B$36,CongressionalAnalysis!$C22,KeyRaces!N$26:N$36)</f>
        <v>1211</v>
      </c>
      <c r="O27" s="1">
        <f>SUMIF(KeyRaces!$B$26:$B$36,CongressionalAnalysis!$C22,KeyRaces!O$26:O$36)</f>
        <v>6.8699999999999997E-2</v>
      </c>
      <c r="P27">
        <f>SUMIF(KeyRaces!$B$26:$B$36,CongressionalAnalysis!$C22,KeyRaces!P$26:P$36)</f>
        <v>7056</v>
      </c>
      <c r="Q27">
        <f>SUMIF(KeyRaces!$B$26:$B$36,CongressionalAnalysis!$C22,KeyRaces!Q$26:Q$36)</f>
        <v>6.7786189140375819E-2</v>
      </c>
      <c r="R27" s="6">
        <f t="shared" si="14"/>
        <v>0.20861891403758243</v>
      </c>
      <c r="S27">
        <f>SUMIF(KeyRaces!$B$26:$B$36,CongressionalAnalysis!$C22,KeyRaces!S$26:S$36)</f>
        <v>1013</v>
      </c>
      <c r="T27">
        <f>SUMIF(KeyRaces!$B$26:$B$36,CongressionalAnalysis!$C22,KeyRaces!T$26:T$36)</f>
        <v>7.8387371353400903E-2</v>
      </c>
      <c r="U27">
        <f>SUMIF(KeyRaces!$B$26:$B$36,CongressionalAnalysis!$C22,KeyRaces!U$26:U$36)</f>
        <v>9180</v>
      </c>
      <c r="V27">
        <f>SUMIF(KeyRaces!$B$26:$B$36,CongressionalAnalysis!$C22,KeyRaces!V$26:V$36)</f>
        <v>6.908384882828375E-2</v>
      </c>
      <c r="W27">
        <f>SUMIF(KeyRaces!$B$26:$B$36,CongressionalAnalysis!$C22,KeyRaces!W$26:W$36)</f>
        <v>0.33</v>
      </c>
      <c r="X27">
        <f>SUMIF(KeyRaces!$B$26:$B$36,CongressionalAnalysis!$C22,KeyRaces!X$26:X$36)</f>
        <v>2124</v>
      </c>
      <c r="Y27">
        <f>SUMIF(KeyRaces!$B$26:$B$36,CongressionalAnalysis!$C22,KeyRaces!Y$26:Y$36)</f>
        <v>7.3775616533518579E-2</v>
      </c>
      <c r="Z27">
        <f>SUMIF(KeyRaces!$B$26:$B$36,CongressionalAnalysis!$C22,KeyRaces!Z$26:Z$36)</f>
        <v>9739</v>
      </c>
      <c r="AA27">
        <f>SUMIF(KeyRaces!$B$26:$B$36,CongressionalAnalysis!$C22,KeyRaces!AA$26:AA$36)</f>
        <v>6.9445236737022242E-2</v>
      </c>
      <c r="AB27">
        <f>SUMIF(KeyRaces!$B$26:$B$36,CongressionalAnalysis!$C22,KeyRaces!AB$26:AB$36)</f>
        <v>0.37</v>
      </c>
      <c r="AC27">
        <f>SUMIF(KeyRaces!$B$26:$B$36,CongressionalAnalysis!$C22,KeyRaces!AC$26:AC$36)</f>
        <v>559</v>
      </c>
      <c r="AD27">
        <f>SUMIF(KeyRaces!$B$26:$B$36,CongressionalAnalysis!$C22,KeyRaces!AD$26:AD$36)</f>
        <v>7.5971731448763249E-2</v>
      </c>
      <c r="AE27">
        <f>SUMIF(KeyRaces!$B$26:$B$36,CongressionalAnalysis!$C22,KeyRaces!AE$26:AE$36)</f>
        <v>9841</v>
      </c>
      <c r="AF27">
        <f>SUMIF(KeyRaces!$B$26:$B$36,CongressionalAnalysis!$C22,KeyRaces!AF$26:AF$36)</f>
        <v>6.9492698358896141E-2</v>
      </c>
      <c r="AG27">
        <f>SUMIF(KeyRaces!$B$26:$B$36,CongressionalAnalysis!$C22,KeyRaces!AG$26:AG$36)</f>
        <v>0.39</v>
      </c>
      <c r="AH27">
        <f>SUMIF(KeyRaces!$B$26:$B$36,CongressionalAnalysis!$C22,KeyRaces!AH$26:AH$36)</f>
        <v>102</v>
      </c>
      <c r="AI27">
        <f>SUMIF(KeyRaces!$B$26:$B$36,CongressionalAnalysis!$C22,KeyRaces!AI$26:AI$36)</f>
        <v>7.4344023323615158E-2</v>
      </c>
      <c r="AJ27">
        <f>SUMIF(KeyRaces!$B$26:$B$36,CongressionalAnalysis!$C22,KeyRaces!AJ$26:AJ$36)</f>
        <v>9946</v>
      </c>
      <c r="AK27">
        <f>SUMIF(KeyRaces!$B$26:$B$36,CongressionalAnalysis!$C22,KeyRaces!AK$26:AK$36)</f>
        <v>6.9717722432900378E-2</v>
      </c>
      <c r="AL27">
        <f>SUMIF(KeyRaces!$B$26:$B$36,CongressionalAnalysis!$C22,KeyRaces!AL$26:AL$36)</f>
        <v>0.39999999999999997</v>
      </c>
      <c r="AM27">
        <f>SUMIF(KeyRaces!$B$26:$B$36,CongressionalAnalysis!$C22,KeyRaces!AM$26:AM$36)</f>
        <v>105</v>
      </c>
      <c r="AN27">
        <f>SUMIF(KeyRaces!$B$26:$B$36,CongressionalAnalysis!$C22,KeyRaces!AN$26:AN$36)</f>
        <v>0.10009532888465206</v>
      </c>
    </row>
    <row r="28" spans="2:40" x14ac:dyDescent="0.3">
      <c r="B28" s="2" t="s">
        <v>288</v>
      </c>
      <c r="C28" t="s">
        <v>281</v>
      </c>
      <c r="D28" s="11">
        <f t="shared" si="4"/>
        <v>191653</v>
      </c>
      <c r="F28" s="8">
        <f>KeyRaces!E37</f>
        <v>105659</v>
      </c>
      <c r="G28" s="5" t="str">
        <f>KeyRaces!F37</f>
        <v/>
      </c>
      <c r="H28" s="15">
        <f t="shared" si="6"/>
        <v>85994</v>
      </c>
      <c r="I28" s="15"/>
      <c r="K28" s="8">
        <f>KeyRaces!K37</f>
        <v>119831</v>
      </c>
      <c r="L28" s="5" t="str">
        <f>KeyRaces!L37</f>
        <v/>
      </c>
      <c r="M28" s="6"/>
      <c r="N28" s="8">
        <f>KeyRaces!N37</f>
        <v>14172</v>
      </c>
      <c r="O28" s="1" t="str">
        <f>KeyRaces!O37</f>
        <v/>
      </c>
      <c r="P28">
        <f>KeyRaces!P37</f>
        <v>136944</v>
      </c>
      <c r="Q28" t="str">
        <f>KeyRaces!Q37</f>
        <v/>
      </c>
      <c r="R28" s="6"/>
      <c r="S28">
        <f>KeyRaces!S37</f>
        <v>17113</v>
      </c>
      <c r="T28" t="str">
        <f>KeyRaces!T37</f>
        <v/>
      </c>
      <c r="U28">
        <f>KeyRaces!U37</f>
        <v>142533</v>
      </c>
      <c r="V28" t="str">
        <f>KeyRaces!V37</f>
        <v/>
      </c>
      <c r="W28" t="str">
        <f>KeyRaces!W37</f>
        <v/>
      </c>
      <c r="X28">
        <f>KeyRaces!X37</f>
        <v>5589</v>
      </c>
      <c r="Y28" t="str">
        <f>KeyRaces!Y37</f>
        <v/>
      </c>
      <c r="Z28">
        <f>KeyRaces!Z37</f>
        <v>176966</v>
      </c>
      <c r="AA28">
        <f>KeyRaces!AA37</f>
        <v>0</v>
      </c>
      <c r="AB28">
        <f>KeyRaces!AB37</f>
        <v>0</v>
      </c>
      <c r="AC28">
        <f>KeyRaces!AC37</f>
        <v>34433</v>
      </c>
      <c r="AD28">
        <f>KeyRaces!AD37</f>
        <v>0</v>
      </c>
      <c r="AE28">
        <f>KeyRaces!AE37</f>
        <v>183719</v>
      </c>
      <c r="AF28">
        <f>KeyRaces!AF37</f>
        <v>0</v>
      </c>
      <c r="AG28">
        <f>KeyRaces!AG37</f>
        <v>0</v>
      </c>
      <c r="AH28">
        <f>KeyRaces!AH37</f>
        <v>6753</v>
      </c>
      <c r="AI28">
        <f>KeyRaces!AI37</f>
        <v>0</v>
      </c>
      <c r="AJ28">
        <f>KeyRaces!AJ37</f>
        <v>191653</v>
      </c>
      <c r="AK28">
        <f>KeyRaces!AK37</f>
        <v>0</v>
      </c>
      <c r="AL28">
        <f>KeyRaces!AL37</f>
        <v>0</v>
      </c>
      <c r="AM28">
        <f>KeyRaces!AM37</f>
        <v>7934</v>
      </c>
      <c r="AN28">
        <f>KeyRaces!AN37</f>
        <v>0</v>
      </c>
    </row>
    <row r="29" spans="2:40" x14ac:dyDescent="0.3">
      <c r="C29" t="s">
        <v>8</v>
      </c>
      <c r="D29" s="11">
        <f t="shared" si="4"/>
        <v>56229</v>
      </c>
      <c r="E29" s="12">
        <f t="shared" si="27"/>
        <v>0.27535025390653695</v>
      </c>
      <c r="F29" s="8">
        <f>SUMIF(KeyRaces!$B$38:$B$49,CongressionalAnalysis!$C24,KeyRaces!E$38:E$49)</f>
        <v>33615</v>
      </c>
      <c r="G29" s="5">
        <f>SUMIF(KeyRaces!$B$38:$B$49,CongressionalAnalysis!$C24,KeyRaces!F$38:F$49)</f>
        <v>0.29750000000000004</v>
      </c>
      <c r="H29" s="15">
        <f t="shared" si="6"/>
        <v>22614</v>
      </c>
      <c r="I29" s="13">
        <f>H29/SUM(H29:H32)</f>
        <v>0.24811287632756956</v>
      </c>
      <c r="J29" s="5">
        <f t="shared" si="9"/>
        <v>-4.9387123672430477E-2</v>
      </c>
      <c r="K29" s="8">
        <f>SUMIF(KeyRaces!$B$38:$B$49,CongressionalAnalysis!$C24,KeyRaces!K$38:K$49)</f>
        <v>37720</v>
      </c>
      <c r="L29" s="5">
        <f>SUMIF(KeyRaces!$B$38:$B$49,CongressionalAnalysis!$C24,KeyRaces!L$38:L$49)</f>
        <v>0.29709999999999998</v>
      </c>
      <c r="M29" s="6">
        <f t="shared" si="11"/>
        <v>-4.0000000000006697E-2</v>
      </c>
      <c r="N29" s="8">
        <f>SUMIF(KeyRaces!$B$38:$B$49,CongressionalAnalysis!$C24,KeyRaces!N$38:N$49)</f>
        <v>4105</v>
      </c>
      <c r="O29" s="1">
        <f>SUMIF(KeyRaces!$B$38:$B$49,CongressionalAnalysis!$C24,KeyRaces!O$38:O$49)</f>
        <v>0.29349999999999998</v>
      </c>
      <c r="P29">
        <f>SUMIF(KeyRaces!$B$38:$B$49,CongressionalAnalysis!$C24,KeyRaces!P$38:P$49)</f>
        <v>41779</v>
      </c>
      <c r="Q29">
        <f>SUMIF(KeyRaces!$B$38:$B$49,CongressionalAnalysis!$C24,KeyRaces!Q$38:Q$49)</f>
        <v>0.29042438566612216</v>
      </c>
      <c r="R29" s="6">
        <f t="shared" si="14"/>
        <v>-0.70756143338778776</v>
      </c>
      <c r="S29">
        <f>SUMIF(KeyRaces!$B$38:$B$49,CongressionalAnalysis!$C24,KeyRaces!S$38:S$49)</f>
        <v>4059</v>
      </c>
      <c r="T29">
        <f>SUMIF(KeyRaces!$B$38:$B$49,CongressionalAnalysis!$C24,KeyRaces!T$38:T$49)</f>
        <v>0.24057610241820768</v>
      </c>
      <c r="U29">
        <f>SUMIF(KeyRaces!$B$38:$B$49,CongressionalAnalysis!$C24,KeyRaces!U$38:U$49)</f>
        <v>43853</v>
      </c>
      <c r="V29">
        <f>SUMIF(KeyRaces!$B$38:$B$49,CongressionalAnalysis!$C24,KeyRaces!V$38:V$49)</f>
        <v>0.28876304612649389</v>
      </c>
      <c r="W29">
        <f>SUMIF(KeyRaces!$B$38:$B$49,CongressionalAnalysis!$C24,KeyRaces!W$38:W$49)</f>
        <v>-0.87</v>
      </c>
      <c r="X29">
        <f>SUMIF(KeyRaces!$B$38:$B$49,CongressionalAnalysis!$C24,KeyRaces!X$38:X$49)</f>
        <v>2074</v>
      </c>
      <c r="Y29">
        <f>SUMIF(KeyRaces!$B$38:$B$49,CongressionalAnalysis!$C24,KeyRaces!Y$38:Y$49)</f>
        <v>0.2589263420724095</v>
      </c>
      <c r="Z29">
        <f>SUMIF(KeyRaces!$B$38:$B$49,CongressionalAnalysis!$C24,KeyRaces!Z$38:Z$49)</f>
        <v>52138</v>
      </c>
      <c r="AA29">
        <f>SUMIF(KeyRaces!$B$38:$B$49,CongressionalAnalysis!$C24,KeyRaces!AA$38:AA$49)</f>
        <v>0.28058185027526494</v>
      </c>
      <c r="AB29">
        <f>SUMIF(KeyRaces!$B$38:$B$49,CongressionalAnalysis!$C24,KeyRaces!AB$38:AB$49)</f>
        <v>-1.69</v>
      </c>
      <c r="AC29">
        <f>SUMIF(KeyRaces!$B$38:$B$49,CongressionalAnalysis!$C24,KeyRaces!AC$38:AC$49)</f>
        <v>8285</v>
      </c>
      <c r="AD29">
        <f>SUMIF(KeyRaces!$B$38:$B$49,CongressionalAnalysis!$C24,KeyRaces!AD$38:AD$49)</f>
        <v>0.24399222523265401</v>
      </c>
      <c r="AE29">
        <f>SUMIF(KeyRaces!$B$38:$B$49,CongressionalAnalysis!$C24,KeyRaces!AE$38:AE$49)</f>
        <v>53530</v>
      </c>
      <c r="AF29">
        <f>SUMIF(KeyRaces!$B$38:$B$49,CongressionalAnalysis!$C24,KeyRaces!AF$38:AF$49)</f>
        <v>0.2781704047059802</v>
      </c>
      <c r="AG29">
        <f>SUMIF(KeyRaces!$B$38:$B$49,CongressionalAnalysis!$C24,KeyRaces!AG$38:AG$49)</f>
        <v>-1.9300000000000002</v>
      </c>
      <c r="AH29">
        <f>SUMIF(KeyRaces!$B$38:$B$49,CongressionalAnalysis!$C24,KeyRaces!AH$38:AH$49)</f>
        <v>1392</v>
      </c>
      <c r="AI29">
        <f>SUMIF(KeyRaces!$B$38:$B$49,CongressionalAnalysis!$C24,KeyRaces!AI$38:AI$49)</f>
        <v>0.21043083900226758</v>
      </c>
      <c r="AJ29">
        <f>SUMIF(KeyRaces!$B$38:$B$49,CongressionalAnalysis!$C24,KeyRaces!AJ$38:AJ$49)</f>
        <v>56229</v>
      </c>
      <c r="AK29">
        <f>SUMIF(KeyRaces!$B$38:$B$49,CongressionalAnalysis!$C24,KeyRaces!AK$38:AK$49)</f>
        <v>0.27535025390653695</v>
      </c>
      <c r="AL29">
        <f>SUMIF(KeyRaces!$B$38:$B$49,CongressionalAnalysis!$C24,KeyRaces!AL$38:AL$49)</f>
        <v>-2.2199999999999998</v>
      </c>
      <c r="AM29">
        <f>SUMIF(KeyRaces!$B$38:$B$49,CongressionalAnalysis!$C24,KeyRaces!AM$38:AM$49)</f>
        <v>2699</v>
      </c>
      <c r="AN29">
        <f>SUMIF(KeyRaces!$B$38:$B$49,CongressionalAnalysis!$C24,KeyRaces!AN$38:AN$49)</f>
        <v>0.22925337636965937</v>
      </c>
    </row>
    <row r="30" spans="2:40" x14ac:dyDescent="0.3">
      <c r="C30" t="s">
        <v>9</v>
      </c>
      <c r="D30" s="11">
        <f t="shared" si="4"/>
        <v>96791</v>
      </c>
      <c r="E30" s="12">
        <f t="shared" si="27"/>
        <v>0.47398008902643862</v>
      </c>
      <c r="F30" s="8">
        <f>SUMIF(KeyRaces!$B$38:$B$49,CongressionalAnalysis!$C25,KeyRaces!E$38:E$49)</f>
        <v>54205</v>
      </c>
      <c r="G30" s="5">
        <f>SUMIF(KeyRaces!$B$38:$B$49,CongressionalAnalysis!$C25,KeyRaces!F$38:F$49)</f>
        <v>0.47970000000000002</v>
      </c>
      <c r="H30" s="15">
        <f t="shared" si="6"/>
        <v>42586</v>
      </c>
      <c r="I30" s="13">
        <f>H30/SUM(H29:H32)</f>
        <v>0.46723865531466691</v>
      </c>
      <c r="J30" s="5">
        <f t="shared" si="9"/>
        <v>-1.2461344685333109E-2</v>
      </c>
      <c r="K30" s="8">
        <f>SUMIF(KeyRaces!$B$38:$B$49,CongressionalAnalysis!$C25,KeyRaces!K$38:K$49)</f>
        <v>60162</v>
      </c>
      <c r="L30" s="5">
        <f>SUMIF(KeyRaces!$B$38:$B$49,CongressionalAnalysis!$C25,KeyRaces!L$38:L$49)</f>
        <v>0.4738</v>
      </c>
      <c r="M30" s="6">
        <f t="shared" si="11"/>
        <v>-0.59000000000000163</v>
      </c>
      <c r="N30" s="8">
        <f>SUMIF(KeyRaces!$B$38:$B$49,CongressionalAnalysis!$C25,KeyRaces!N$38:N$49)</f>
        <v>5957</v>
      </c>
      <c r="O30" s="1">
        <f>SUMIF(KeyRaces!$B$38:$B$49,CongressionalAnalysis!$C25,KeyRaces!O$38:O$49)</f>
        <v>0.42590000000000006</v>
      </c>
      <c r="P30">
        <f>SUMIF(KeyRaces!$B$38:$B$49,CongressionalAnalysis!$C25,KeyRaces!P$38:P$49)</f>
        <v>67958</v>
      </c>
      <c r="Q30">
        <f>SUMIF(KeyRaces!$B$38:$B$49,CongressionalAnalysis!$C25,KeyRaces!Q$38:Q$49)</f>
        <v>0.47240624239685797</v>
      </c>
      <c r="R30" s="6">
        <f t="shared" si="14"/>
        <v>-0.72937576031420481</v>
      </c>
      <c r="S30">
        <f>SUMIF(KeyRaces!$B$38:$B$49,CongressionalAnalysis!$C25,KeyRaces!S$38:S$49)</f>
        <v>7796</v>
      </c>
      <c r="T30">
        <f>SUMIF(KeyRaces!$B$38:$B$49,CongressionalAnalysis!$C25,KeyRaces!T$38:T$49)</f>
        <v>0.46206733048838311</v>
      </c>
      <c r="U30">
        <f>SUMIF(KeyRaces!$B$38:$B$49,CongressionalAnalysis!$C25,KeyRaces!U$38:U$49)</f>
        <v>71884</v>
      </c>
      <c r="V30">
        <f>SUMIF(KeyRaces!$B$38:$B$49,CongressionalAnalysis!$C25,KeyRaces!V$38:V$49)</f>
        <v>0.47334145458137161</v>
      </c>
      <c r="W30">
        <f>SUMIF(KeyRaces!$B$38:$B$49,CongressionalAnalysis!$C25,KeyRaces!W$38:W$49)</f>
        <v>-0.64</v>
      </c>
      <c r="X30">
        <f>SUMIF(KeyRaces!$B$38:$B$49,CongressionalAnalysis!$C25,KeyRaces!X$38:X$49)</f>
        <v>3926</v>
      </c>
      <c r="Y30">
        <f>SUMIF(KeyRaces!$B$38:$B$49,CongressionalAnalysis!$C25,KeyRaces!Y$38:Y$49)</f>
        <v>0.49013732833957552</v>
      </c>
      <c r="Z30">
        <f>SUMIF(KeyRaces!$B$38:$B$49,CongressionalAnalysis!$C25,KeyRaces!Z$38:Z$49)</f>
        <v>86733</v>
      </c>
      <c r="AA30">
        <f>SUMIF(KeyRaces!$B$38:$B$49,CongressionalAnalysis!$C25,KeyRaces!AA$38:AA$49)</f>
        <v>0.4667556411815672</v>
      </c>
      <c r="AB30">
        <f>SUMIF(KeyRaces!$B$38:$B$49,CongressionalAnalysis!$C25,KeyRaces!AB$38:AB$49)</f>
        <v>-1.29</v>
      </c>
      <c r="AC30">
        <f>SUMIF(KeyRaces!$B$38:$B$49,CongressionalAnalysis!$C25,KeyRaces!AC$38:AC$49)</f>
        <v>14849</v>
      </c>
      <c r="AD30">
        <f>SUMIF(KeyRaces!$B$38:$B$49,CongressionalAnalysis!$C25,KeyRaces!AD$38:AD$49)</f>
        <v>0.43730121333490402</v>
      </c>
      <c r="AE30">
        <f>SUMIF(KeyRaces!$B$38:$B$49,CongressionalAnalysis!$C25,KeyRaces!AE$38:AE$49)</f>
        <v>90246</v>
      </c>
      <c r="AF30">
        <f>SUMIF(KeyRaces!$B$38:$B$49,CongressionalAnalysis!$C25,KeyRaces!AF$38:AF$49)</f>
        <v>0.46896630568084974</v>
      </c>
      <c r="AG30">
        <f>SUMIF(KeyRaces!$B$38:$B$49,CongressionalAnalysis!$C25,KeyRaces!AG$38:AG$49)</f>
        <v>-1.07</v>
      </c>
      <c r="AH30">
        <f>SUMIF(KeyRaces!$B$38:$B$49,CongressionalAnalysis!$C25,KeyRaces!AH$38:AH$49)</f>
        <v>3513</v>
      </c>
      <c r="AI30">
        <f>SUMIF(KeyRaces!$B$38:$B$49,CongressionalAnalysis!$C25,KeyRaces!AI$38:AI$49)</f>
        <v>0.53106575963718816</v>
      </c>
      <c r="AJ30">
        <f>SUMIF(KeyRaces!$B$38:$B$49,CongressionalAnalysis!$C25,KeyRaces!AJ$38:AJ$49)</f>
        <v>96791</v>
      </c>
      <c r="AK30">
        <f>SUMIF(KeyRaces!$B$38:$B$49,CongressionalAnalysis!$C25,KeyRaces!AK$38:AK$49)</f>
        <v>0.47398008902643862</v>
      </c>
      <c r="AL30">
        <f>SUMIF(KeyRaces!$B$38:$B$49,CongressionalAnalysis!$C25,KeyRaces!AL$38:AL$49)</f>
        <v>-0.56999999999999995</v>
      </c>
      <c r="AM30">
        <f>SUMIF(KeyRaces!$B$38:$B$49,CongressionalAnalysis!$C25,KeyRaces!AM$38:AM$49)</f>
        <v>6545</v>
      </c>
      <c r="AN30">
        <f>SUMIF(KeyRaces!$B$38:$B$49,CongressionalAnalysis!$C25,KeyRaces!AN$38:AN$49)</f>
        <v>0.55593306718763269</v>
      </c>
    </row>
    <row r="31" spans="2:40" x14ac:dyDescent="0.3">
      <c r="C31" t="s">
        <v>282</v>
      </c>
      <c r="D31" s="11">
        <f t="shared" si="4"/>
        <v>9048</v>
      </c>
      <c r="E31" s="12">
        <f t="shared" si="27"/>
        <v>4.4307547659505703E-2</v>
      </c>
      <c r="F31" s="8">
        <f>SUMIF(KeyRaces!$B$38:$B$49,CongressionalAnalysis!$C26,KeyRaces!E$38:E$49)</f>
        <v>4089</v>
      </c>
      <c r="G31" s="5">
        <f>SUMIF(KeyRaces!$B$38:$B$49,CongressionalAnalysis!$C26,KeyRaces!F$38:F$49)</f>
        <v>3.6200000000000003E-2</v>
      </c>
      <c r="H31" s="15">
        <f t="shared" si="6"/>
        <v>4959</v>
      </c>
      <c r="I31" s="13">
        <f>H31/SUM(H29:H32)</f>
        <v>5.4408408671991572E-2</v>
      </c>
      <c r="J31" s="5">
        <f t="shared" si="9"/>
        <v>1.8208408671991569E-2</v>
      </c>
      <c r="K31" s="8">
        <f>SUMIF(KeyRaces!$B$38:$B$49,CongressionalAnalysis!$C26,KeyRaces!K$38:K$49)</f>
        <v>4851</v>
      </c>
      <c r="L31" s="5">
        <f>SUMIF(KeyRaces!$B$38:$B$49,CongressionalAnalysis!$C26,KeyRaces!L$38:L$49)</f>
        <v>3.8199999999999998E-2</v>
      </c>
      <c r="M31" s="6">
        <f t="shared" si="11"/>
        <v>0.19999999999999948</v>
      </c>
      <c r="N31" s="8">
        <f>SUMIF(KeyRaces!$B$38:$B$49,CongressionalAnalysis!$C26,KeyRaces!N$38:N$49)</f>
        <v>762</v>
      </c>
      <c r="O31" s="1">
        <f>SUMIF(KeyRaces!$B$38:$B$49,CongressionalAnalysis!$C26,KeyRaces!O$38:O$49)</f>
        <v>5.45E-2</v>
      </c>
      <c r="P31">
        <f>SUMIF(KeyRaces!$B$38:$B$49,CongressionalAnalysis!$C26,KeyRaces!P$38:P$49)</f>
        <v>5863</v>
      </c>
      <c r="Q31">
        <f>SUMIF(KeyRaces!$B$38:$B$49,CongressionalAnalysis!$C26,KeyRaces!Q$38:Q$49)</f>
        <v>4.0756317124882695E-2</v>
      </c>
      <c r="R31" s="6">
        <f t="shared" si="14"/>
        <v>0.45563171248826917</v>
      </c>
      <c r="S31">
        <f>SUMIF(KeyRaces!$B$38:$B$49,CongressionalAnalysis!$C26,KeyRaces!S$38:S$49)</f>
        <v>1012</v>
      </c>
      <c r="T31">
        <f>SUMIF(KeyRaces!$B$38:$B$49,CongressionalAnalysis!$C26,KeyRaces!T$38:T$49)</f>
        <v>5.9981033665244189E-2</v>
      </c>
      <c r="U31">
        <f>SUMIF(KeyRaces!$B$38:$B$49,CongressionalAnalysis!$C26,KeyRaces!U$38:U$49)</f>
        <v>6192</v>
      </c>
      <c r="V31">
        <f>SUMIF(KeyRaces!$B$38:$B$49,CongressionalAnalysis!$C26,KeyRaces!V$38:V$49)</f>
        <v>4.0773055015968132E-2</v>
      </c>
      <c r="W31">
        <f>SUMIF(KeyRaces!$B$38:$B$49,CongressionalAnalysis!$C26,KeyRaces!W$38:W$49)</f>
        <v>0.46</v>
      </c>
      <c r="X31">
        <f>SUMIF(KeyRaces!$B$38:$B$49,CongressionalAnalysis!$C26,KeyRaces!X$38:X$49)</f>
        <v>329</v>
      </c>
      <c r="Y31">
        <f>SUMIF(KeyRaces!$B$38:$B$49,CongressionalAnalysis!$C26,KeyRaces!Y$38:Y$49)</f>
        <v>4.1073657927590511E-2</v>
      </c>
      <c r="Z31">
        <f>SUMIF(KeyRaces!$B$38:$B$49,CongressionalAnalysis!$C26,KeyRaces!Z$38:Z$49)</f>
        <v>8419</v>
      </c>
      <c r="AA31">
        <f>SUMIF(KeyRaces!$B$38:$B$49,CongressionalAnalysis!$C26,KeyRaces!AA$38:AA$49)</f>
        <v>4.5307042799253044E-2</v>
      </c>
      <c r="AB31">
        <f>SUMIF(KeyRaces!$B$38:$B$49,CongressionalAnalysis!$C26,KeyRaces!AB$38:AB$49)</f>
        <v>0.91</v>
      </c>
      <c r="AC31">
        <f>SUMIF(KeyRaces!$B$38:$B$49,CongressionalAnalysis!$C26,KeyRaces!AC$38:AC$49)</f>
        <v>2227</v>
      </c>
      <c r="AD31">
        <f>SUMIF(KeyRaces!$B$38:$B$49,CongressionalAnalysis!$C26,KeyRaces!AD$38:AD$49)</f>
        <v>6.5584874543526919E-2</v>
      </c>
      <c r="AE31">
        <f>SUMIF(KeyRaces!$B$38:$B$49,CongressionalAnalysis!$C26,KeyRaces!AE$38:AE$49)</f>
        <v>8711</v>
      </c>
      <c r="AF31">
        <f>SUMIF(KeyRaces!$B$38:$B$49,CongressionalAnalysis!$C26,KeyRaces!AF$38:AF$49)</f>
        <v>4.5266997859028456E-2</v>
      </c>
      <c r="AG31">
        <f>SUMIF(KeyRaces!$B$38:$B$49,CongressionalAnalysis!$C26,KeyRaces!AG$38:AG$49)</f>
        <v>0.91</v>
      </c>
      <c r="AH31">
        <f>SUMIF(KeyRaces!$B$38:$B$49,CongressionalAnalysis!$C26,KeyRaces!AH$38:AH$49)</f>
        <v>292</v>
      </c>
      <c r="AI31">
        <f>SUMIF(KeyRaces!$B$38:$B$49,CongressionalAnalysis!$C26,KeyRaces!AI$38:AI$49)</f>
        <v>4.4142101284958428E-2</v>
      </c>
      <c r="AJ31">
        <f>SUMIF(KeyRaces!$B$38:$B$49,CongressionalAnalysis!$C26,KeyRaces!AJ$38:AJ$49)</f>
        <v>9048</v>
      </c>
      <c r="AK31">
        <f>SUMIF(KeyRaces!$B$38:$B$49,CongressionalAnalysis!$C26,KeyRaces!AK$38:AK$49)</f>
        <v>4.4307547659505703E-2</v>
      </c>
      <c r="AL31">
        <f>SUMIF(KeyRaces!$B$38:$B$49,CongressionalAnalysis!$C26,KeyRaces!AL$38:AL$49)</f>
        <v>0.81</v>
      </c>
      <c r="AM31">
        <f>SUMIF(KeyRaces!$B$38:$B$49,CongressionalAnalysis!$C26,KeyRaces!AM$38:AM$49)</f>
        <v>337</v>
      </c>
      <c r="AN31">
        <f>SUMIF(KeyRaces!$B$38:$B$49,CongressionalAnalysis!$C26,KeyRaces!AN$38:AN$49)</f>
        <v>2.8624819502250914E-2</v>
      </c>
    </row>
    <row r="32" spans="2:40" x14ac:dyDescent="0.3">
      <c r="C32" t="s">
        <v>11</v>
      </c>
      <c r="D32" s="11">
        <f t="shared" si="4"/>
        <v>41969</v>
      </c>
      <c r="E32" s="12">
        <f t="shared" si="27"/>
        <v>0.20551983507093222</v>
      </c>
      <c r="F32" s="8">
        <f>SUMIF(KeyRaces!$B$38:$B$49,CongressionalAnalysis!$C27,KeyRaces!E$38:E$49)</f>
        <v>20984</v>
      </c>
      <c r="G32" s="5">
        <f>SUMIF(KeyRaces!$B$38:$B$49,CongressionalAnalysis!$C27,KeyRaces!F$38:F$49)</f>
        <v>0.18579999999999997</v>
      </c>
      <c r="H32" s="15">
        <f t="shared" si="6"/>
        <v>20985</v>
      </c>
      <c r="I32" s="13">
        <f>H32/SUM(H29:H32)</f>
        <v>0.23024005968577196</v>
      </c>
      <c r="J32" s="5">
        <f t="shared" si="9"/>
        <v>4.4440059685771999E-2</v>
      </c>
      <c r="K32" s="8">
        <f>SUMIF(KeyRaces!$B$38:$B$49,CongressionalAnalysis!$C27,KeyRaces!K$38:K$49)</f>
        <v>24133</v>
      </c>
      <c r="L32" s="5">
        <f>SUMIF(KeyRaces!$B$38:$B$49,CongressionalAnalysis!$C27,KeyRaces!L$38:L$49)</f>
        <v>0.19</v>
      </c>
      <c r="M32" s="6">
        <f t="shared" si="11"/>
        <v>0.4200000000000037</v>
      </c>
      <c r="N32" s="8">
        <f>SUMIF(KeyRaces!$B$38:$B$49,CongressionalAnalysis!$C27,KeyRaces!N$38:N$49)</f>
        <v>3149</v>
      </c>
      <c r="O32" s="1">
        <f>SUMIF(KeyRaces!$B$38:$B$49,CongressionalAnalysis!$C27,KeyRaces!O$38:O$49)</f>
        <v>0.22519999999999998</v>
      </c>
      <c r="P32">
        <f>SUMIF(KeyRaces!$B$38:$B$49,CongressionalAnalysis!$C27,KeyRaces!P$38:P$49)</f>
        <v>28125</v>
      </c>
      <c r="Q32">
        <f>SUMIF(KeyRaces!$B$38:$B$49,CongressionalAnalysis!$C27,KeyRaces!Q$38:Q$49)</f>
        <v>0.19550936707100897</v>
      </c>
      <c r="R32" s="6">
        <f t="shared" si="14"/>
        <v>0.97093670710090008</v>
      </c>
      <c r="S32">
        <f>SUMIF(KeyRaces!$B$38:$B$49,CongressionalAnalysis!$C27,KeyRaces!S$38:S$49)</f>
        <v>3992</v>
      </c>
      <c r="T32">
        <f>SUMIF(KeyRaces!$B$38:$B$49,CongressionalAnalysis!$C27,KeyRaces!T$38:T$49)</f>
        <v>0.23660502607871031</v>
      </c>
      <c r="U32">
        <f>SUMIF(KeyRaces!$B$38:$B$49,CongressionalAnalysis!$C27,KeyRaces!U$38:U$49)</f>
        <v>29802</v>
      </c>
      <c r="V32">
        <f>SUMIF(KeyRaces!$B$38:$B$49,CongressionalAnalysis!$C27,KeyRaces!V$38:V$49)</f>
        <v>0.19624008165146675</v>
      </c>
      <c r="W32">
        <f>SUMIF(KeyRaces!$B$38:$B$49,CongressionalAnalysis!$C27,KeyRaces!W$38:W$49)</f>
        <v>1.0399999999999998</v>
      </c>
      <c r="X32">
        <f>SUMIF(KeyRaces!$B$38:$B$49,CongressionalAnalysis!$C27,KeyRaces!X$38:X$49)</f>
        <v>1677</v>
      </c>
      <c r="Y32">
        <f>SUMIF(KeyRaces!$B$38:$B$49,CongressionalAnalysis!$C27,KeyRaces!Y$38:Y$49)</f>
        <v>0.20936329588014982</v>
      </c>
      <c r="Z32">
        <f>SUMIF(KeyRaces!$B$38:$B$49,CongressionalAnalysis!$C27,KeyRaces!Z$38:Z$49)</f>
        <v>38378</v>
      </c>
      <c r="AA32">
        <f>SUMIF(KeyRaces!$B$38:$B$49,CongressionalAnalysis!$C27,KeyRaces!AA$38:AA$49)</f>
        <v>0.20653209271287962</v>
      </c>
      <c r="AB32">
        <f>SUMIF(KeyRaces!$B$38:$B$49,CongressionalAnalysis!$C27,KeyRaces!AB$38:AB$49)</f>
        <v>2.0700000000000003</v>
      </c>
      <c r="AC32">
        <f>SUMIF(KeyRaces!$B$38:$B$49,CongressionalAnalysis!$C27,KeyRaces!AC$38:AC$49)</f>
        <v>8576</v>
      </c>
      <c r="AD32">
        <f>SUMIF(KeyRaces!$B$38:$B$49,CongressionalAnalysis!$C27,KeyRaces!AD$38:AD$49)</f>
        <v>0.25256213923901522</v>
      </c>
      <c r="AE32">
        <f>SUMIF(KeyRaces!$B$38:$B$49,CongressionalAnalysis!$C27,KeyRaces!AE$38:AE$49)</f>
        <v>39789</v>
      </c>
      <c r="AF32">
        <f>SUMIF(KeyRaces!$B$38:$B$49,CongressionalAnalysis!$C27,KeyRaces!AF$38:AF$49)</f>
        <v>0.20676484649441895</v>
      </c>
      <c r="AG32">
        <f>SUMIF(KeyRaces!$B$38:$B$49,CongressionalAnalysis!$C27,KeyRaces!AG$38:AG$49)</f>
        <v>2.1</v>
      </c>
      <c r="AH32">
        <f>SUMIF(KeyRaces!$B$38:$B$49,CongressionalAnalysis!$C27,KeyRaces!AH$38:AH$49)</f>
        <v>1411</v>
      </c>
      <c r="AI32">
        <f>SUMIF(KeyRaces!$B$38:$B$49,CongressionalAnalysis!$C27,KeyRaces!AI$38:AI$49)</f>
        <v>0.2133030990173847</v>
      </c>
      <c r="AJ32">
        <f>SUMIF(KeyRaces!$B$38:$B$49,CongressionalAnalysis!$C27,KeyRaces!AJ$38:AJ$49)</f>
        <v>41969</v>
      </c>
      <c r="AK32">
        <f>SUMIF(KeyRaces!$B$38:$B$49,CongressionalAnalysis!$C27,KeyRaces!AK$38:AK$49)</f>
        <v>0.20551983507093222</v>
      </c>
      <c r="AL32">
        <f>SUMIF(KeyRaces!$B$38:$B$49,CongressionalAnalysis!$C27,KeyRaces!AL$38:AL$49)</f>
        <v>1.9699999999999998</v>
      </c>
      <c r="AM32">
        <f>SUMIF(KeyRaces!$B$38:$B$49,CongressionalAnalysis!$C27,KeyRaces!AM$38:AM$49)</f>
        <v>2180</v>
      </c>
      <c r="AN32">
        <f>SUMIF(KeyRaces!$B$38:$B$49,CongressionalAnalysis!$C27,KeyRaces!AN$38:AN$49)</f>
        <v>0.18516945553384861</v>
      </c>
    </row>
    <row r="33" spans="2:40" x14ac:dyDescent="0.3">
      <c r="B33" s="2" t="s">
        <v>289</v>
      </c>
      <c r="C33" t="s">
        <v>281</v>
      </c>
      <c r="D33" s="11">
        <f t="shared" si="4"/>
        <v>213145</v>
      </c>
      <c r="F33" s="8">
        <f>KeyRaces!E50</f>
        <v>115692</v>
      </c>
      <c r="G33" s="5" t="str">
        <f>KeyRaces!F50</f>
        <v/>
      </c>
      <c r="H33" s="15">
        <f t="shared" si="6"/>
        <v>97453</v>
      </c>
      <c r="I33" s="15"/>
      <c r="K33" s="8">
        <f>KeyRaces!K50</f>
        <v>135916</v>
      </c>
      <c r="L33" s="5" t="str">
        <f>KeyRaces!L50</f>
        <v/>
      </c>
      <c r="M33" s="6"/>
      <c r="N33" s="8">
        <f>KeyRaces!N50</f>
        <v>20224</v>
      </c>
      <c r="O33" s="1" t="str">
        <f>KeyRaces!O50</f>
        <v/>
      </c>
      <c r="P33">
        <f>KeyRaces!P50</f>
        <v>161351</v>
      </c>
      <c r="Q33" t="str">
        <f>KeyRaces!Q50</f>
        <v/>
      </c>
      <c r="R33" s="6"/>
      <c r="S33">
        <f>KeyRaces!S50</f>
        <v>25435</v>
      </c>
      <c r="T33" t="str">
        <f>KeyRaces!T50</f>
        <v/>
      </c>
      <c r="U33">
        <f>KeyRaces!U50</f>
        <v>180355</v>
      </c>
      <c r="V33" t="str">
        <f>KeyRaces!V50</f>
        <v/>
      </c>
      <c r="W33" t="str">
        <f>KeyRaces!W50</f>
        <v/>
      </c>
      <c r="X33">
        <f>KeyRaces!X50</f>
        <v>19004</v>
      </c>
      <c r="Y33" t="str">
        <f>KeyRaces!Y50</f>
        <v/>
      </c>
      <c r="Z33">
        <f>KeyRaces!Z50</f>
        <v>192660</v>
      </c>
      <c r="AA33">
        <f>KeyRaces!AA50</f>
        <v>0</v>
      </c>
      <c r="AB33">
        <f>KeyRaces!AB50</f>
        <v>0</v>
      </c>
      <c r="AC33">
        <f>KeyRaces!AC50</f>
        <v>12305</v>
      </c>
      <c r="AD33">
        <f>KeyRaces!AD50</f>
        <v>0</v>
      </c>
      <c r="AE33">
        <f>KeyRaces!AE50</f>
        <v>205029</v>
      </c>
      <c r="AF33">
        <f>KeyRaces!AF50</f>
        <v>0</v>
      </c>
      <c r="AG33">
        <f>KeyRaces!AG50</f>
        <v>0</v>
      </c>
      <c r="AH33">
        <f>KeyRaces!AH50</f>
        <v>12369</v>
      </c>
      <c r="AI33">
        <f>KeyRaces!AI50</f>
        <v>0</v>
      </c>
      <c r="AJ33">
        <f>KeyRaces!AJ50</f>
        <v>213145</v>
      </c>
      <c r="AK33">
        <f>KeyRaces!AK50</f>
        <v>0</v>
      </c>
      <c r="AL33">
        <f>KeyRaces!AL50</f>
        <v>0</v>
      </c>
      <c r="AM33">
        <f>KeyRaces!AM50</f>
        <v>8116</v>
      </c>
      <c r="AN33">
        <f>KeyRaces!AN50</f>
        <v>0</v>
      </c>
    </row>
    <row r="34" spans="2:40" x14ac:dyDescent="0.3">
      <c r="C34" t="s">
        <v>8</v>
      </c>
      <c r="D34" s="11">
        <f t="shared" si="4"/>
        <v>132805</v>
      </c>
      <c r="E34" s="12">
        <f t="shared" si="27"/>
        <v>0.58773156548446204</v>
      </c>
      <c r="F34" s="8">
        <f>SUMIF(KeyRaces!$B$51:$B$55,CongressionalAnalysis!$C29,KeyRaces!E$51:E$55)</f>
        <v>74078</v>
      </c>
      <c r="G34" s="5">
        <f>SUMIF(KeyRaces!$B$51:$B$55,CongressionalAnalysis!$C29,KeyRaces!F$51:F$55)</f>
        <v>0.60240000000000005</v>
      </c>
      <c r="H34" s="15">
        <f t="shared" si="6"/>
        <v>58727</v>
      </c>
      <c r="I34" s="13">
        <f>H34/SUM(H34:H37)</f>
        <v>0.57060823940924987</v>
      </c>
      <c r="J34" s="5">
        <f t="shared" si="9"/>
        <v>-3.1791760590750173E-2</v>
      </c>
      <c r="K34" s="8">
        <f>SUMIF(KeyRaces!$B$51:$B$55,CongressionalAnalysis!$C29,KeyRaces!K$51:K$55)</f>
        <v>86774</v>
      </c>
      <c r="L34" s="5">
        <f>SUMIF(KeyRaces!$B$51:$B$55,CongressionalAnalysis!$C29,KeyRaces!L$51:L$55)</f>
        <v>0.60709999999999997</v>
      </c>
      <c r="M34" s="6">
        <f t="shared" si="11"/>
        <v>0.46999999999999265</v>
      </c>
      <c r="N34" s="8">
        <f>SUMIF(KeyRaces!$B$51:$B$55,CongressionalAnalysis!$C29,KeyRaces!N$51:N$55)</f>
        <v>12696</v>
      </c>
      <c r="O34" s="1">
        <f>SUMIF(KeyRaces!$B$51:$B$55,CongressionalAnalysis!$C29,KeyRaces!O$51:O$55)</f>
        <v>0.63580000000000003</v>
      </c>
      <c r="P34">
        <f>SUMIF(KeyRaces!$B$51:$B$55,CongressionalAnalysis!$C29,KeyRaces!P$51:P$55)</f>
        <v>105695</v>
      </c>
      <c r="Q34">
        <f>SUMIF(KeyRaces!$B$51:$B$55,CongressionalAnalysis!$C29,KeyRaces!Q$51:Q$55)</f>
        <v>0.61031874350386883</v>
      </c>
      <c r="R34" s="6">
        <f t="shared" si="14"/>
        <v>0.79187435038687859</v>
      </c>
      <c r="S34">
        <f>SUMIF(KeyRaces!$B$51:$B$55,CongressionalAnalysis!$C29,KeyRaces!S$51:S$55)</f>
        <v>18921</v>
      </c>
      <c r="T34">
        <f>SUMIF(KeyRaces!$B$51:$B$55,CongressionalAnalysis!$C29,KeyRaces!T$51:T$55)</f>
        <v>0.62565306527346076</v>
      </c>
      <c r="U34">
        <f>SUMIF(KeyRaces!$B$51:$B$55,CongressionalAnalysis!$C29,KeyRaces!U$51:U$55)</f>
        <v>116632</v>
      </c>
      <c r="V34">
        <f>SUMIF(KeyRaces!$B$51:$B$55,CongressionalAnalysis!$C29,KeyRaces!V$51:V$55)</f>
        <v>0.60774954665777348</v>
      </c>
      <c r="W34">
        <f>SUMIF(KeyRaces!$B$51:$B$55,CongressionalAnalysis!$C29,KeyRaces!W$51:W$55)</f>
        <v>0.53</v>
      </c>
      <c r="X34">
        <f>SUMIF(KeyRaces!$B$51:$B$55,CongressionalAnalysis!$C29,KeyRaces!X$51:X$55)</f>
        <v>10937</v>
      </c>
      <c r="Y34">
        <f>SUMIF(KeyRaces!$B$51:$B$55,CongressionalAnalysis!$C29,KeyRaces!Y$51:Y$55)</f>
        <v>0.58399188381033751</v>
      </c>
      <c r="Z34">
        <f>SUMIF(KeyRaces!$B$51:$B$55,CongressionalAnalysis!$C29,KeyRaces!Z$51:Z$55)</f>
        <v>123571</v>
      </c>
      <c r="AA34">
        <f>SUMIF(KeyRaces!$B$51:$B$55,CongressionalAnalysis!$C29,KeyRaces!AA$51:AA$55)</f>
        <v>0.60176090460630438</v>
      </c>
      <c r="AB34">
        <f>SUMIF(KeyRaces!$B$51:$B$55,CongressionalAnalysis!$C29,KeyRaces!AB$51:AB$55)</f>
        <v>-0.06</v>
      </c>
      <c r="AC34">
        <f>SUMIF(KeyRaces!$B$51:$B$55,CongressionalAnalysis!$C29,KeyRaces!AC$51:AC$55)</f>
        <v>6939</v>
      </c>
      <c r="AD34">
        <f>SUMIF(KeyRaces!$B$51:$B$55,CongressionalAnalysis!$C29,KeyRaces!AD$51:AD$55)</f>
        <v>0.51625623093519823</v>
      </c>
      <c r="AE34">
        <f>SUMIF(KeyRaces!$B$51:$B$55,CongressionalAnalysis!$C29,KeyRaces!AE$51:AE$55)</f>
        <v>128704</v>
      </c>
      <c r="AF34">
        <f>SUMIF(KeyRaces!$B$51:$B$55,CongressionalAnalysis!$C29,KeyRaces!AF$51:AF$55)</f>
        <v>0.59164188161094433</v>
      </c>
      <c r="AG34">
        <f>SUMIF(KeyRaces!$B$51:$B$55,CongressionalAnalysis!$C29,KeyRaces!AG$51:AG$55)</f>
        <v>-1.08</v>
      </c>
      <c r="AH34">
        <f>SUMIF(KeyRaces!$B$51:$B$55,CongressionalAnalysis!$C29,KeyRaces!AH$51:AH$55)</f>
        <v>5133</v>
      </c>
      <c r="AI34">
        <f>SUMIF(KeyRaces!$B$51:$B$55,CongressionalAnalysis!$C29,KeyRaces!AI$51:AI$55)</f>
        <v>0.4211519527404004</v>
      </c>
      <c r="AJ34">
        <f>SUMIF(KeyRaces!$B$51:$B$55,CongressionalAnalysis!$C29,KeyRaces!AJ$51:AJ$55)</f>
        <v>132805</v>
      </c>
      <c r="AK34">
        <f>SUMIF(KeyRaces!$B$51:$B$55,CongressionalAnalysis!$C29,KeyRaces!AK$51:AK$55)</f>
        <v>0.58773156548446204</v>
      </c>
      <c r="AL34">
        <f>SUMIF(KeyRaces!$B$51:$B$55,CongressionalAnalysis!$C29,KeyRaces!AL$51:AL$55)</f>
        <v>-1.47</v>
      </c>
      <c r="AM34">
        <f>SUMIF(KeyRaces!$B$51:$B$55,CongressionalAnalysis!$C29,KeyRaces!AM$51:AM$55)</f>
        <v>4101</v>
      </c>
      <c r="AN34">
        <f>SUMIF(KeyRaces!$B$51:$B$55,CongressionalAnalysis!$C29,KeyRaces!AN$51:AN$55)</f>
        <v>0.48676557863501485</v>
      </c>
    </row>
    <row r="35" spans="2:40" x14ac:dyDescent="0.3">
      <c r="C35" t="s">
        <v>9</v>
      </c>
      <c r="D35" s="11">
        <f t="shared" si="4"/>
        <v>79665</v>
      </c>
      <c r="E35" s="12">
        <f t="shared" si="27"/>
        <v>0.35255927987891766</v>
      </c>
      <c r="F35" s="8">
        <f>SUMIF(KeyRaces!$B$51:$B$55,CongressionalAnalysis!$C30,KeyRaces!E$51:E$55)</f>
        <v>42354</v>
      </c>
      <c r="G35" s="5">
        <f>SUMIF(KeyRaces!$B$51:$B$55,CongressionalAnalysis!$C30,KeyRaces!F$51:F$55)</f>
        <v>0.34440000000000004</v>
      </c>
      <c r="H35" s="15">
        <f t="shared" si="6"/>
        <v>37311</v>
      </c>
      <c r="I35" s="13">
        <f>H35/SUM(H34:H37)</f>
        <v>0.36252429071123204</v>
      </c>
      <c r="J35" s="5">
        <f t="shared" si="9"/>
        <v>1.8124290711232005E-2</v>
      </c>
      <c r="K35" s="8">
        <f>SUMIF(KeyRaces!$B$51:$B$55,CongressionalAnalysis!$C30,KeyRaces!K$51:K$55)</f>
        <v>48369</v>
      </c>
      <c r="L35" s="5">
        <f>SUMIF(KeyRaces!$B$51:$B$55,CongressionalAnalysis!$C30,KeyRaces!L$51:L$55)</f>
        <v>0.33829999999999999</v>
      </c>
      <c r="M35" s="6">
        <f t="shared" si="11"/>
        <v>-0.61000000000000498</v>
      </c>
      <c r="N35" s="8">
        <f>SUMIF(KeyRaces!$B$51:$B$55,CongressionalAnalysis!$C30,KeyRaces!N$51:N$55)</f>
        <v>6015</v>
      </c>
      <c r="O35" s="1">
        <f>SUMIF(KeyRaces!$B$51:$B$55,CongressionalAnalysis!$C30,KeyRaces!O$51:O$55)</f>
        <v>0.30120000000000002</v>
      </c>
      <c r="P35">
        <f>SUMIF(KeyRaces!$B$51:$B$55,CongressionalAnalysis!$C30,KeyRaces!P$51:P$55)</f>
        <v>57576</v>
      </c>
      <c r="Q35">
        <f>SUMIF(KeyRaces!$B$51:$B$55,CongressionalAnalysis!$C30,KeyRaces!Q$51:Q$55)</f>
        <v>0.33246333294837738</v>
      </c>
      <c r="R35" s="6">
        <f t="shared" si="14"/>
        <v>-1.1936667051622663</v>
      </c>
      <c r="S35">
        <f>SUMIF(KeyRaces!$B$51:$B$55,CongressionalAnalysis!$C30,KeyRaces!S$51:S$55)</f>
        <v>9207</v>
      </c>
      <c r="T35">
        <f>SUMIF(KeyRaces!$B$51:$B$55,CongressionalAnalysis!$C30,KeyRaces!T$51:T$55)</f>
        <v>0.30444415051914553</v>
      </c>
      <c r="U35">
        <f>SUMIF(KeyRaces!$B$51:$B$55,CongressionalAnalysis!$C30,KeyRaces!U$51:U$55)</f>
        <v>64131</v>
      </c>
      <c r="V35">
        <f>SUMIF(KeyRaces!$B$51:$B$55,CongressionalAnalysis!$C30,KeyRaces!V$51:V$55)</f>
        <v>0.33417575088063028</v>
      </c>
      <c r="W35">
        <f>SUMIF(KeyRaces!$B$51:$B$55,CongressionalAnalysis!$C30,KeyRaces!W$51:W$55)</f>
        <v>-1.02</v>
      </c>
      <c r="X35">
        <f>SUMIF(KeyRaces!$B$51:$B$55,CongressionalAnalysis!$C30,KeyRaces!X$51:X$55)</f>
        <v>6555</v>
      </c>
      <c r="Y35">
        <f>SUMIF(KeyRaces!$B$51:$B$55,CongressionalAnalysis!$C30,KeyRaces!Y$51:Y$55)</f>
        <v>0.35001067919692441</v>
      </c>
      <c r="Z35">
        <f>SUMIF(KeyRaces!$B$51:$B$55,CongressionalAnalysis!$C30,KeyRaces!Z$51:Z$55)</f>
        <v>69749</v>
      </c>
      <c r="AA35">
        <f>SUMIF(KeyRaces!$B$51:$B$55,CongressionalAnalysis!$C30,KeyRaces!AA$51:AA$55)</f>
        <v>0.33966077263585409</v>
      </c>
      <c r="AB35">
        <f>SUMIF(KeyRaces!$B$51:$B$55,CongressionalAnalysis!$C30,KeyRaces!AB$51:AB$55)</f>
        <v>-0.48</v>
      </c>
      <c r="AC35">
        <f>SUMIF(KeyRaces!$B$51:$B$55,CongressionalAnalysis!$C30,KeyRaces!AC$51:AC$55)</f>
        <v>5618</v>
      </c>
      <c r="AD35">
        <f>SUMIF(KeyRaces!$B$51:$B$55,CongressionalAnalysis!$C30,KeyRaces!AD$51:AD$55)</f>
        <v>0.41797485306152821</v>
      </c>
      <c r="AE35">
        <f>SUMIF(KeyRaces!$B$51:$B$55,CongressionalAnalysis!$C30,KeyRaces!AE$51:AE$55)</f>
        <v>75984</v>
      </c>
      <c r="AF35">
        <f>SUMIF(KeyRaces!$B$51:$B$55,CongressionalAnalysis!$C30,KeyRaces!AF$51:AF$55)</f>
        <v>0.34929230429765973</v>
      </c>
      <c r="AG35">
        <f>SUMIF(KeyRaces!$B$51:$B$55,CongressionalAnalysis!$C30,KeyRaces!AG$51:AG$55)</f>
        <v>0.49</v>
      </c>
      <c r="AH35">
        <f>SUMIF(KeyRaces!$B$51:$B$55,CongressionalAnalysis!$C30,KeyRaces!AH$51:AH$55)</f>
        <v>6235</v>
      </c>
      <c r="AI35">
        <f>SUMIF(KeyRaces!$B$51:$B$55,CongressionalAnalysis!$C30,KeyRaces!AI$51:AI$55)</f>
        <v>0.51156875615359365</v>
      </c>
      <c r="AJ35">
        <f>SUMIF(KeyRaces!$B$51:$B$55,CongressionalAnalysis!$C30,KeyRaces!AJ$51:AJ$55)</f>
        <v>79665</v>
      </c>
      <c r="AK35">
        <f>SUMIF(KeyRaces!$B$51:$B$55,CongressionalAnalysis!$C30,KeyRaces!AK$51:AK$55)</f>
        <v>0.35255927987891766</v>
      </c>
      <c r="AL35">
        <f>SUMIF(KeyRaces!$B$51:$B$55,CongressionalAnalysis!$C30,KeyRaces!AL$51:AL$55)</f>
        <v>0.82000000000000006</v>
      </c>
      <c r="AM35">
        <f>SUMIF(KeyRaces!$B$51:$B$55,CongressionalAnalysis!$C30,KeyRaces!AM$51:AM$55)</f>
        <v>3681</v>
      </c>
      <c r="AN35">
        <f>SUMIF(KeyRaces!$B$51:$B$55,CongressionalAnalysis!$C30,KeyRaces!AN$51:AN$55)</f>
        <v>0.43691394658753707</v>
      </c>
    </row>
    <row r="36" spans="2:40" x14ac:dyDescent="0.3">
      <c r="C36" t="s">
        <v>282</v>
      </c>
      <c r="D36" s="11">
        <f t="shared" si="4"/>
        <v>0</v>
      </c>
      <c r="E36" s="12">
        <f t="shared" si="27"/>
        <v>0</v>
      </c>
      <c r="F36" s="8">
        <f>SUMIF(KeyRaces!$B$51:$B$55,CongressionalAnalysis!$C31,KeyRaces!E$51:E$55)</f>
        <v>0</v>
      </c>
      <c r="G36" s="5">
        <f>SUMIF(KeyRaces!$B$51:$B$55,CongressionalAnalysis!$C31,KeyRaces!F$51:F$55)</f>
        <v>0</v>
      </c>
      <c r="H36" s="15">
        <f t="shared" si="6"/>
        <v>0</v>
      </c>
      <c r="I36" s="13">
        <f>H36/SUM(H34:H37)</f>
        <v>0</v>
      </c>
      <c r="J36" s="5">
        <f t="shared" si="9"/>
        <v>0</v>
      </c>
      <c r="K36" s="8">
        <f>SUMIF(KeyRaces!$B$51:$B$55,CongressionalAnalysis!$C31,KeyRaces!K$51:K$55)</f>
        <v>0</v>
      </c>
      <c r="L36" s="5">
        <f>SUMIF(KeyRaces!$B$51:$B$55,CongressionalAnalysis!$C31,KeyRaces!L$51:L$55)</f>
        <v>0</v>
      </c>
      <c r="M36" s="6">
        <f t="shared" si="11"/>
        <v>0</v>
      </c>
      <c r="N36" s="8">
        <f>SUMIF(KeyRaces!$B$51:$B$55,CongressionalAnalysis!$C31,KeyRaces!N$51:N$55)</f>
        <v>0</v>
      </c>
      <c r="O36" s="1">
        <f>SUMIF(KeyRaces!$B$51:$B$55,CongressionalAnalysis!$C31,KeyRaces!O$51:O$55)</f>
        <v>0</v>
      </c>
      <c r="P36">
        <f>SUMIF(KeyRaces!$B$51:$B$55,CongressionalAnalysis!$C31,KeyRaces!P$51:P$55)</f>
        <v>0</v>
      </c>
      <c r="Q36">
        <f>SUMIF(KeyRaces!$B$51:$B$55,CongressionalAnalysis!$C31,KeyRaces!Q$51:Q$55)</f>
        <v>0</v>
      </c>
      <c r="R36" s="6">
        <f t="shared" si="14"/>
        <v>0</v>
      </c>
      <c r="S36">
        <f>SUMIF(KeyRaces!$B$51:$B$55,CongressionalAnalysis!$C31,KeyRaces!S$51:S$55)</f>
        <v>0</v>
      </c>
      <c r="T36">
        <f>SUMIF(KeyRaces!$B$51:$B$55,CongressionalAnalysis!$C31,KeyRaces!T$51:T$55)</f>
        <v>0</v>
      </c>
      <c r="U36">
        <f>SUMIF(KeyRaces!$B$51:$B$55,CongressionalAnalysis!$C31,KeyRaces!U$51:U$55)</f>
        <v>0</v>
      </c>
      <c r="V36">
        <f>SUMIF(KeyRaces!$B$51:$B$55,CongressionalAnalysis!$C31,KeyRaces!V$51:V$55)</f>
        <v>0</v>
      </c>
      <c r="W36">
        <f>SUMIF(KeyRaces!$B$51:$B$55,CongressionalAnalysis!$C31,KeyRaces!W$51:W$55)</f>
        <v>0</v>
      </c>
      <c r="X36">
        <f>SUMIF(KeyRaces!$B$51:$B$55,CongressionalAnalysis!$C31,KeyRaces!X$51:X$55)</f>
        <v>0</v>
      </c>
      <c r="Y36">
        <f>SUMIF(KeyRaces!$B$51:$B$55,CongressionalAnalysis!$C31,KeyRaces!Y$51:Y$55)</f>
        <v>0</v>
      </c>
      <c r="Z36">
        <f>SUMIF(KeyRaces!$B$51:$B$55,CongressionalAnalysis!$C31,KeyRaces!Z$51:Z$55)</f>
        <v>0</v>
      </c>
      <c r="AA36">
        <f>SUMIF(KeyRaces!$B$51:$B$55,CongressionalAnalysis!$C31,KeyRaces!AA$51:AA$55)</f>
        <v>0</v>
      </c>
      <c r="AB36">
        <f>SUMIF(KeyRaces!$B$51:$B$55,CongressionalAnalysis!$C31,KeyRaces!AB$51:AB$55)</f>
        <v>0</v>
      </c>
      <c r="AC36">
        <f>SUMIF(KeyRaces!$B$51:$B$55,CongressionalAnalysis!$C31,KeyRaces!AC$51:AC$55)</f>
        <v>0</v>
      </c>
      <c r="AD36">
        <f>SUMIF(KeyRaces!$B$51:$B$55,CongressionalAnalysis!$C31,KeyRaces!AD$51:AD$55)</f>
        <v>0</v>
      </c>
      <c r="AE36">
        <f>SUMIF(KeyRaces!$B$51:$B$55,CongressionalAnalysis!$C31,KeyRaces!AE$51:AE$55)</f>
        <v>0</v>
      </c>
      <c r="AF36">
        <f>SUMIF(KeyRaces!$B$51:$B$55,CongressionalAnalysis!$C31,KeyRaces!AF$51:AF$55)</f>
        <v>0</v>
      </c>
      <c r="AG36">
        <f>SUMIF(KeyRaces!$B$51:$B$55,CongressionalAnalysis!$C31,KeyRaces!AG$51:AG$55)</f>
        <v>0</v>
      </c>
      <c r="AH36">
        <f>SUMIF(KeyRaces!$B$51:$B$55,CongressionalAnalysis!$C31,KeyRaces!AH$51:AH$55)</f>
        <v>0</v>
      </c>
      <c r="AI36">
        <f>SUMIF(KeyRaces!$B$51:$B$55,CongressionalAnalysis!$C31,KeyRaces!AI$51:AI$55)</f>
        <v>0</v>
      </c>
      <c r="AJ36">
        <f>SUMIF(KeyRaces!$B$51:$B$55,CongressionalAnalysis!$C31,KeyRaces!AJ$51:AJ$55)</f>
        <v>0</v>
      </c>
      <c r="AK36">
        <f>SUMIF(KeyRaces!$B$51:$B$55,CongressionalAnalysis!$C31,KeyRaces!AK$51:AK$55)</f>
        <v>0</v>
      </c>
      <c r="AL36">
        <f>SUMIF(KeyRaces!$B$51:$B$55,CongressionalAnalysis!$C31,KeyRaces!AL$51:AL$55)</f>
        <v>0</v>
      </c>
      <c r="AM36">
        <f>SUMIF(KeyRaces!$B$51:$B$55,CongressionalAnalysis!$C31,KeyRaces!AM$51:AM$55)</f>
        <v>0</v>
      </c>
      <c r="AN36">
        <f>SUMIF(KeyRaces!$B$51:$B$55,CongressionalAnalysis!$C31,KeyRaces!AN$51:AN$55)</f>
        <v>0</v>
      </c>
    </row>
    <row r="37" spans="2:40" x14ac:dyDescent="0.3">
      <c r="C37" t="s">
        <v>11</v>
      </c>
      <c r="D37" s="11">
        <f t="shared" si="4"/>
        <v>13351</v>
      </c>
      <c r="E37" s="12">
        <f t="shared" si="27"/>
        <v>5.9085155911170903E-2</v>
      </c>
      <c r="F37" s="8">
        <f>SUMIF(KeyRaces!$B$51:$B$55,CongressionalAnalysis!$C32,KeyRaces!E$51:E$55)</f>
        <v>6469</v>
      </c>
      <c r="G37" s="5">
        <f>SUMIF(KeyRaces!$B$51:$B$55,CongressionalAnalysis!$C32,KeyRaces!F$51:F$55)</f>
        <v>5.2600000000000008E-2</v>
      </c>
      <c r="H37" s="15">
        <f t="shared" si="6"/>
        <v>6882</v>
      </c>
      <c r="I37" s="13">
        <f>H37/SUM(H34:H37)</f>
        <v>6.6867469879518068E-2</v>
      </c>
      <c r="J37" s="5">
        <f t="shared" si="9"/>
        <v>1.426746987951806E-2</v>
      </c>
      <c r="K37" s="8">
        <f>SUMIF(KeyRaces!$B$51:$B$55,CongressionalAnalysis!$C32,KeyRaces!K$51:K$55)</f>
        <v>7712</v>
      </c>
      <c r="L37" s="5">
        <f>SUMIF(KeyRaces!$B$51:$B$55,CongressionalAnalysis!$C32,KeyRaces!L$51:L$55)</f>
        <v>5.3999999999999999E-2</v>
      </c>
      <c r="M37" s="6">
        <f t="shared" si="11"/>
        <v>0.13999999999999915</v>
      </c>
      <c r="N37" s="8">
        <f>SUMIF(KeyRaces!$B$51:$B$55,CongressionalAnalysis!$C32,KeyRaces!N$51:N$55)</f>
        <v>1243</v>
      </c>
      <c r="O37" s="1">
        <f>SUMIF(KeyRaces!$B$51:$B$55,CongressionalAnalysis!$C32,KeyRaces!O$51:O$55)</f>
        <v>6.2300000000000008E-2</v>
      </c>
      <c r="P37">
        <f>SUMIF(KeyRaces!$B$51:$B$55,CongressionalAnalysis!$C32,KeyRaces!P$51:P$55)</f>
        <v>9806</v>
      </c>
      <c r="Q37">
        <f>SUMIF(KeyRaces!$B$51:$B$55,CongressionalAnalysis!$C32,KeyRaces!Q$51:Q$55)</f>
        <v>5.6623166647418871E-2</v>
      </c>
      <c r="R37" s="6">
        <f t="shared" si="14"/>
        <v>0.40231666474188632</v>
      </c>
      <c r="S37">
        <f>SUMIF(KeyRaces!$B$51:$B$55,CongressionalAnalysis!$C32,KeyRaces!S$51:S$55)</f>
        <v>2094</v>
      </c>
      <c r="T37">
        <f>SUMIF(KeyRaces!$B$51:$B$55,CongressionalAnalysis!$C32,KeyRaces!T$51:T$55)</f>
        <v>6.9241452284901792E-2</v>
      </c>
      <c r="U37">
        <f>SUMIF(KeyRaces!$B$51:$B$55,CongressionalAnalysis!$C32,KeyRaces!U$51:U$55)</f>
        <v>11041</v>
      </c>
      <c r="V37">
        <f>SUMIF(KeyRaces!$B$51:$B$55,CongressionalAnalysis!$C32,KeyRaces!V$51:V$55)</f>
        <v>5.7532776121891741E-2</v>
      </c>
      <c r="W37">
        <f>SUMIF(KeyRaces!$B$51:$B$55,CongressionalAnalysis!$C32,KeyRaces!W$51:W$55)</f>
        <v>0.5</v>
      </c>
      <c r="X37">
        <f>SUMIF(KeyRaces!$B$51:$B$55,CongressionalAnalysis!$C32,KeyRaces!X$51:X$55)</f>
        <v>1235</v>
      </c>
      <c r="Y37">
        <f>SUMIF(KeyRaces!$B$51:$B$55,CongressionalAnalysis!$C32,KeyRaces!Y$51:Y$55)</f>
        <v>6.5944041008116183E-2</v>
      </c>
      <c r="Z37">
        <f>SUMIF(KeyRaces!$B$51:$B$55,CongressionalAnalysis!$C32,KeyRaces!Z$51:Z$55)</f>
        <v>11914</v>
      </c>
      <c r="AA37">
        <f>SUMIF(KeyRaces!$B$51:$B$55,CongressionalAnalysis!$C32,KeyRaces!AA$51:AA$55)</f>
        <v>5.8018300551743618E-2</v>
      </c>
      <c r="AB37">
        <f>SUMIF(KeyRaces!$B$51:$B$55,CongressionalAnalysis!$C32,KeyRaces!AB$51:AB$55)</f>
        <v>0.55000000000000004</v>
      </c>
      <c r="AC37">
        <f>SUMIF(KeyRaces!$B$51:$B$55,CongressionalAnalysis!$C32,KeyRaces!AC$51:AC$55)</f>
        <v>873</v>
      </c>
      <c r="AD37">
        <f>SUMIF(KeyRaces!$B$51:$B$55,CongressionalAnalysis!$C32,KeyRaces!AD$51:AD$55)</f>
        <v>6.4950524514545055E-2</v>
      </c>
      <c r="AE37">
        <f>SUMIF(KeyRaces!$B$51:$B$55,CongressionalAnalysis!$C32,KeyRaces!AE$51:AE$55)</f>
        <v>12732</v>
      </c>
      <c r="AF37">
        <f>SUMIF(KeyRaces!$B$51:$B$55,CongressionalAnalysis!$C32,KeyRaces!AF$51:AF$55)</f>
        <v>5.8527974551455614E-2</v>
      </c>
      <c r="AG37">
        <f>SUMIF(KeyRaces!$B$51:$B$55,CongressionalAnalysis!$C32,KeyRaces!AG$51:AG$55)</f>
        <v>0.60000000000000009</v>
      </c>
      <c r="AH37">
        <f>SUMIF(KeyRaces!$B$51:$B$55,CongressionalAnalysis!$C32,KeyRaces!AH$51:AH$55)</f>
        <v>818</v>
      </c>
      <c r="AI37">
        <f>SUMIF(KeyRaces!$B$51:$B$55,CongressionalAnalysis!$C32,KeyRaces!AI$51:AI$55)</f>
        <v>6.7115195274040029E-2</v>
      </c>
      <c r="AJ37">
        <f>SUMIF(KeyRaces!$B$51:$B$55,CongressionalAnalysis!$C32,KeyRaces!AJ$51:AJ$55)</f>
        <v>13351</v>
      </c>
      <c r="AK37">
        <f>SUMIF(KeyRaces!$B$51:$B$55,CongressionalAnalysis!$C32,KeyRaces!AK$51:AK$55)</f>
        <v>5.9085155911170903E-2</v>
      </c>
      <c r="AL37">
        <f>SUMIF(KeyRaces!$B$51:$B$55,CongressionalAnalysis!$C32,KeyRaces!AL$51:AL$55)</f>
        <v>0.64</v>
      </c>
      <c r="AM37">
        <f>SUMIF(KeyRaces!$B$51:$B$55,CongressionalAnalysis!$C32,KeyRaces!AM$51:AM$55)</f>
        <v>619</v>
      </c>
      <c r="AN37">
        <f>SUMIF(KeyRaces!$B$51:$B$55,CongressionalAnalysis!$C32,KeyRaces!AN$51:AN$55)</f>
        <v>7.3471810089020775E-2</v>
      </c>
    </row>
    <row r="38" spans="2:40" x14ac:dyDescent="0.3">
      <c r="B38" s="2" t="s">
        <v>290</v>
      </c>
      <c r="C38" t="s">
        <v>281</v>
      </c>
      <c r="D38" s="11">
        <f t="shared" si="4"/>
        <v>221294</v>
      </c>
      <c r="F38" s="8">
        <f>KeyRaces!E56</f>
        <v>103074</v>
      </c>
      <c r="G38" s="5" t="str">
        <f>KeyRaces!F56</f>
        <v/>
      </c>
      <c r="H38" s="15">
        <f t="shared" si="6"/>
        <v>118220</v>
      </c>
      <c r="I38" s="15"/>
      <c r="K38" s="8">
        <f>KeyRaces!K56</f>
        <v>128406</v>
      </c>
      <c r="L38" s="5" t="str">
        <f>KeyRaces!L56</f>
        <v/>
      </c>
      <c r="M38" s="6"/>
      <c r="N38" s="8">
        <f>KeyRaces!N56</f>
        <v>25332</v>
      </c>
      <c r="O38" s="1" t="str">
        <f>KeyRaces!O56</f>
        <v/>
      </c>
      <c r="P38">
        <f>KeyRaces!P56</f>
        <v>166558</v>
      </c>
      <c r="Q38" t="str">
        <f>KeyRaces!Q56</f>
        <v/>
      </c>
      <c r="R38" s="6"/>
      <c r="S38">
        <f>KeyRaces!S56</f>
        <v>38152</v>
      </c>
      <c r="T38" t="str">
        <f>KeyRaces!T56</f>
        <v/>
      </c>
      <c r="U38">
        <f>KeyRaces!U56</f>
        <v>204458</v>
      </c>
      <c r="V38" t="str">
        <f>KeyRaces!V56</f>
        <v/>
      </c>
      <c r="W38" t="str">
        <f>KeyRaces!W56</f>
        <v/>
      </c>
      <c r="X38">
        <f>KeyRaces!X56</f>
        <v>37900</v>
      </c>
      <c r="Y38" t="str">
        <f>KeyRaces!Y56</f>
        <v/>
      </c>
      <c r="Z38">
        <f>KeyRaces!Z56</f>
        <v>218354</v>
      </c>
      <c r="AA38">
        <f>KeyRaces!AA56</f>
        <v>0</v>
      </c>
      <c r="AB38">
        <f>KeyRaces!AB56</f>
        <v>0</v>
      </c>
      <c r="AC38">
        <f>KeyRaces!AC56</f>
        <v>13896</v>
      </c>
      <c r="AD38">
        <f>KeyRaces!AD56</f>
        <v>0</v>
      </c>
      <c r="AE38">
        <f>KeyRaces!AE56</f>
        <v>219033</v>
      </c>
      <c r="AF38">
        <f>KeyRaces!AF56</f>
        <v>0</v>
      </c>
      <c r="AG38">
        <f>KeyRaces!AG56</f>
        <v>0</v>
      </c>
      <c r="AH38">
        <f>KeyRaces!AH56</f>
        <v>679</v>
      </c>
      <c r="AI38">
        <f>KeyRaces!AI56</f>
        <v>0</v>
      </c>
      <c r="AJ38">
        <f>KeyRaces!AJ56</f>
        <v>221294</v>
      </c>
      <c r="AK38">
        <f>KeyRaces!AK56</f>
        <v>0</v>
      </c>
      <c r="AL38">
        <f>KeyRaces!AL56</f>
        <v>0</v>
      </c>
      <c r="AM38">
        <f>KeyRaces!AM56</f>
        <v>2261</v>
      </c>
      <c r="AN38">
        <f>KeyRaces!AN56</f>
        <v>0</v>
      </c>
    </row>
    <row r="39" spans="2:40" x14ac:dyDescent="0.3">
      <c r="C39" t="s">
        <v>8</v>
      </c>
      <c r="D39" s="11">
        <f t="shared" si="4"/>
        <v>0</v>
      </c>
      <c r="E39" s="12">
        <f t="shared" si="27"/>
        <v>0</v>
      </c>
      <c r="F39" s="8">
        <f>SUMIF(KeyRaces!$B$57:$B$60,CongressionalAnalysis!$C34,KeyRaces!E$57:E$60)</f>
        <v>0</v>
      </c>
      <c r="G39" s="5">
        <f>SUMIF(KeyRaces!$B$57:$B$60,CongressionalAnalysis!$C34,KeyRaces!F$57:F$60)</f>
        <v>0</v>
      </c>
      <c r="H39" s="15">
        <f t="shared" si="6"/>
        <v>0</v>
      </c>
      <c r="I39" s="13">
        <f>H39/SUM(H39:H42)</f>
        <v>0</v>
      </c>
      <c r="J39" s="5">
        <f t="shared" si="9"/>
        <v>0</v>
      </c>
      <c r="K39" s="8">
        <f>SUMIF(KeyRaces!$B$57:$B$60,CongressionalAnalysis!$C34,KeyRaces!K$57:K$60)</f>
        <v>0</v>
      </c>
      <c r="L39" s="5">
        <f>SUMIF(KeyRaces!$B$57:$B$60,CongressionalAnalysis!$C34,KeyRaces!L$57:L$60)</f>
        <v>0</v>
      </c>
      <c r="M39" s="6">
        <f t="shared" si="11"/>
        <v>0</v>
      </c>
      <c r="N39" s="8">
        <f>SUMIF(KeyRaces!$B$57:$B$60,CongressionalAnalysis!$C34,KeyRaces!N$57:N$60)</f>
        <v>0</v>
      </c>
      <c r="O39" s="1">
        <f>SUMIF(KeyRaces!$B$57:$B$60,CongressionalAnalysis!$C34,KeyRaces!O$57:O$60)</f>
        <v>0</v>
      </c>
      <c r="P39">
        <f>SUMIF(KeyRaces!$B$57:$B$60,CongressionalAnalysis!$C34,KeyRaces!P$57:P$60)</f>
        <v>0</v>
      </c>
      <c r="Q39">
        <f>SUMIF(KeyRaces!$B$57:$B$60,CongressionalAnalysis!$C34,KeyRaces!Q$57:Q$60)</f>
        <v>0</v>
      </c>
      <c r="R39" s="6">
        <f t="shared" si="14"/>
        <v>0</v>
      </c>
      <c r="S39">
        <f>SUMIF(KeyRaces!$B$57:$B$60,CongressionalAnalysis!$C34,KeyRaces!S$57:S$60)</f>
        <v>0</v>
      </c>
      <c r="T39">
        <f>SUMIF(KeyRaces!$B$57:$B$60,CongressionalAnalysis!$C34,KeyRaces!T$57:T$60)</f>
        <v>0</v>
      </c>
      <c r="U39">
        <f>SUMIF(KeyRaces!$B$57:$B$60,CongressionalAnalysis!$C34,KeyRaces!U$57:U$60)</f>
        <v>0</v>
      </c>
      <c r="V39">
        <f>SUMIF(KeyRaces!$B$57:$B$60,CongressionalAnalysis!$C34,KeyRaces!V$57:V$60)</f>
        <v>0</v>
      </c>
      <c r="W39">
        <f>SUMIF(KeyRaces!$B$57:$B$60,CongressionalAnalysis!$C34,KeyRaces!W$57:W$60)</f>
        <v>0</v>
      </c>
      <c r="X39">
        <f>SUMIF(KeyRaces!$B$57:$B$60,CongressionalAnalysis!$C34,KeyRaces!X$57:X$60)</f>
        <v>0</v>
      </c>
      <c r="Y39">
        <f>SUMIF(KeyRaces!$B$57:$B$60,CongressionalAnalysis!$C34,KeyRaces!Y$57:Y$60)</f>
        <v>0</v>
      </c>
      <c r="Z39">
        <f>SUMIF(KeyRaces!$B$57:$B$60,CongressionalAnalysis!$C34,KeyRaces!Z$57:Z$60)</f>
        <v>0</v>
      </c>
      <c r="AA39">
        <f>SUMIF(KeyRaces!$B$57:$B$60,CongressionalAnalysis!$C34,KeyRaces!AA$57:AA$60)</f>
        <v>0</v>
      </c>
      <c r="AB39">
        <f>SUMIF(KeyRaces!$B$57:$B$60,CongressionalAnalysis!$C34,KeyRaces!AB$57:AB$60)</f>
        <v>0</v>
      </c>
      <c r="AC39">
        <f>SUMIF(KeyRaces!$B$57:$B$60,CongressionalAnalysis!$C34,KeyRaces!AC$57:AC$60)</f>
        <v>0</v>
      </c>
      <c r="AD39">
        <f>SUMIF(KeyRaces!$B$57:$B$60,CongressionalAnalysis!$C34,KeyRaces!AD$57:AD$60)</f>
        <v>0</v>
      </c>
      <c r="AE39">
        <f>SUMIF(KeyRaces!$B$57:$B$60,CongressionalAnalysis!$C34,KeyRaces!AE$57:AE$60)</f>
        <v>0</v>
      </c>
      <c r="AF39">
        <f>SUMIF(KeyRaces!$B$57:$B$60,CongressionalAnalysis!$C34,KeyRaces!AF$57:AF$60)</f>
        <v>0</v>
      </c>
      <c r="AG39">
        <f>SUMIF(KeyRaces!$B$57:$B$60,CongressionalAnalysis!$C34,KeyRaces!AG$57:AG$60)</f>
        <v>0</v>
      </c>
      <c r="AH39">
        <f>SUMIF(KeyRaces!$B$57:$B$60,CongressionalAnalysis!$C34,KeyRaces!AH$57:AH$60)</f>
        <v>0</v>
      </c>
      <c r="AI39">
        <f>SUMIF(KeyRaces!$B$57:$B$60,CongressionalAnalysis!$C34,KeyRaces!AI$57:AI$60)</f>
        <v>0</v>
      </c>
      <c r="AJ39">
        <f>SUMIF(KeyRaces!$B$57:$B$60,CongressionalAnalysis!$C34,KeyRaces!AJ$57:AJ$60)</f>
        <v>0</v>
      </c>
      <c r="AK39">
        <f>SUMIF(KeyRaces!$B$57:$B$60,CongressionalAnalysis!$C34,KeyRaces!AK$57:AK$60)</f>
        <v>0</v>
      </c>
      <c r="AL39">
        <f>SUMIF(KeyRaces!$B$57:$B$60,CongressionalAnalysis!$C34,KeyRaces!AL$57:AL$60)</f>
        <v>0</v>
      </c>
      <c r="AM39">
        <f>SUMIF(KeyRaces!$B$57:$B$60,CongressionalAnalysis!$C34,KeyRaces!AM$57:AM$60)</f>
        <v>0</v>
      </c>
      <c r="AN39">
        <f>SUMIF(KeyRaces!$B$57:$B$60,CongressionalAnalysis!$C34,KeyRaces!AN$57:AN$60)</f>
        <v>0</v>
      </c>
    </row>
    <row r="40" spans="2:40" x14ac:dyDescent="0.3">
      <c r="C40" t="s">
        <v>9</v>
      </c>
      <c r="D40" s="11">
        <f t="shared" si="4"/>
        <v>21282</v>
      </c>
      <c r="E40" s="12">
        <f t="shared" si="27"/>
        <v>9.8190928343045381E-2</v>
      </c>
      <c r="F40" s="8">
        <f>SUMIF(KeyRaces!$B$57:$B$60,CongressionalAnalysis!$C35,KeyRaces!E$57:E$60)</f>
        <v>10824</v>
      </c>
      <c r="G40" s="5">
        <f>SUMIF(KeyRaces!$B$57:$B$60,CongressionalAnalysis!$C35,KeyRaces!F$57:F$60)</f>
        <v>0.1075</v>
      </c>
      <c r="H40" s="15">
        <f t="shared" si="6"/>
        <v>10458</v>
      </c>
      <c r="I40" s="13">
        <f>H40/SUM(H39:H42)</f>
        <v>9.0396749935171578E-2</v>
      </c>
      <c r="J40" s="5">
        <f t="shared" si="9"/>
        <v>-1.7103250064828421E-2</v>
      </c>
      <c r="K40" s="8">
        <f>SUMIF(KeyRaces!$B$57:$B$60,CongressionalAnalysis!$C35,KeyRaces!K$57:K$60)</f>
        <v>13261</v>
      </c>
      <c r="L40" s="5">
        <f>SUMIF(KeyRaces!$B$57:$B$60,CongressionalAnalysis!$C35,KeyRaces!L$57:L$60)</f>
        <v>0.1057</v>
      </c>
      <c r="M40" s="6">
        <f t="shared" si="11"/>
        <v>-0.1799999999999996</v>
      </c>
      <c r="N40" s="8">
        <f>SUMIF(KeyRaces!$B$57:$B$60,CongressionalAnalysis!$C35,KeyRaces!N$57:N$60)</f>
        <v>2437</v>
      </c>
      <c r="O40" s="1">
        <f>SUMIF(KeyRaces!$B$57:$B$60,CongressionalAnalysis!$C35,KeyRaces!O$57:O$60)</f>
        <v>9.8400000000000001E-2</v>
      </c>
      <c r="P40">
        <f>SUMIF(KeyRaces!$B$57:$B$60,CongressionalAnalysis!$C35,KeyRaces!P$57:P$60)</f>
        <v>16757</v>
      </c>
      <c r="Q40">
        <f>SUMIF(KeyRaces!$B$57:$B$60,CongressionalAnalysis!$C35,KeyRaces!Q$57:Q$60)</f>
        <v>0.10288131534839173</v>
      </c>
      <c r="R40" s="6">
        <f t="shared" si="14"/>
        <v>-0.46186846516082652</v>
      </c>
      <c r="S40">
        <f>SUMIF(KeyRaces!$B$57:$B$60,CongressionalAnalysis!$C35,KeyRaces!S$57:S$60)</f>
        <v>3496</v>
      </c>
      <c r="T40">
        <f>SUMIF(KeyRaces!$B$57:$B$60,CongressionalAnalysis!$C35,KeyRaces!T$57:T$60)</f>
        <v>9.3383551032401105E-2</v>
      </c>
      <c r="U40">
        <f>SUMIF(KeyRaces!$B$57:$B$60,CongressionalAnalysis!$C35,KeyRaces!U$57:U$60)</f>
        <v>19593</v>
      </c>
      <c r="V40">
        <f>SUMIF(KeyRaces!$B$57:$B$60,CongressionalAnalysis!$C35,KeyRaces!V$57:V$60)</f>
        <v>9.7960591773370201E-2</v>
      </c>
      <c r="W40">
        <f>SUMIF(KeyRaces!$B$57:$B$60,CongressionalAnalysis!$C35,KeyRaces!W$57:W$60)</f>
        <v>-0.95</v>
      </c>
      <c r="X40">
        <f>SUMIF(KeyRaces!$B$57:$B$60,CongressionalAnalysis!$C35,KeyRaces!X$57:X$60)</f>
        <v>2836</v>
      </c>
      <c r="Y40">
        <f>SUMIF(KeyRaces!$B$57:$B$60,CongressionalAnalysis!$C35,KeyRaces!Y$57:Y$60)</f>
        <v>7.6376171496283535E-2</v>
      </c>
      <c r="Z40">
        <f>SUMIF(KeyRaces!$B$57:$B$60,CongressionalAnalysis!$C35,KeyRaces!Z$57:Z$60)</f>
        <v>20968</v>
      </c>
      <c r="AA40">
        <f>SUMIF(KeyRaces!$B$57:$B$60,CongressionalAnalysis!$C35,KeyRaces!AA$57:AA$60)</f>
        <v>9.8158819922008492E-2</v>
      </c>
      <c r="AB40">
        <f>SUMIF(KeyRaces!$B$57:$B$60,CongressionalAnalysis!$C35,KeyRaces!AB$57:AB$60)</f>
        <v>-0.93</v>
      </c>
      <c r="AC40">
        <f>SUMIF(KeyRaces!$B$57:$B$60,CongressionalAnalysis!$C35,KeyRaces!AC$57:AC$60)</f>
        <v>1375</v>
      </c>
      <c r="AD40">
        <f>SUMIF(KeyRaces!$B$57:$B$60,CongressionalAnalysis!$C35,KeyRaces!AD$57:AD$60)</f>
        <v>0.10107321376065863</v>
      </c>
      <c r="AE40">
        <f>SUMIF(KeyRaces!$B$57:$B$60,CongressionalAnalysis!$C35,KeyRaces!AE$57:AE$60)</f>
        <v>21122</v>
      </c>
      <c r="AF40">
        <f>SUMIF(KeyRaces!$B$57:$B$60,CongressionalAnalysis!$C35,KeyRaces!AF$57:AF$60)</f>
        <v>9.8482340599137422E-2</v>
      </c>
      <c r="AG40">
        <f>SUMIF(KeyRaces!$B$57:$B$60,CongressionalAnalysis!$C35,KeyRaces!AG$57:AG$60)</f>
        <v>-0.9</v>
      </c>
      <c r="AH40">
        <f>SUMIF(KeyRaces!$B$57:$B$60,CongressionalAnalysis!$C35,KeyRaces!AH$57:AH$60)</f>
        <v>154</v>
      </c>
      <c r="AI40">
        <f>SUMIF(KeyRaces!$B$57:$B$60,CongressionalAnalysis!$C35,KeyRaces!AI$57:AI$60)</f>
        <v>0.17865429234338748</v>
      </c>
      <c r="AJ40">
        <f>SUMIF(KeyRaces!$B$57:$B$60,CongressionalAnalysis!$C35,KeyRaces!AJ$57:AJ$60)</f>
        <v>21282</v>
      </c>
      <c r="AK40">
        <f>SUMIF(KeyRaces!$B$57:$B$60,CongressionalAnalysis!$C35,KeyRaces!AK$57:AK$60)</f>
        <v>9.8190928343045381E-2</v>
      </c>
      <c r="AL40">
        <f>SUMIF(KeyRaces!$B$57:$B$60,CongressionalAnalysis!$C35,KeyRaces!AL$57:AL$60)</f>
        <v>-0.93</v>
      </c>
      <c r="AM40">
        <f>SUMIF(KeyRaces!$B$57:$B$60,CongressionalAnalysis!$C35,KeyRaces!AM$57:AM$60)</f>
        <v>160</v>
      </c>
      <c r="AN40">
        <f>SUMIF(KeyRaces!$B$57:$B$60,CongressionalAnalysis!$C35,KeyRaces!AN$57:AN$60)</f>
        <v>7.0609002647837593E-2</v>
      </c>
    </row>
    <row r="41" spans="2:40" x14ac:dyDescent="0.3">
      <c r="C41" t="s">
        <v>282</v>
      </c>
      <c r="D41" s="11">
        <f t="shared" si="4"/>
        <v>190363</v>
      </c>
      <c r="E41" s="12">
        <f t="shared" si="27"/>
        <v>0.87829713805878906</v>
      </c>
      <c r="F41" s="8">
        <f>SUMIF(KeyRaces!$B$57:$B$60,CongressionalAnalysis!$C36,KeyRaces!E$57:E$60)</f>
        <v>86979</v>
      </c>
      <c r="G41" s="5">
        <f>SUMIF(KeyRaces!$B$57:$B$60,CongressionalAnalysis!$C36,KeyRaces!F$57:F$60)</f>
        <v>0.8640000000000001</v>
      </c>
      <c r="H41" s="15">
        <f t="shared" si="6"/>
        <v>103384</v>
      </c>
      <c r="I41" s="13">
        <f>H41/SUM(H39:H42)</f>
        <v>0.89362952718471778</v>
      </c>
      <c r="J41" s="5">
        <f t="shared" si="9"/>
        <v>2.9629527184717674E-2</v>
      </c>
      <c r="K41" s="8">
        <f>SUMIF(KeyRaces!$B$57:$B$60,CongressionalAnalysis!$C36,KeyRaces!K$57:K$60)</f>
        <v>108798</v>
      </c>
      <c r="L41" s="5">
        <f>SUMIF(KeyRaces!$B$57:$B$60,CongressionalAnalysis!$C36,KeyRaces!L$57:L$60)</f>
        <v>0.86740000000000006</v>
      </c>
      <c r="M41" s="6">
        <f t="shared" si="11"/>
        <v>0.33999999999999586</v>
      </c>
      <c r="N41" s="8">
        <f>SUMIF(KeyRaces!$B$57:$B$60,CongressionalAnalysis!$C36,KeyRaces!N$57:N$60)</f>
        <v>21819</v>
      </c>
      <c r="O41" s="1">
        <f>SUMIF(KeyRaces!$B$57:$B$60,CongressionalAnalysis!$C36,KeyRaces!O$57:O$60)</f>
        <v>0.88090000000000002</v>
      </c>
      <c r="P41">
        <f>SUMIF(KeyRaces!$B$57:$B$60,CongressionalAnalysis!$C36,KeyRaces!P$57:P$60)</f>
        <v>141993</v>
      </c>
      <c r="Q41">
        <f>SUMIF(KeyRaces!$B$57:$B$60,CongressionalAnalysis!$C36,KeyRaces!Q$57:Q$60)</f>
        <v>0.87178054605622646</v>
      </c>
      <c r="R41" s="6">
        <f t="shared" si="14"/>
        <v>0.77805460562263562</v>
      </c>
      <c r="S41">
        <f>SUMIF(KeyRaces!$B$57:$B$60,CongressionalAnalysis!$C36,KeyRaces!S$57:S$60)</f>
        <v>33195</v>
      </c>
      <c r="T41">
        <f>SUMIF(KeyRaces!$B$57:$B$60,CongressionalAnalysis!$C36,KeyRaces!T$57:T$60)</f>
        <v>0.886689638592836</v>
      </c>
      <c r="U41">
        <f>SUMIF(KeyRaces!$B$57:$B$60,CongressionalAnalysis!$C36,KeyRaces!U$57:U$60)</f>
        <v>175681</v>
      </c>
      <c r="V41">
        <f>SUMIF(KeyRaces!$B$57:$B$60,CongressionalAnalysis!$C36,KeyRaces!V$57:V$60)</f>
        <v>0.8783654735536901</v>
      </c>
      <c r="W41">
        <f>SUMIF(KeyRaces!$B$57:$B$60,CongressionalAnalysis!$C36,KeyRaces!W$57:W$60)</f>
        <v>1.44</v>
      </c>
      <c r="X41">
        <f>SUMIF(KeyRaces!$B$57:$B$60,CongressionalAnalysis!$C36,KeyRaces!X$57:X$60)</f>
        <v>33688</v>
      </c>
      <c r="Y41">
        <f>SUMIF(KeyRaces!$B$57:$B$60,CongressionalAnalysis!$C36,KeyRaces!Y$57:Y$60)</f>
        <v>0.90724981148335671</v>
      </c>
      <c r="Z41">
        <f>SUMIF(KeyRaces!$B$57:$B$60,CongressionalAnalysis!$C36,KeyRaces!Z$57:Z$60)</f>
        <v>187617</v>
      </c>
      <c r="AA41">
        <f>SUMIF(KeyRaces!$B$57:$B$60,CongressionalAnalysis!$C36,KeyRaces!AA$57:AA$60)</f>
        <v>0.87830328678498037</v>
      </c>
      <c r="AB41">
        <f>SUMIF(KeyRaces!$B$57:$B$60,CongressionalAnalysis!$C36,KeyRaces!AB$57:AB$60)</f>
        <v>1.44</v>
      </c>
      <c r="AC41">
        <f>SUMIF(KeyRaces!$B$57:$B$60,CongressionalAnalysis!$C36,KeyRaces!AC$57:AC$60)</f>
        <v>11936</v>
      </c>
      <c r="AD41">
        <f>SUMIF(KeyRaces!$B$57:$B$60,CongressionalAnalysis!$C36,KeyRaces!AD$57:AD$60)</f>
        <v>0.87738900323434277</v>
      </c>
      <c r="AE41">
        <f>SUMIF(KeyRaces!$B$57:$B$60,CongressionalAnalysis!$C36,KeyRaces!AE$57:AE$60)</f>
        <v>188298</v>
      </c>
      <c r="AF41">
        <f>SUMIF(KeyRaces!$B$57:$B$60,CongressionalAnalysis!$C36,KeyRaces!AF$57:AF$60)</f>
        <v>0.87794847884368798</v>
      </c>
      <c r="AG41">
        <f>SUMIF(KeyRaces!$B$57:$B$60,CongressionalAnalysis!$C36,KeyRaces!AG$57:AG$60)</f>
        <v>1.4000000000000001</v>
      </c>
      <c r="AH41">
        <f>SUMIF(KeyRaces!$B$57:$B$60,CongressionalAnalysis!$C36,KeyRaces!AH$57:AH$60)</f>
        <v>681</v>
      </c>
      <c r="AI41">
        <f>SUMIF(KeyRaces!$B$57:$B$60,CongressionalAnalysis!$C36,KeyRaces!AI$57:AI$60)</f>
        <v>0.79002320185614849</v>
      </c>
      <c r="AJ41">
        <f>SUMIF(KeyRaces!$B$57:$B$60,CongressionalAnalysis!$C36,KeyRaces!AJ$57:AJ$60)</f>
        <v>190363</v>
      </c>
      <c r="AK41">
        <f>SUMIF(KeyRaces!$B$57:$B$60,CongressionalAnalysis!$C36,KeyRaces!AK$57:AK$60)</f>
        <v>0.87829713805878906</v>
      </c>
      <c r="AL41">
        <f>SUMIF(KeyRaces!$B$57:$B$60,CongressionalAnalysis!$C36,KeyRaces!AL$57:AL$60)</f>
        <v>1.43</v>
      </c>
      <c r="AM41">
        <f>SUMIF(KeyRaces!$B$57:$B$60,CongressionalAnalysis!$C36,KeyRaces!AM$57:AM$60)</f>
        <v>2065</v>
      </c>
      <c r="AN41">
        <f>SUMIF(KeyRaces!$B$57:$B$60,CongressionalAnalysis!$C36,KeyRaces!AN$57:AN$60)</f>
        <v>0.91129744042365401</v>
      </c>
    </row>
    <row r="42" spans="2:40" x14ac:dyDescent="0.3">
      <c r="C42" t="s">
        <v>11</v>
      </c>
      <c r="D42" s="11">
        <f t="shared" si="4"/>
        <v>4294</v>
      </c>
      <c r="E42" s="12">
        <f t="shared" si="27"/>
        <v>1.9811664613524897E-2</v>
      </c>
      <c r="F42" s="8">
        <f>SUMIF(KeyRaces!$B$57:$B$60,CongressionalAnalysis!$C37,KeyRaces!E$57:E$60)</f>
        <v>2446</v>
      </c>
      <c r="G42" s="5">
        <f>SUMIF(KeyRaces!$B$57:$B$60,CongressionalAnalysis!$C37,KeyRaces!F$57:F$60)</f>
        <v>2.4300000000000002E-2</v>
      </c>
      <c r="H42" s="15">
        <f t="shared" si="6"/>
        <v>1848</v>
      </c>
      <c r="I42" s="13">
        <f>H42/SUM(H39:H42)</f>
        <v>1.597372288011064E-2</v>
      </c>
      <c r="J42" s="5">
        <f t="shared" si="9"/>
        <v>-8.3262771198893623E-3</v>
      </c>
      <c r="K42" s="8">
        <f>SUMIF(KeyRaces!$B$57:$B$60,CongressionalAnalysis!$C37,KeyRaces!K$57:K$60)</f>
        <v>2905</v>
      </c>
      <c r="L42" s="5">
        <f>SUMIF(KeyRaces!$B$57:$B$60,CongressionalAnalysis!$C37,KeyRaces!L$57:L$60)</f>
        <v>2.3199999999999998E-2</v>
      </c>
      <c r="M42" s="6">
        <f t="shared" si="11"/>
        <v>-0.11000000000000038</v>
      </c>
      <c r="N42" s="8">
        <f>SUMIF(KeyRaces!$B$57:$B$60,CongressionalAnalysis!$C37,KeyRaces!N$57:N$60)</f>
        <v>459</v>
      </c>
      <c r="O42" s="1">
        <f>SUMIF(KeyRaces!$B$57:$B$60,CongressionalAnalysis!$C37,KeyRaces!O$57:O$60)</f>
        <v>1.8500000000000003E-2</v>
      </c>
      <c r="P42">
        <f>SUMIF(KeyRaces!$B$57:$B$60,CongressionalAnalysis!$C37,KeyRaces!P$57:P$60)</f>
        <v>3516</v>
      </c>
      <c r="Q42">
        <f>SUMIF(KeyRaces!$B$57:$B$60,CongressionalAnalysis!$C37,KeyRaces!Q$57:Q$60)</f>
        <v>2.1586841604400869E-2</v>
      </c>
      <c r="R42" s="6">
        <f t="shared" si="14"/>
        <v>-0.27131583955991334</v>
      </c>
      <c r="S42">
        <f>SUMIF(KeyRaces!$B$57:$B$60,CongressionalAnalysis!$C37,KeyRaces!S$57:S$60)</f>
        <v>611</v>
      </c>
      <c r="T42">
        <f>SUMIF(KeyRaces!$B$57:$B$60,CongressionalAnalysis!$C37,KeyRaces!T$57:T$60)</f>
        <v>1.6320752197024335E-2</v>
      </c>
      <c r="U42">
        <f>SUMIF(KeyRaces!$B$57:$B$60,CongressionalAnalysis!$C37,KeyRaces!U$57:U$60)</f>
        <v>3975</v>
      </c>
      <c r="V42">
        <f>SUMIF(KeyRaces!$B$57:$B$60,CongressionalAnalysis!$C37,KeyRaces!V$57:V$60)</f>
        <v>1.9874105665245063E-2</v>
      </c>
      <c r="W42">
        <f>SUMIF(KeyRaces!$B$57:$B$60,CongressionalAnalysis!$C37,KeyRaces!W$57:W$60)</f>
        <v>-0.44</v>
      </c>
      <c r="X42">
        <f>SUMIF(KeyRaces!$B$57:$B$60,CongressionalAnalysis!$C37,KeyRaces!X$57:X$60)</f>
        <v>459</v>
      </c>
      <c r="Y42">
        <f>SUMIF(KeyRaces!$B$57:$B$60,CongressionalAnalysis!$C37,KeyRaces!Y$57:Y$60)</f>
        <v>1.2361305612409782E-2</v>
      </c>
      <c r="Z42">
        <f>SUMIF(KeyRaces!$B$57:$B$60,CongressionalAnalysis!$C37,KeyRaces!Z$57:Z$60)</f>
        <v>4249</v>
      </c>
      <c r="AA42">
        <f>SUMIF(KeyRaces!$B$57:$B$60,CongressionalAnalysis!$C37,KeyRaces!AA$57:AA$60)</f>
        <v>1.989111149602318E-2</v>
      </c>
      <c r="AB42">
        <f>SUMIF(KeyRaces!$B$57:$B$60,CongressionalAnalysis!$C37,KeyRaces!AB$57:AB$60)</f>
        <v>-0.44</v>
      </c>
      <c r="AC42">
        <f>SUMIF(KeyRaces!$B$57:$B$60,CongressionalAnalysis!$C37,KeyRaces!AC$57:AC$60)</f>
        <v>274</v>
      </c>
      <c r="AD42">
        <f>SUMIF(KeyRaces!$B$57:$B$60,CongressionalAnalysis!$C37,KeyRaces!AD$57:AD$60)</f>
        <v>2.0141134960305791E-2</v>
      </c>
      <c r="AE42">
        <f>SUMIF(KeyRaces!$B$57:$B$60,CongressionalAnalysis!$C37,KeyRaces!AE$57:AE$60)</f>
        <v>4266</v>
      </c>
      <c r="AF42">
        <f>SUMIF(KeyRaces!$B$57:$B$60,CongressionalAnalysis!$C37,KeyRaces!AF$57:AF$60)</f>
        <v>1.9890430120060615E-2</v>
      </c>
      <c r="AG42">
        <f>SUMIF(KeyRaces!$B$57:$B$60,CongressionalAnalysis!$C37,KeyRaces!AG$57:AG$60)</f>
        <v>-0.44</v>
      </c>
      <c r="AH42">
        <f>SUMIF(KeyRaces!$B$57:$B$60,CongressionalAnalysis!$C37,KeyRaces!AH$57:AH$60)</f>
        <v>17</v>
      </c>
      <c r="AI42">
        <f>SUMIF(KeyRaces!$B$57:$B$60,CongressionalAnalysis!$C37,KeyRaces!AI$57:AI$60)</f>
        <v>1.9721577726218097E-2</v>
      </c>
      <c r="AJ42">
        <f>SUMIF(KeyRaces!$B$57:$B$60,CongressionalAnalysis!$C37,KeyRaces!AJ$57:AJ$60)</f>
        <v>4294</v>
      </c>
      <c r="AK42">
        <f>SUMIF(KeyRaces!$B$57:$B$60,CongressionalAnalysis!$C37,KeyRaces!AK$57:AK$60)</f>
        <v>1.9811664613524897E-2</v>
      </c>
      <c r="AL42">
        <f>SUMIF(KeyRaces!$B$57:$B$60,CongressionalAnalysis!$C37,KeyRaces!AL$57:AL$60)</f>
        <v>-0.45</v>
      </c>
      <c r="AM42">
        <f>SUMIF(KeyRaces!$B$57:$B$60,CongressionalAnalysis!$C37,KeyRaces!AM$57:AM$60)</f>
        <v>28</v>
      </c>
      <c r="AN42">
        <f>SUMIF(KeyRaces!$B$57:$B$60,CongressionalAnalysis!$C37,KeyRaces!AN$57:AN$60)</f>
        <v>1.2356575463371581E-2</v>
      </c>
    </row>
    <row r="43" spans="2:40" x14ac:dyDescent="0.3">
      <c r="B43" s="2" t="s">
        <v>291</v>
      </c>
      <c r="C43" t="s">
        <v>281</v>
      </c>
      <c r="D43" s="11">
        <f t="shared" si="4"/>
        <v>194321</v>
      </c>
      <c r="F43" s="8">
        <f>KeyRaces!E61</f>
        <v>111573</v>
      </c>
      <c r="G43" s="5" t="str">
        <f>KeyRaces!F61</f>
        <v/>
      </c>
      <c r="H43" s="15">
        <f t="shared" si="6"/>
        <v>82748</v>
      </c>
      <c r="I43" s="15"/>
      <c r="K43" s="8">
        <f>KeyRaces!K61</f>
        <v>137605</v>
      </c>
      <c r="L43" s="5" t="str">
        <f>KeyRaces!L61</f>
        <v/>
      </c>
      <c r="M43" s="6"/>
      <c r="N43" s="8">
        <f>KeyRaces!N61</f>
        <v>26032</v>
      </c>
      <c r="O43" s="1" t="str">
        <f>KeyRaces!O61</f>
        <v/>
      </c>
      <c r="P43">
        <f>KeyRaces!P61</f>
        <v>163288</v>
      </c>
      <c r="Q43" t="str">
        <f>KeyRaces!Q61</f>
        <v/>
      </c>
      <c r="R43" s="6"/>
      <c r="S43">
        <f>KeyRaces!S61</f>
        <v>25683</v>
      </c>
      <c r="T43" t="str">
        <f>KeyRaces!T61</f>
        <v/>
      </c>
      <c r="U43">
        <f>KeyRaces!U61</f>
        <v>183242</v>
      </c>
      <c r="V43" t="str">
        <f>KeyRaces!V61</f>
        <v/>
      </c>
      <c r="W43" t="str">
        <f>KeyRaces!W61</f>
        <v/>
      </c>
      <c r="X43">
        <f>KeyRaces!X61</f>
        <v>19954</v>
      </c>
      <c r="Y43" t="str">
        <f>KeyRaces!Y61</f>
        <v/>
      </c>
      <c r="Z43">
        <f>KeyRaces!Z61</f>
        <v>189509</v>
      </c>
      <c r="AA43">
        <f>KeyRaces!AA61</f>
        <v>0</v>
      </c>
      <c r="AB43">
        <f>KeyRaces!AB61</f>
        <v>0</v>
      </c>
      <c r="AC43">
        <f>KeyRaces!AC61</f>
        <v>6267</v>
      </c>
      <c r="AD43">
        <f>KeyRaces!AD61</f>
        <v>0</v>
      </c>
      <c r="AE43">
        <f>KeyRaces!AE61</f>
        <v>193063</v>
      </c>
      <c r="AF43">
        <f>KeyRaces!AF61</f>
        <v>0</v>
      </c>
      <c r="AG43">
        <f>KeyRaces!AG61</f>
        <v>0</v>
      </c>
      <c r="AH43">
        <f>KeyRaces!AH61</f>
        <v>3554</v>
      </c>
      <c r="AI43">
        <f>KeyRaces!AI61</f>
        <v>0</v>
      </c>
      <c r="AJ43">
        <f>KeyRaces!AJ61</f>
        <v>194321</v>
      </c>
      <c r="AK43">
        <f>KeyRaces!AK61</f>
        <v>0</v>
      </c>
      <c r="AL43">
        <f>KeyRaces!AL61</f>
        <v>0</v>
      </c>
      <c r="AM43">
        <f>KeyRaces!AM61</f>
        <v>1258</v>
      </c>
      <c r="AN43">
        <f>KeyRaces!AN61</f>
        <v>0</v>
      </c>
    </row>
    <row r="44" spans="2:40" x14ac:dyDescent="0.3">
      <c r="C44" t="s">
        <v>8</v>
      </c>
      <c r="D44" s="11">
        <f t="shared" si="4"/>
        <v>102853</v>
      </c>
      <c r="E44" s="12">
        <f t="shared" si="27"/>
        <v>0.53685309392697755</v>
      </c>
      <c r="F44" s="8">
        <f>SUMIF(KeyRaces!$B$62:$B$67,CongressionalAnalysis!$C39,KeyRaces!E$62:E$67)</f>
        <v>59340</v>
      </c>
      <c r="G44" s="5">
        <f>SUMIF(KeyRaces!$B$62:$B$67,CongressionalAnalysis!$C39,KeyRaces!F$62:F$67)</f>
        <v>0.54</v>
      </c>
      <c r="H44" s="15">
        <f t="shared" si="6"/>
        <v>43513</v>
      </c>
      <c r="I44" s="13">
        <f>H44/SUM(H44:H47)</f>
        <v>0.53386908778602538</v>
      </c>
      <c r="J44" s="5">
        <f t="shared" si="9"/>
        <v>-6.1309122139746597E-3</v>
      </c>
      <c r="K44" s="8">
        <f>SUMIF(KeyRaces!$B$62:$B$67,CongressionalAnalysis!$C39,KeyRaces!K$62:K$67)</f>
        <v>72652</v>
      </c>
      <c r="L44" s="5">
        <f>SUMIF(KeyRaces!$B$62:$B$67,CongressionalAnalysis!$C39,KeyRaces!L$62:L$67)</f>
        <v>0.53610000000000002</v>
      </c>
      <c r="M44" s="6">
        <f t="shared" si="11"/>
        <v>-0.39000000000000146</v>
      </c>
      <c r="N44" s="8">
        <f>SUMIF(KeyRaces!$B$62:$B$67,CongressionalAnalysis!$C39,KeyRaces!N$62:N$67)</f>
        <v>13312</v>
      </c>
      <c r="O44" s="1">
        <f>SUMIF(KeyRaces!$B$62:$B$67,CongressionalAnalysis!$C39,KeyRaces!O$62:O$67)</f>
        <v>0.51929999999999998</v>
      </c>
      <c r="P44">
        <f>SUMIF(KeyRaces!$B$62:$B$67,CongressionalAnalysis!$C39,KeyRaces!P$62:P$67)</f>
        <v>85071</v>
      </c>
      <c r="Q44">
        <f>SUMIF(KeyRaces!$B$62:$B$67,CongressionalAnalysis!$C39,KeyRaces!Q$62:Q$67)</f>
        <v>0.52927232909439315</v>
      </c>
      <c r="R44" s="6">
        <f t="shared" si="14"/>
        <v>-1.072767090560689</v>
      </c>
      <c r="S44">
        <f>SUMIF(KeyRaces!$B$62:$B$67,CongressionalAnalysis!$C39,KeyRaces!S$62:S$67)</f>
        <v>12419</v>
      </c>
      <c r="T44">
        <f>SUMIF(KeyRaces!$B$62:$B$67,CongressionalAnalysis!$C39,KeyRaces!T$62:T$67)</f>
        <v>0.49256336017134017</v>
      </c>
      <c r="U44">
        <f>SUMIF(KeyRaces!$B$62:$B$67,CongressionalAnalysis!$C39,KeyRaces!U$62:U$67)</f>
        <v>96559</v>
      </c>
      <c r="V44">
        <f>SUMIF(KeyRaces!$B$62:$B$67,CongressionalAnalysis!$C39,KeyRaces!V$62:V$67)</f>
        <v>0.53519307833432173</v>
      </c>
      <c r="W44">
        <f>SUMIF(KeyRaces!$B$62:$B$67,CongressionalAnalysis!$C39,KeyRaces!W$62:W$67)</f>
        <v>-0.48</v>
      </c>
      <c r="X44">
        <f>SUMIF(KeyRaces!$B$62:$B$67,CongressionalAnalysis!$C39,KeyRaces!X$62:X$67)</f>
        <v>11488</v>
      </c>
      <c r="Y44">
        <f>SUMIF(KeyRaces!$B$62:$B$67,CongressionalAnalysis!$C39,KeyRaces!Y$62:Y$67)</f>
        <v>0.58353228018489356</v>
      </c>
      <c r="Z44">
        <f>SUMIF(KeyRaces!$B$62:$B$67,CongressionalAnalysis!$C39,KeyRaces!Z$62:Z$67)</f>
        <v>100586</v>
      </c>
      <c r="AA44">
        <f>SUMIF(KeyRaces!$B$62:$B$67,CongressionalAnalysis!$C39,KeyRaces!AA$62:AA$67)</f>
        <v>0.53852372564661288</v>
      </c>
      <c r="AB44">
        <f>SUMIF(KeyRaces!$B$62:$B$67,CongressionalAnalysis!$C39,KeyRaces!AB$62:AB$67)</f>
        <v>-0.15</v>
      </c>
      <c r="AC44">
        <f>SUMIF(KeyRaces!$B$62:$B$67,CongressionalAnalysis!$C39,KeyRaces!AC$62:AC$67)</f>
        <v>4027</v>
      </c>
      <c r="AD44">
        <f>SUMIF(KeyRaces!$B$62:$B$67,CongressionalAnalysis!$C39,KeyRaces!AD$62:AD$67)</f>
        <v>0.63297705124174786</v>
      </c>
      <c r="AE44">
        <f>SUMIF(KeyRaces!$B$62:$B$67,CongressionalAnalysis!$C39,KeyRaces!AE$62:AE$67)</f>
        <v>102155</v>
      </c>
      <c r="AF44">
        <f>SUMIF(KeyRaces!$B$62:$B$67,CongressionalAnalysis!$C39,KeyRaces!AF$62:AF$67)</f>
        <v>0.53678773356874121</v>
      </c>
      <c r="AG44">
        <f>SUMIF(KeyRaces!$B$62:$B$67,CongressionalAnalysis!$C39,KeyRaces!AG$62:AG$67)</f>
        <v>-0.32</v>
      </c>
      <c r="AH44">
        <f>SUMIF(KeyRaces!$B$62:$B$67,CongressionalAnalysis!$C39,KeyRaces!AH$62:AH$67)</f>
        <v>1569</v>
      </c>
      <c r="AI44">
        <f>SUMIF(KeyRaces!$B$62:$B$67,CongressionalAnalysis!$C39,KeyRaces!AI$62:AI$67)</f>
        <v>0.44485398355542954</v>
      </c>
      <c r="AJ44">
        <f>SUMIF(KeyRaces!$B$62:$B$67,CongressionalAnalysis!$C39,KeyRaces!AJ$62:AJ$67)</f>
        <v>102853</v>
      </c>
      <c r="AK44">
        <f>SUMIF(KeyRaces!$B$62:$B$67,CongressionalAnalysis!$C39,KeyRaces!AK$62:AK$67)</f>
        <v>0.53685309392697755</v>
      </c>
      <c r="AL44">
        <f>SUMIF(KeyRaces!$B$62:$B$67,CongressionalAnalysis!$C39,KeyRaces!AL$62:AL$67)</f>
        <v>-0.31</v>
      </c>
      <c r="AM44">
        <f>SUMIF(KeyRaces!$B$62:$B$67,CongressionalAnalysis!$C39,KeyRaces!AM$62:AM$67)</f>
        <v>698</v>
      </c>
      <c r="AN44">
        <f>SUMIF(KeyRaces!$B$62:$B$67,CongressionalAnalysis!$C39,KeyRaces!AN$62:AN$67)</f>
        <v>0.5465935787000783</v>
      </c>
    </row>
    <row r="45" spans="2:40" x14ac:dyDescent="0.3">
      <c r="C45" t="s">
        <v>9</v>
      </c>
      <c r="D45" s="11">
        <f t="shared" si="4"/>
        <v>83595</v>
      </c>
      <c r="E45" s="12">
        <f t="shared" si="27"/>
        <v>0.43633374220319965</v>
      </c>
      <c r="F45" s="8">
        <f>SUMIF(KeyRaces!$B$62:$B$67,CongressionalAnalysis!$C40,KeyRaces!E$62:E$67)</f>
        <v>47963</v>
      </c>
      <c r="G45" s="5">
        <f>SUMIF(KeyRaces!$B$62:$B$67,CongressionalAnalysis!$C40,KeyRaces!F$62:F$67)</f>
        <v>0.4365</v>
      </c>
      <c r="H45" s="15">
        <f t="shared" si="6"/>
        <v>35632</v>
      </c>
      <c r="I45" s="13">
        <f>H45/SUM(H44:H47)</f>
        <v>0.43717563339672411</v>
      </c>
      <c r="J45" s="5">
        <f t="shared" si="9"/>
        <v>6.7563339672410683E-4</v>
      </c>
      <c r="K45" s="8">
        <f>SUMIF(KeyRaces!$B$62:$B$67,CongressionalAnalysis!$C40,KeyRaces!K$62:K$67)</f>
        <v>59646</v>
      </c>
      <c r="L45" s="5">
        <f>SUMIF(KeyRaces!$B$62:$B$67,CongressionalAnalysis!$C40,KeyRaces!L$62:L$67)</f>
        <v>0.44009999999999999</v>
      </c>
      <c r="M45" s="6">
        <f t="shared" si="11"/>
        <v>0.35999999999999921</v>
      </c>
      <c r="N45" s="8">
        <f>SUMIF(KeyRaces!$B$62:$B$67,CongressionalAnalysis!$C40,KeyRaces!N$62:N$67)</f>
        <v>11683</v>
      </c>
      <c r="O45" s="1">
        <f>SUMIF(KeyRaces!$B$62:$B$67,CongressionalAnalysis!$C40,KeyRaces!O$62:O$67)</f>
        <v>0.45579999999999998</v>
      </c>
      <c r="P45">
        <f>SUMIF(KeyRaces!$B$62:$B$67,CongressionalAnalysis!$C40,KeyRaces!P$62:P$67)</f>
        <v>71619</v>
      </c>
      <c r="Q45">
        <f>SUMIF(KeyRaces!$B$62:$B$67,CongressionalAnalysis!$C40,KeyRaces!Q$62:Q$67)</f>
        <v>0.44558022049125251</v>
      </c>
      <c r="R45" s="6">
        <f t="shared" si="14"/>
        <v>0.90802204912525109</v>
      </c>
      <c r="S45">
        <f>SUMIF(KeyRaces!$B$62:$B$67,CongressionalAnalysis!$C40,KeyRaces!S$62:S$67)</f>
        <v>11973</v>
      </c>
      <c r="T45">
        <f>SUMIF(KeyRaces!$B$62:$B$67,CongressionalAnalysis!$C40,KeyRaces!T$62:T$67)</f>
        <v>0.47487407289890138</v>
      </c>
      <c r="U45">
        <f>SUMIF(KeyRaces!$B$62:$B$67,CongressionalAnalysis!$C40,KeyRaces!U$62:U$67)</f>
        <v>79177</v>
      </c>
      <c r="V45">
        <f>SUMIF(KeyRaces!$B$62:$B$67,CongressionalAnalysis!$C40,KeyRaces!V$62:V$67)</f>
        <v>0.43885067537232769</v>
      </c>
      <c r="W45">
        <f>SUMIF(KeyRaces!$B$62:$B$67,CongressionalAnalysis!$C40,KeyRaces!W$62:W$67)</f>
        <v>0.24</v>
      </c>
      <c r="X45">
        <f>SUMIF(KeyRaces!$B$62:$B$67,CongressionalAnalysis!$C40,KeyRaces!X$62:X$67)</f>
        <v>7558</v>
      </c>
      <c r="Y45">
        <f>SUMIF(KeyRaces!$B$62:$B$67,CongressionalAnalysis!$C40,KeyRaces!Y$62:Y$67)</f>
        <v>0.38390816274699041</v>
      </c>
      <c r="Z45">
        <f>SUMIF(KeyRaces!$B$62:$B$67,CongressionalAnalysis!$C40,KeyRaces!Z$62:Z$67)</f>
        <v>81261</v>
      </c>
      <c r="AA45">
        <f>SUMIF(KeyRaces!$B$62:$B$67,CongressionalAnalysis!$C40,KeyRaces!AA$62:AA$67)</f>
        <v>0.4350603112736306</v>
      </c>
      <c r="AB45">
        <f>SUMIF(KeyRaces!$B$62:$B$67,CongressionalAnalysis!$C40,KeyRaces!AB$62:AB$67)</f>
        <v>-0.14999999999999991</v>
      </c>
      <c r="AC45">
        <f>SUMIF(KeyRaces!$B$62:$B$67,CongressionalAnalysis!$C40,KeyRaces!AC$62:AC$67)</f>
        <v>2084</v>
      </c>
      <c r="AD45">
        <f>SUMIF(KeyRaces!$B$62:$B$67,CongressionalAnalysis!$C40,KeyRaces!AD$62:AD$67)</f>
        <v>0.32756994655768623</v>
      </c>
      <c r="AE45">
        <f>SUMIF(KeyRaces!$B$62:$B$67,CongressionalAnalysis!$C40,KeyRaces!AE$62:AE$67)</f>
        <v>83093</v>
      </c>
      <c r="AF45">
        <f>SUMIF(KeyRaces!$B$62:$B$67,CongressionalAnalysis!$C40,KeyRaces!AF$62:AF$67)</f>
        <v>0.43662378880551528</v>
      </c>
      <c r="AG45">
        <f>SUMIF(KeyRaces!$B$62:$B$67,CongressionalAnalysis!$C40,KeyRaces!AG$62:AG$67)</f>
        <v>2.0000000000000018E-2</v>
      </c>
      <c r="AH45">
        <f>SUMIF(KeyRaces!$B$62:$B$67,CongressionalAnalysis!$C40,KeyRaces!AH$62:AH$67)</f>
        <v>1832</v>
      </c>
      <c r="AI45">
        <f>SUMIF(KeyRaces!$B$62:$B$67,CongressionalAnalysis!$C40,KeyRaces!AI$62:AI$67)</f>
        <v>0.51942160476325494</v>
      </c>
      <c r="AJ45">
        <f>SUMIF(KeyRaces!$B$62:$B$67,CongressionalAnalysis!$C40,KeyRaces!AJ$62:AJ$67)</f>
        <v>83595</v>
      </c>
      <c r="AK45">
        <f>SUMIF(KeyRaces!$B$62:$B$67,CongressionalAnalysis!$C40,KeyRaces!AK$62:AK$67)</f>
        <v>0.43633374220319965</v>
      </c>
      <c r="AL45">
        <f>SUMIF(KeyRaces!$B$62:$B$67,CongressionalAnalysis!$C40,KeyRaces!AL$62:AL$67)</f>
        <v>-2.0000000000000018E-2</v>
      </c>
      <c r="AM45">
        <f>SUMIF(KeyRaces!$B$62:$B$67,CongressionalAnalysis!$C40,KeyRaces!AM$62:AM$67)</f>
        <v>502</v>
      </c>
      <c r="AN45">
        <f>SUMIF(KeyRaces!$B$62:$B$67,CongressionalAnalysis!$C40,KeyRaces!AN$62:AN$67)</f>
        <v>0.39310884886452618</v>
      </c>
    </row>
    <row r="46" spans="2:40" x14ac:dyDescent="0.3">
      <c r="C46" t="s">
        <v>282</v>
      </c>
      <c r="D46" s="11">
        <f t="shared" si="4"/>
        <v>0</v>
      </c>
      <c r="E46" s="12">
        <f t="shared" si="27"/>
        <v>0</v>
      </c>
      <c r="F46" s="8">
        <f>SUMIF(KeyRaces!$B$62:$B$67,CongressionalAnalysis!$C41,KeyRaces!E$62:E$67)</f>
        <v>0</v>
      </c>
      <c r="G46" s="5">
        <f>SUMIF(KeyRaces!$B$62:$B$67,CongressionalAnalysis!$C41,KeyRaces!F$62:F$67)</f>
        <v>0</v>
      </c>
      <c r="H46" s="15">
        <f t="shared" si="6"/>
        <v>0</v>
      </c>
      <c r="I46" s="13">
        <f>H46/SUM(H44:H47)</f>
        <v>0</v>
      </c>
      <c r="J46" s="5">
        <f t="shared" si="9"/>
        <v>0</v>
      </c>
      <c r="K46" s="8">
        <f>SUMIF(KeyRaces!$B$62:$B$67,CongressionalAnalysis!$C41,KeyRaces!K$62:K$67)</f>
        <v>0</v>
      </c>
      <c r="L46" s="5">
        <f>SUMIF(KeyRaces!$B$62:$B$67,CongressionalAnalysis!$C41,KeyRaces!L$62:L$67)</f>
        <v>0</v>
      </c>
      <c r="M46" s="6">
        <f t="shared" si="11"/>
        <v>0</v>
      </c>
      <c r="N46" s="8">
        <f>SUMIF(KeyRaces!$B$62:$B$67,CongressionalAnalysis!$C41,KeyRaces!N$62:N$67)</f>
        <v>0</v>
      </c>
      <c r="O46" s="1">
        <f>SUMIF(KeyRaces!$B$62:$B$67,CongressionalAnalysis!$C41,KeyRaces!O$62:O$67)</f>
        <v>0</v>
      </c>
      <c r="P46">
        <f>SUMIF(KeyRaces!$B$62:$B$67,CongressionalAnalysis!$C41,KeyRaces!P$62:P$67)</f>
        <v>0</v>
      </c>
      <c r="Q46">
        <f>SUMIF(KeyRaces!$B$62:$B$67,CongressionalAnalysis!$C41,KeyRaces!Q$62:Q$67)</f>
        <v>0</v>
      </c>
      <c r="R46" s="6">
        <f t="shared" si="14"/>
        <v>0</v>
      </c>
      <c r="S46">
        <f>SUMIF(KeyRaces!$B$62:$B$67,CongressionalAnalysis!$C41,KeyRaces!S$62:S$67)</f>
        <v>0</v>
      </c>
      <c r="T46">
        <f>SUMIF(KeyRaces!$B$62:$B$67,CongressionalAnalysis!$C41,KeyRaces!T$62:T$67)</f>
        <v>0</v>
      </c>
      <c r="U46">
        <f>SUMIF(KeyRaces!$B$62:$B$67,CongressionalAnalysis!$C41,KeyRaces!U$62:U$67)</f>
        <v>0</v>
      </c>
      <c r="V46">
        <f>SUMIF(KeyRaces!$B$62:$B$67,CongressionalAnalysis!$C41,KeyRaces!V$62:V$67)</f>
        <v>0</v>
      </c>
      <c r="W46">
        <f>SUMIF(KeyRaces!$B$62:$B$67,CongressionalAnalysis!$C41,KeyRaces!W$62:W$67)</f>
        <v>0</v>
      </c>
      <c r="X46">
        <f>SUMIF(KeyRaces!$B$62:$B$67,CongressionalAnalysis!$C41,KeyRaces!X$62:X$67)</f>
        <v>0</v>
      </c>
      <c r="Y46">
        <f>SUMIF(KeyRaces!$B$62:$B$67,CongressionalAnalysis!$C41,KeyRaces!Y$62:Y$67)</f>
        <v>0</v>
      </c>
      <c r="Z46">
        <f>SUMIF(KeyRaces!$B$62:$B$67,CongressionalAnalysis!$C41,KeyRaces!Z$62:Z$67)</f>
        <v>0</v>
      </c>
      <c r="AA46">
        <f>SUMIF(KeyRaces!$B$62:$B$67,CongressionalAnalysis!$C41,KeyRaces!AA$62:AA$67)</f>
        <v>0</v>
      </c>
      <c r="AB46">
        <f>SUMIF(KeyRaces!$B$62:$B$67,CongressionalAnalysis!$C41,KeyRaces!AB$62:AB$67)</f>
        <v>0</v>
      </c>
      <c r="AC46">
        <f>SUMIF(KeyRaces!$B$62:$B$67,CongressionalAnalysis!$C41,KeyRaces!AC$62:AC$67)</f>
        <v>0</v>
      </c>
      <c r="AD46">
        <f>SUMIF(KeyRaces!$B$62:$B$67,CongressionalAnalysis!$C41,KeyRaces!AD$62:AD$67)</f>
        <v>0</v>
      </c>
      <c r="AE46">
        <f>SUMIF(KeyRaces!$B$62:$B$67,CongressionalAnalysis!$C41,KeyRaces!AE$62:AE$67)</f>
        <v>0</v>
      </c>
      <c r="AF46">
        <f>SUMIF(KeyRaces!$B$62:$B$67,CongressionalAnalysis!$C41,KeyRaces!AF$62:AF$67)</f>
        <v>0</v>
      </c>
      <c r="AG46">
        <f>SUMIF(KeyRaces!$B$62:$B$67,CongressionalAnalysis!$C41,KeyRaces!AG$62:AG$67)</f>
        <v>0</v>
      </c>
      <c r="AH46">
        <f>SUMIF(KeyRaces!$B$62:$B$67,CongressionalAnalysis!$C41,KeyRaces!AH$62:AH$67)</f>
        <v>0</v>
      </c>
      <c r="AI46">
        <f>SUMIF(KeyRaces!$B$62:$B$67,CongressionalAnalysis!$C41,KeyRaces!AI$62:AI$67)</f>
        <v>0</v>
      </c>
      <c r="AJ46">
        <f>SUMIF(KeyRaces!$B$62:$B$67,CongressionalAnalysis!$C41,KeyRaces!AJ$62:AJ$67)</f>
        <v>0</v>
      </c>
      <c r="AK46">
        <f>SUMIF(KeyRaces!$B$62:$B$67,CongressionalAnalysis!$C41,KeyRaces!AK$62:AK$67)</f>
        <v>0</v>
      </c>
      <c r="AL46">
        <f>SUMIF(KeyRaces!$B$62:$B$67,CongressionalAnalysis!$C41,KeyRaces!AL$62:AL$67)</f>
        <v>0</v>
      </c>
      <c r="AM46">
        <f>SUMIF(KeyRaces!$B$62:$B$67,CongressionalAnalysis!$C41,KeyRaces!AM$62:AM$67)</f>
        <v>0</v>
      </c>
      <c r="AN46">
        <f>SUMIF(KeyRaces!$B$62:$B$67,CongressionalAnalysis!$C41,KeyRaces!AN$62:AN$67)</f>
        <v>0</v>
      </c>
    </row>
    <row r="47" spans="2:40" x14ac:dyDescent="0.3">
      <c r="C47" t="s">
        <v>11</v>
      </c>
      <c r="D47" s="11">
        <f t="shared" si="4"/>
        <v>4777</v>
      </c>
      <c r="E47" s="12">
        <f t="shared" si="27"/>
        <v>2.4934102356656315E-2</v>
      </c>
      <c r="F47" s="8">
        <f>SUMIF(KeyRaces!$B$62:$B$67,CongressionalAnalysis!$C42,KeyRaces!E$62:E$67)</f>
        <v>2417</v>
      </c>
      <c r="G47" s="5">
        <f>SUMIF(KeyRaces!$B$62:$B$67,CongressionalAnalysis!$C42,KeyRaces!F$62:F$67)</f>
        <v>2.2000000000000002E-2</v>
      </c>
      <c r="H47" s="15">
        <f t="shared" si="6"/>
        <v>2360</v>
      </c>
      <c r="I47" s="13">
        <f>H47/SUM(H44:H47)</f>
        <v>2.8955278817250477E-2</v>
      </c>
      <c r="J47" s="5">
        <f t="shared" si="9"/>
        <v>6.9552788172504744E-3</v>
      </c>
      <c r="K47" s="8">
        <f>SUMIF(KeyRaces!$B$62:$B$67,CongressionalAnalysis!$C42,KeyRaces!K$62:K$67)</f>
        <v>3011</v>
      </c>
      <c r="L47" s="5">
        <f>SUMIF(KeyRaces!$B$62:$B$67,CongressionalAnalysis!$C42,KeyRaces!L$62:L$67)</f>
        <v>2.2200000000000001E-2</v>
      </c>
      <c r="M47" s="6">
        <f t="shared" si="11"/>
        <v>1.9999999999999879E-2</v>
      </c>
      <c r="N47" s="8">
        <f>SUMIF(KeyRaces!$B$62:$B$67,CongressionalAnalysis!$C42,KeyRaces!N$62:N$67)</f>
        <v>594</v>
      </c>
      <c r="O47" s="1">
        <f>SUMIF(KeyRaces!$B$62:$B$67,CongressionalAnalysis!$C42,KeyRaces!O$62:O$67)</f>
        <v>2.3199999999999998E-2</v>
      </c>
      <c r="P47">
        <f>SUMIF(KeyRaces!$B$62:$B$67,CongressionalAnalysis!$C42,KeyRaces!P$62:P$67)</f>
        <v>3772</v>
      </c>
      <c r="Q47">
        <f>SUMIF(KeyRaces!$B$62:$B$67,CongressionalAnalysis!$C42,KeyRaces!Q$62:Q$67)</f>
        <v>2.3467635567279696E-2</v>
      </c>
      <c r="R47" s="6">
        <f t="shared" si="14"/>
        <v>0.14676355672796937</v>
      </c>
      <c r="S47">
        <f>SUMIF(KeyRaces!$B$62:$B$67,CongressionalAnalysis!$C42,KeyRaces!S$62:S$67)</f>
        <v>761</v>
      </c>
      <c r="T47">
        <f>SUMIF(KeyRaces!$B$62:$B$67,CongressionalAnalysis!$C42,KeyRaces!T$62:T$67)</f>
        <v>3.0182842184587316E-2</v>
      </c>
      <c r="U47">
        <f>SUMIF(KeyRaces!$B$62:$B$67,CongressionalAnalysis!$C42,KeyRaces!U$62:U$67)</f>
        <v>4368</v>
      </c>
      <c r="V47">
        <f>SUMIF(KeyRaces!$B$62:$B$67,CongressionalAnalysis!$C42,KeyRaces!V$62:V$67)</f>
        <v>2.4210310444021971E-2</v>
      </c>
      <c r="W47">
        <f>SUMIF(KeyRaces!$B$62:$B$67,CongressionalAnalysis!$C42,KeyRaces!W$62:W$67)</f>
        <v>0.22</v>
      </c>
      <c r="X47">
        <f>SUMIF(KeyRaces!$B$62:$B$67,CongressionalAnalysis!$C42,KeyRaces!X$62:X$67)</f>
        <v>596</v>
      </c>
      <c r="Y47">
        <f>SUMIF(KeyRaces!$B$62:$B$67,CongressionalAnalysis!$C42,KeyRaces!Y$62:Y$67)</f>
        <v>3.0273784731040788E-2</v>
      </c>
      <c r="Z47">
        <f>SUMIF(KeyRaces!$B$62:$B$67,CongressionalAnalysis!$C42,KeyRaces!Z$62:Z$67)</f>
        <v>4596</v>
      </c>
      <c r="AA47">
        <f>SUMIF(KeyRaces!$B$62:$B$67,CongressionalAnalysis!$C42,KeyRaces!AA$62:AA$67)</f>
        <v>2.4606357177657256E-2</v>
      </c>
      <c r="AB47">
        <f>SUMIF(KeyRaces!$B$62:$B$67,CongressionalAnalysis!$C42,KeyRaces!AB$62:AB$67)</f>
        <v>0.26</v>
      </c>
      <c r="AC47">
        <f>SUMIF(KeyRaces!$B$62:$B$67,CongressionalAnalysis!$C42,KeyRaces!AC$62:AC$67)</f>
        <v>228</v>
      </c>
      <c r="AD47">
        <f>SUMIF(KeyRaces!$B$62:$B$67,CongressionalAnalysis!$C42,KeyRaces!AD$62:AD$67)</f>
        <v>3.5837786859478152E-2</v>
      </c>
      <c r="AE47">
        <f>SUMIF(KeyRaces!$B$62:$B$67,CongressionalAnalysis!$C42,KeyRaces!AE$62:AE$67)</f>
        <v>4712</v>
      </c>
      <c r="AF47">
        <f>SUMIF(KeyRaces!$B$62:$B$67,CongressionalAnalysis!$C42,KeyRaces!AF$62:AF$67)</f>
        <v>2.4759862958992792E-2</v>
      </c>
      <c r="AG47">
        <f>SUMIF(KeyRaces!$B$62:$B$67,CongressionalAnalysis!$C42,KeyRaces!AG$62:AG$67)</f>
        <v>0.28000000000000003</v>
      </c>
      <c r="AH47">
        <f>SUMIF(KeyRaces!$B$62:$B$67,CongressionalAnalysis!$C42,KeyRaces!AH$62:AH$67)</f>
        <v>116</v>
      </c>
      <c r="AI47">
        <f>SUMIF(KeyRaces!$B$62:$B$67,CongressionalAnalysis!$C42,KeyRaces!AI$62:AI$67)</f>
        <v>3.2889140912957186E-2</v>
      </c>
      <c r="AJ47">
        <f>SUMIF(KeyRaces!$B$62:$B$67,CongressionalAnalysis!$C42,KeyRaces!AJ$62:AJ$67)</f>
        <v>4777</v>
      </c>
      <c r="AK47">
        <f>SUMIF(KeyRaces!$B$62:$B$67,CongressionalAnalysis!$C42,KeyRaces!AK$62:AK$67)</f>
        <v>2.4934102356656315E-2</v>
      </c>
      <c r="AL47">
        <f>SUMIF(KeyRaces!$B$62:$B$67,CongressionalAnalysis!$C42,KeyRaces!AL$62:AL$67)</f>
        <v>0.28999999999999998</v>
      </c>
      <c r="AM47">
        <f>SUMIF(KeyRaces!$B$62:$B$67,CongressionalAnalysis!$C42,KeyRaces!AM$62:AM$67)</f>
        <v>65</v>
      </c>
      <c r="AN47">
        <f>SUMIF(KeyRaces!$B$62:$B$67,CongressionalAnalysis!$C42,KeyRaces!AN$62:AN$67)</f>
        <v>5.0900548159749412E-2</v>
      </c>
    </row>
    <row r="48" spans="2:40" x14ac:dyDescent="0.3">
      <c r="B48" s="2" t="s">
        <v>292</v>
      </c>
      <c r="C48" t="s">
        <v>281</v>
      </c>
      <c r="D48" s="11">
        <f t="shared" si="4"/>
        <v>143943</v>
      </c>
      <c r="F48" s="8">
        <f>KeyRaces!E68</f>
        <v>71932</v>
      </c>
      <c r="G48" s="5" t="str">
        <f>KeyRaces!F68</f>
        <v/>
      </c>
      <c r="H48" s="15">
        <f t="shared" si="6"/>
        <v>72011</v>
      </c>
      <c r="I48" s="15"/>
      <c r="K48" s="8">
        <f>KeyRaces!K68</f>
        <v>89152</v>
      </c>
      <c r="L48" s="5" t="str">
        <f>KeyRaces!L68</f>
        <v/>
      </c>
      <c r="M48" s="6"/>
      <c r="N48" s="8">
        <f>KeyRaces!N68</f>
        <v>17220</v>
      </c>
      <c r="O48" s="1" t="str">
        <f>KeyRaces!O68</f>
        <v/>
      </c>
      <c r="P48">
        <f>KeyRaces!P68</f>
        <v>110240</v>
      </c>
      <c r="Q48" t="str">
        <f>KeyRaces!Q68</f>
        <v/>
      </c>
      <c r="R48" s="6"/>
      <c r="S48">
        <f>KeyRaces!S68</f>
        <v>21088</v>
      </c>
      <c r="T48" t="str">
        <f>KeyRaces!T68</f>
        <v/>
      </c>
      <c r="U48">
        <f>KeyRaces!U68</f>
        <v>134241</v>
      </c>
      <c r="V48" t="str">
        <f>KeyRaces!V68</f>
        <v/>
      </c>
      <c r="W48" t="str">
        <f>KeyRaces!W68</f>
        <v/>
      </c>
      <c r="X48">
        <f>KeyRaces!X68</f>
        <v>24001</v>
      </c>
      <c r="Y48" t="str">
        <f>KeyRaces!Y68</f>
        <v/>
      </c>
      <c r="Z48">
        <f>KeyRaces!Z68</f>
        <v>142326</v>
      </c>
      <c r="AA48">
        <f>KeyRaces!AA68</f>
        <v>0</v>
      </c>
      <c r="AB48">
        <f>KeyRaces!AB68</f>
        <v>0</v>
      </c>
      <c r="AC48">
        <f>KeyRaces!AC68</f>
        <v>8085</v>
      </c>
      <c r="AD48">
        <f>KeyRaces!AD68</f>
        <v>0</v>
      </c>
      <c r="AE48">
        <f>KeyRaces!AE68</f>
        <v>142821</v>
      </c>
      <c r="AF48">
        <f>KeyRaces!AF68</f>
        <v>0</v>
      </c>
      <c r="AG48">
        <f>KeyRaces!AG68</f>
        <v>0</v>
      </c>
      <c r="AH48">
        <f>KeyRaces!AH68</f>
        <v>495</v>
      </c>
      <c r="AI48">
        <f>KeyRaces!AI68</f>
        <v>0</v>
      </c>
      <c r="AJ48">
        <f>KeyRaces!AJ68</f>
        <v>143943</v>
      </c>
      <c r="AK48">
        <f>KeyRaces!AK68</f>
        <v>0</v>
      </c>
      <c r="AL48">
        <f>KeyRaces!AL68</f>
        <v>0</v>
      </c>
      <c r="AM48">
        <f>KeyRaces!AM68</f>
        <v>1122</v>
      </c>
      <c r="AN48">
        <f>KeyRaces!AN68</f>
        <v>0</v>
      </c>
    </row>
    <row r="49" spans="2:40" x14ac:dyDescent="0.3">
      <c r="C49" t="s">
        <v>8</v>
      </c>
      <c r="D49" s="11">
        <f t="shared" si="4"/>
        <v>67095</v>
      </c>
      <c r="E49" s="12">
        <f t="shared" si="27"/>
        <v>0.47131838489420891</v>
      </c>
      <c r="F49" s="8">
        <f>SUMIF(KeyRaces!$B$69:$B$73,CongressionalAnalysis!$C44,KeyRaces!E$69:E$73)</f>
        <v>36070</v>
      </c>
      <c r="G49" s="5">
        <f>SUMIF(KeyRaces!$B$69:$B$73,CongressionalAnalysis!$C44,KeyRaces!F$69:F$73)</f>
        <v>0.50939999999999996</v>
      </c>
      <c r="H49" s="15">
        <f t="shared" si="6"/>
        <v>31025</v>
      </c>
      <c r="I49" s="13">
        <f>H49/SUM(H49:H52)</f>
        <v>0.43419542642819159</v>
      </c>
      <c r="J49" s="5">
        <f t="shared" si="9"/>
        <v>-7.5204573571808375E-2</v>
      </c>
      <c r="K49" s="8">
        <f>SUMIF(KeyRaces!$B$69:$B$73,CongressionalAnalysis!$C44,KeyRaces!K$69:K$73)</f>
        <v>44010</v>
      </c>
      <c r="L49" s="5">
        <f>SUMIF(KeyRaces!$B$69:$B$73,CongressionalAnalysis!$C44,KeyRaces!L$69:L$73)</f>
        <v>0.50170000000000003</v>
      </c>
      <c r="M49" s="6">
        <f t="shared" si="11"/>
        <v>-0.76999999999999291</v>
      </c>
      <c r="N49" s="8">
        <f>SUMIF(KeyRaces!$B$69:$B$73,CongressionalAnalysis!$C44,KeyRaces!N$69:N$73)</f>
        <v>7940</v>
      </c>
      <c r="O49" s="1">
        <f>SUMIF(KeyRaces!$B$69:$B$73,CongressionalAnalysis!$C44,KeyRaces!O$69:O$73)</f>
        <v>0.46939999999999998</v>
      </c>
      <c r="P49">
        <f>SUMIF(KeyRaces!$B$69:$B$73,CongressionalAnalysis!$C44,KeyRaces!P$69:P$73)</f>
        <v>53036</v>
      </c>
      <c r="Q49">
        <f>SUMIF(KeyRaces!$B$69:$B$73,CongressionalAnalysis!$C44,KeyRaces!Q$69:Q$73)</f>
        <v>0.48914467009757806</v>
      </c>
      <c r="R49" s="6">
        <f t="shared" si="14"/>
        <v>-2.0255329902421906</v>
      </c>
      <c r="S49">
        <f>SUMIF(KeyRaces!$B$69:$B$73,CongressionalAnalysis!$C44,KeyRaces!S$69:S$73)</f>
        <v>9026</v>
      </c>
      <c r="T49">
        <f>SUMIF(KeyRaces!$B$69:$B$73,CongressionalAnalysis!$C44,KeyRaces!T$69:T$73)</f>
        <v>0.4359122959528639</v>
      </c>
      <c r="U49">
        <f>SUMIF(KeyRaces!$B$69:$B$73,CongressionalAnalysis!$C44,KeyRaces!U$69:U$73)</f>
        <v>63114</v>
      </c>
      <c r="V49">
        <f>SUMIF(KeyRaces!$B$69:$B$73,CongressionalAnalysis!$C44,KeyRaces!V$69:V$73)</f>
        <v>0.47787570416136654</v>
      </c>
      <c r="W49">
        <f>SUMIF(KeyRaces!$B$69:$B$73,CongressionalAnalysis!$C44,KeyRaces!W$69:W$73)</f>
        <v>-3.15</v>
      </c>
      <c r="X49">
        <f>SUMIF(KeyRaces!$B$69:$B$73,CongressionalAnalysis!$C44,KeyRaces!X$69:X$73)</f>
        <v>10078</v>
      </c>
      <c r="Y49">
        <f>SUMIF(KeyRaces!$B$69:$B$73,CongressionalAnalysis!$C44,KeyRaces!Y$69:Y$73)</f>
        <v>0.42620316332572106</v>
      </c>
      <c r="Z49">
        <f>SUMIF(KeyRaces!$B$69:$B$73,CongressionalAnalysis!$C44,KeyRaces!Z$69:Z$73)</f>
        <v>66326</v>
      </c>
      <c r="AA49">
        <f>SUMIF(KeyRaces!$B$69:$B$73,CongressionalAnalysis!$C44,KeyRaces!AA$69:AA$73)</f>
        <v>0.47278118740599762</v>
      </c>
      <c r="AB49">
        <f>SUMIF(KeyRaces!$B$69:$B$73,CongressionalAnalysis!$C44,KeyRaces!AB$69:AB$73)</f>
        <v>-3.66</v>
      </c>
      <c r="AC49">
        <f>SUMIF(KeyRaces!$B$69:$B$73,CongressionalAnalysis!$C44,KeyRaces!AC$69:AC$73)</f>
        <v>3212</v>
      </c>
      <c r="AD49">
        <f>SUMIF(KeyRaces!$B$69:$B$73,CongressionalAnalysis!$C44,KeyRaces!AD$69:AD$73)</f>
        <v>0.39089692101740292</v>
      </c>
      <c r="AE49">
        <f>SUMIF(KeyRaces!$B$69:$B$73,CongressionalAnalysis!$C44,KeyRaces!AE$69:AE$73)</f>
        <v>66657</v>
      </c>
      <c r="AF49">
        <f>SUMIF(KeyRaces!$B$69:$B$73,CongressionalAnalysis!$C44,KeyRaces!AF$69:AF$73)</f>
        <v>0.47227910074465596</v>
      </c>
      <c r="AG49">
        <f>SUMIF(KeyRaces!$B$69:$B$73,CongressionalAnalysis!$C44,KeyRaces!AG$69:AG$73)</f>
        <v>-3.71</v>
      </c>
      <c r="AH49">
        <f>SUMIF(KeyRaces!$B$69:$B$73,CongressionalAnalysis!$C44,KeyRaces!AH$69:AH$73)</f>
        <v>331</v>
      </c>
      <c r="AI49">
        <f>SUMIF(KeyRaces!$B$69:$B$73,CongressionalAnalysis!$C44,KeyRaces!AI$69:AI$73)</f>
        <v>0.38941176470588235</v>
      </c>
      <c r="AJ49">
        <f>SUMIF(KeyRaces!$B$69:$B$73,CongressionalAnalysis!$C44,KeyRaces!AJ$69:AJ$73)</f>
        <v>67095</v>
      </c>
      <c r="AK49">
        <f>SUMIF(KeyRaces!$B$69:$B$73,CongressionalAnalysis!$C44,KeyRaces!AK$69:AK$73)</f>
        <v>0.47131838489420891</v>
      </c>
      <c r="AL49">
        <f>SUMIF(KeyRaces!$B$69:$B$73,CongressionalAnalysis!$C44,KeyRaces!AL$69:AL$73)</f>
        <v>-3.81</v>
      </c>
      <c r="AM49">
        <f>SUMIF(KeyRaces!$B$69:$B$73,CongressionalAnalysis!$C44,KeyRaces!AM$69:AM$73)</f>
        <v>438</v>
      </c>
      <c r="AN49">
        <f>SUMIF(KeyRaces!$B$69:$B$73,CongressionalAnalysis!$C44,KeyRaces!AN$69:AN$73)</f>
        <v>0.35990139687756778</v>
      </c>
    </row>
    <row r="50" spans="2:40" x14ac:dyDescent="0.3">
      <c r="C50" t="s">
        <v>9</v>
      </c>
      <c r="D50" s="11">
        <f t="shared" si="4"/>
        <v>31070</v>
      </c>
      <c r="E50" s="12">
        <f t="shared" si="27"/>
        <v>0.2182556407878839</v>
      </c>
      <c r="F50" s="8">
        <f>SUMIF(KeyRaces!$B$69:$B$73,CongressionalAnalysis!$C45,KeyRaces!E$69:E$73)</f>
        <v>16842</v>
      </c>
      <c r="G50" s="5">
        <f>SUMIF(KeyRaces!$B$69:$B$73,CongressionalAnalysis!$C45,KeyRaces!F$69:F$73)</f>
        <v>0.2379</v>
      </c>
      <c r="H50" s="15">
        <f t="shared" si="6"/>
        <v>14228</v>
      </c>
      <c r="I50" s="13">
        <f>H50/SUM(H49:H52)</f>
        <v>0.19912111288381337</v>
      </c>
      <c r="J50" s="5">
        <f t="shared" si="9"/>
        <v>-3.8778887116186628E-2</v>
      </c>
      <c r="K50" s="8">
        <f>SUMIF(KeyRaces!$B$69:$B$73,CongressionalAnalysis!$C45,KeyRaces!K$69:K$73)</f>
        <v>21140</v>
      </c>
      <c r="L50" s="5">
        <f>SUMIF(KeyRaces!$B$69:$B$73,CongressionalAnalysis!$C45,KeyRaces!L$69:L$73)</f>
        <v>0.24100000000000002</v>
      </c>
      <c r="M50" s="6">
        <f t="shared" si="11"/>
        <v>0.31000000000000194</v>
      </c>
      <c r="N50" s="8">
        <f>SUMIF(KeyRaces!$B$69:$B$73,CongressionalAnalysis!$C45,KeyRaces!N$69:N$73)</f>
        <v>4298</v>
      </c>
      <c r="O50" s="1">
        <f>SUMIF(KeyRaces!$B$69:$B$73,CongressionalAnalysis!$C45,KeyRaces!O$69:O$73)</f>
        <v>0.25409999999999999</v>
      </c>
      <c r="P50">
        <f>SUMIF(KeyRaces!$B$69:$B$73,CongressionalAnalysis!$C45,KeyRaces!P$69:P$73)</f>
        <v>24667</v>
      </c>
      <c r="Q50">
        <f>SUMIF(KeyRaces!$B$69:$B$73,CongressionalAnalysis!$C45,KeyRaces!Q$69:Q$73)</f>
        <v>0.2275007839448103</v>
      </c>
      <c r="R50" s="6">
        <f t="shared" si="14"/>
        <v>-1.0399216055189702</v>
      </c>
      <c r="S50">
        <f>SUMIF(KeyRaces!$B$69:$B$73,CongressionalAnalysis!$C45,KeyRaces!S$69:S$73)</f>
        <v>3527</v>
      </c>
      <c r="T50">
        <f>SUMIF(KeyRaces!$B$69:$B$73,CongressionalAnalysis!$C45,KeyRaces!T$69:T$73)</f>
        <v>0.17033710035738434</v>
      </c>
      <c r="U50">
        <f>SUMIF(KeyRaces!$B$69:$B$73,CongressionalAnalysis!$C45,KeyRaces!U$69:U$73)</f>
        <v>28909</v>
      </c>
      <c r="V50">
        <f>SUMIF(KeyRaces!$B$69:$B$73,CongressionalAnalysis!$C45,KeyRaces!V$69:V$73)</f>
        <v>0.2188881822036465</v>
      </c>
      <c r="W50">
        <f>SUMIF(KeyRaces!$B$69:$B$73,CongressionalAnalysis!$C45,KeyRaces!W$69:W$73)</f>
        <v>-1.9</v>
      </c>
      <c r="X50">
        <f>SUMIF(KeyRaces!$B$69:$B$73,CongressionalAnalysis!$C45,KeyRaces!X$69:X$73)</f>
        <v>4242</v>
      </c>
      <c r="Y50">
        <f>SUMIF(KeyRaces!$B$69:$B$73,CongressionalAnalysis!$C45,KeyRaces!Y$69:Y$73)</f>
        <v>0.17939609236234458</v>
      </c>
      <c r="Z50">
        <f>SUMIF(KeyRaces!$B$69:$B$73,CongressionalAnalysis!$C45,KeyRaces!Z$69:Z$73)</f>
        <v>30726</v>
      </c>
      <c r="AA50">
        <f>SUMIF(KeyRaces!$B$69:$B$73,CongressionalAnalysis!$C45,KeyRaces!AA$69:AA$73)</f>
        <v>0.21901931013835724</v>
      </c>
      <c r="AB50">
        <f>SUMIF(KeyRaces!$B$69:$B$73,CongressionalAnalysis!$C45,KeyRaces!AB$69:AB$73)</f>
        <v>-1.89</v>
      </c>
      <c r="AC50">
        <f>SUMIF(KeyRaces!$B$69:$B$73,CongressionalAnalysis!$C45,KeyRaces!AC$69:AC$73)</f>
        <v>1817</v>
      </c>
      <c r="AD50">
        <f>SUMIF(KeyRaces!$B$69:$B$73,CongressionalAnalysis!$C45,KeyRaces!AD$69:AD$73)</f>
        <v>0.22112693197030547</v>
      </c>
      <c r="AE50">
        <f>SUMIF(KeyRaces!$B$69:$B$73,CongressionalAnalysis!$C45,KeyRaces!AE$69:AE$73)</f>
        <v>30906</v>
      </c>
      <c r="AF50">
        <f>SUMIF(KeyRaces!$B$69:$B$73,CongressionalAnalysis!$C45,KeyRaces!AF$69:AF$73)</f>
        <v>0.21897561977908303</v>
      </c>
      <c r="AG50">
        <f>SUMIF(KeyRaces!$B$69:$B$73,CongressionalAnalysis!$C45,KeyRaces!AG$69:AG$73)</f>
        <v>-1.89</v>
      </c>
      <c r="AH50">
        <f>SUMIF(KeyRaces!$B$69:$B$73,CongressionalAnalysis!$C45,KeyRaces!AH$69:AH$73)</f>
        <v>180</v>
      </c>
      <c r="AI50">
        <f>SUMIF(KeyRaces!$B$69:$B$73,CongressionalAnalysis!$C45,KeyRaces!AI$69:AI$73)</f>
        <v>0.21176470588235294</v>
      </c>
      <c r="AJ50">
        <f>SUMIF(KeyRaces!$B$69:$B$73,CongressionalAnalysis!$C45,KeyRaces!AJ$69:AJ$73)</f>
        <v>31070</v>
      </c>
      <c r="AK50">
        <f>SUMIF(KeyRaces!$B$69:$B$73,CongressionalAnalysis!$C45,KeyRaces!AK$69:AK$73)</f>
        <v>0.2182556407878839</v>
      </c>
      <c r="AL50">
        <f>SUMIF(KeyRaces!$B$69:$B$73,CongressionalAnalysis!$C45,KeyRaces!AL$69:AL$73)</f>
        <v>-1.96</v>
      </c>
      <c r="AM50">
        <f>SUMIF(KeyRaces!$B$69:$B$73,CongressionalAnalysis!$C45,KeyRaces!AM$69:AM$73)</f>
        <v>164</v>
      </c>
      <c r="AN50">
        <f>SUMIF(KeyRaces!$B$69:$B$73,CongressionalAnalysis!$C45,KeyRaces!AN$69:AN$73)</f>
        <v>0.13475760065735415</v>
      </c>
    </row>
    <row r="51" spans="2:40" x14ac:dyDescent="0.3">
      <c r="C51" t="s">
        <v>282</v>
      </c>
      <c r="D51" s="11">
        <f t="shared" si="4"/>
        <v>42394</v>
      </c>
      <c r="E51" s="12">
        <f t="shared" si="27"/>
        <v>0.29780269184298519</v>
      </c>
      <c r="F51" s="8">
        <f>SUMIF(KeyRaces!$B$69:$B$73,CongressionalAnalysis!$C46,KeyRaces!E$69:E$73)</f>
        <v>16979</v>
      </c>
      <c r="G51" s="5">
        <f>SUMIF(KeyRaces!$B$69:$B$73,CongressionalAnalysis!$C46,KeyRaces!F$69:F$73)</f>
        <v>0.23980000000000001</v>
      </c>
      <c r="H51" s="15">
        <f t="shared" si="6"/>
        <v>25415</v>
      </c>
      <c r="I51" s="13">
        <f>H51/SUM(H49:H52)</f>
        <v>0.35568337671788841</v>
      </c>
      <c r="J51" s="5">
        <f t="shared" si="9"/>
        <v>0.1158833767178884</v>
      </c>
      <c r="K51" s="8">
        <f>SUMIF(KeyRaces!$B$69:$B$73,CongressionalAnalysis!$C46,KeyRaces!K$69:K$73)</f>
        <v>21529</v>
      </c>
      <c r="L51" s="5">
        <f>SUMIF(KeyRaces!$B$69:$B$73,CongressionalAnalysis!$C46,KeyRaces!L$69:L$73)</f>
        <v>0.24540000000000001</v>
      </c>
      <c r="M51" s="6">
        <f t="shared" si="11"/>
        <v>0.55999999999999939</v>
      </c>
      <c r="N51" s="8">
        <f>SUMIF(KeyRaces!$B$69:$B$73,CongressionalAnalysis!$C46,KeyRaces!N$69:N$73)</f>
        <v>4550</v>
      </c>
      <c r="O51" s="1">
        <f>SUMIF(KeyRaces!$B$69:$B$73,CongressionalAnalysis!$C46,KeyRaces!O$69:O$73)</f>
        <v>0.26900000000000002</v>
      </c>
      <c r="P51">
        <f>SUMIF(KeyRaces!$B$69:$B$73,CongressionalAnalysis!$C46,KeyRaces!P$69:P$73)</f>
        <v>29424</v>
      </c>
      <c r="Q51">
        <f>SUMIF(KeyRaces!$B$69:$B$73,CongressionalAnalysis!$C46,KeyRaces!Q$69:Q$73)</f>
        <v>0.27137402468042721</v>
      </c>
      <c r="R51" s="6">
        <f t="shared" si="14"/>
        <v>3.1574024680427195</v>
      </c>
      <c r="S51">
        <f>SUMIF(KeyRaces!$B$69:$B$73,CongressionalAnalysis!$C46,KeyRaces!S$69:S$73)</f>
        <v>7895</v>
      </c>
      <c r="T51">
        <f>SUMIF(KeyRaces!$B$69:$B$73,CongressionalAnalysis!$C46,KeyRaces!T$69:T$73)</f>
        <v>0.38129044721336813</v>
      </c>
      <c r="U51">
        <f>SUMIF(KeyRaces!$B$69:$B$73,CongressionalAnalysis!$C46,KeyRaces!U$69:U$73)</f>
        <v>38432</v>
      </c>
      <c r="V51">
        <f>SUMIF(KeyRaces!$B$69:$B$73,CongressionalAnalysis!$C46,KeyRaces!V$69:V$73)</f>
        <v>0.29099279181052756</v>
      </c>
      <c r="W51">
        <f>SUMIF(KeyRaces!$B$69:$B$73,CongressionalAnalysis!$C46,KeyRaces!W$69:W$73)</f>
        <v>5.1199999999999992</v>
      </c>
      <c r="X51">
        <f>SUMIF(KeyRaces!$B$69:$B$73,CongressionalAnalysis!$C46,KeyRaces!X$69:X$73)</f>
        <v>9008</v>
      </c>
      <c r="Y51">
        <f>SUMIF(KeyRaces!$B$69:$B$73,CongressionalAnalysis!$C46,KeyRaces!Y$69:Y$73)</f>
        <v>0.38095238095238093</v>
      </c>
      <c r="Z51">
        <f>SUMIF(KeyRaces!$B$69:$B$73,CongressionalAnalysis!$C46,KeyRaces!Z$69:Z$73)</f>
        <v>41483</v>
      </c>
      <c r="AA51">
        <f>SUMIF(KeyRaces!$B$69:$B$73,CongressionalAnalysis!$C46,KeyRaces!AA$69:AA$73)</f>
        <v>0.29569674030037996</v>
      </c>
      <c r="AB51">
        <f>SUMIF(KeyRaces!$B$69:$B$73,CongressionalAnalysis!$C46,KeyRaces!AB$69:AB$73)</f>
        <v>5.58</v>
      </c>
      <c r="AC51">
        <f>SUMIF(KeyRaces!$B$69:$B$73,CongressionalAnalysis!$C46,KeyRaces!AC$69:AC$73)</f>
        <v>3051</v>
      </c>
      <c r="AD51">
        <f>SUMIF(KeyRaces!$B$69:$B$73,CongressionalAnalysis!$C46,KeyRaces!AD$69:AD$73)</f>
        <v>0.37130339539978097</v>
      </c>
      <c r="AE51">
        <f>SUMIF(KeyRaces!$B$69:$B$73,CongressionalAnalysis!$C46,KeyRaces!AE$69:AE$73)</f>
        <v>41807</v>
      </c>
      <c r="AF51">
        <f>SUMIF(KeyRaces!$B$69:$B$73,CongressionalAnalysis!$C46,KeyRaces!AF$69:AF$73)</f>
        <v>0.29621153614521856</v>
      </c>
      <c r="AG51">
        <f>SUMIF(KeyRaces!$B$69:$B$73,CongressionalAnalysis!$C46,KeyRaces!AG$69:AG$73)</f>
        <v>5.6400000000000006</v>
      </c>
      <c r="AH51">
        <f>SUMIF(KeyRaces!$B$69:$B$73,CongressionalAnalysis!$C46,KeyRaces!AH$69:AH$73)</f>
        <v>324</v>
      </c>
      <c r="AI51">
        <f>SUMIF(KeyRaces!$B$69:$B$73,CongressionalAnalysis!$C46,KeyRaces!AI$69:AI$73)</f>
        <v>0.38117647058823528</v>
      </c>
      <c r="AJ51">
        <f>SUMIF(KeyRaces!$B$69:$B$73,CongressionalAnalysis!$C46,KeyRaces!AJ$69:AJ$73)</f>
        <v>42394</v>
      </c>
      <c r="AK51">
        <f>SUMIF(KeyRaces!$B$69:$B$73,CongressionalAnalysis!$C46,KeyRaces!AK$69:AK$73)</f>
        <v>0.29780269184298519</v>
      </c>
      <c r="AL51">
        <f>SUMIF(KeyRaces!$B$69:$B$73,CongressionalAnalysis!$C46,KeyRaces!AL$69:AL$73)</f>
        <v>5.8</v>
      </c>
      <c r="AM51">
        <f>SUMIF(KeyRaces!$B$69:$B$73,CongressionalAnalysis!$C46,KeyRaces!AM$69:AM$73)</f>
        <v>587</v>
      </c>
      <c r="AN51">
        <f>SUMIF(KeyRaces!$B$69:$B$73,CongressionalAnalysis!$C46,KeyRaces!AN$69:AN$73)</f>
        <v>0.48233360723089569</v>
      </c>
    </row>
    <row r="52" spans="2:40" x14ac:dyDescent="0.3">
      <c r="C52" t="s">
        <v>11</v>
      </c>
      <c r="D52" s="11">
        <f t="shared" si="4"/>
        <v>1588</v>
      </c>
      <c r="E52" s="12">
        <f t="shared" si="27"/>
        <v>1.1155132203770828E-2</v>
      </c>
      <c r="F52" s="8">
        <f>SUMIF(KeyRaces!$B$69:$B$73,CongressionalAnalysis!$C47,KeyRaces!E$69:E$73)</f>
        <v>802</v>
      </c>
      <c r="G52" s="5">
        <f>SUMIF(KeyRaces!$B$69:$B$73,CongressionalAnalysis!$C47,KeyRaces!F$69:F$73)</f>
        <v>1.1299999999999999E-2</v>
      </c>
      <c r="H52" s="15">
        <f t="shared" si="6"/>
        <v>786</v>
      </c>
      <c r="I52" s="13">
        <f>H52/SUM(H49:H52)</f>
        <v>1.1000083970106642E-2</v>
      </c>
      <c r="J52" s="5">
        <f t="shared" si="9"/>
        <v>-2.9991602989335765E-4</v>
      </c>
      <c r="K52" s="8">
        <f>SUMIF(KeyRaces!$B$69:$B$73,CongressionalAnalysis!$C47,KeyRaces!K$69:K$73)</f>
        <v>937</v>
      </c>
      <c r="L52" s="5">
        <f>SUMIF(KeyRaces!$B$69:$B$73,CongressionalAnalysis!$C47,KeyRaces!L$69:L$73)</f>
        <v>1.0700000000000001E-2</v>
      </c>
      <c r="M52" s="6">
        <f t="shared" si="11"/>
        <v>-5.999999999999981E-2</v>
      </c>
      <c r="N52" s="8">
        <f>SUMIF(KeyRaces!$B$69:$B$73,CongressionalAnalysis!$C47,KeyRaces!N$69:N$73)</f>
        <v>135</v>
      </c>
      <c r="O52" s="1">
        <f>SUMIF(KeyRaces!$B$69:$B$73,CongressionalAnalysis!$C47,KeyRaces!O$69:O$73)</f>
        <v>8.0000000000000002E-3</v>
      </c>
      <c r="P52">
        <f>SUMIF(KeyRaces!$B$69:$B$73,CongressionalAnalysis!$C47,KeyRaces!P$69:P$73)</f>
        <v>1148</v>
      </c>
      <c r="Q52">
        <f>SUMIF(KeyRaces!$B$69:$B$73,CongressionalAnalysis!$C47,KeyRaces!Q$69:Q$73)</f>
        <v>1.0587866378912807E-2</v>
      </c>
      <c r="R52" s="6">
        <f t="shared" si="14"/>
        <v>-7.121336210871923E-2</v>
      </c>
      <c r="S52">
        <f>SUMIF(KeyRaces!$B$69:$B$73,CongressionalAnalysis!$C47,KeyRaces!S$69:S$73)</f>
        <v>211</v>
      </c>
      <c r="T52">
        <f>SUMIF(KeyRaces!$B$69:$B$73,CongressionalAnalysis!$C47,KeyRaces!T$69:T$73)</f>
        <v>1.0190283009755626E-2</v>
      </c>
      <c r="U52">
        <f>SUMIF(KeyRaces!$B$69:$B$73,CongressionalAnalysis!$C47,KeyRaces!U$69:U$73)</f>
        <v>1424</v>
      </c>
      <c r="V52">
        <f>SUMIF(KeyRaces!$B$69:$B$73,CongressionalAnalysis!$C47,KeyRaces!V$69:V$73)</f>
        <v>1.078199769822521E-2</v>
      </c>
      <c r="W52">
        <f>SUMIF(KeyRaces!$B$69:$B$73,CongressionalAnalysis!$C47,KeyRaces!W$69:W$73)</f>
        <v>-0.05</v>
      </c>
      <c r="X52">
        <f>SUMIF(KeyRaces!$B$69:$B$73,CongressionalAnalysis!$C47,KeyRaces!X$69:X$73)</f>
        <v>276</v>
      </c>
      <c r="Y52">
        <f>SUMIF(KeyRaces!$B$69:$B$73,CongressionalAnalysis!$C47,KeyRaces!Y$69:Y$73)</f>
        <v>1.1672164425272774E-2</v>
      </c>
      <c r="Z52">
        <f>SUMIF(KeyRaces!$B$69:$B$73,CongressionalAnalysis!$C47,KeyRaces!Z$69:Z$73)</f>
        <v>1552</v>
      </c>
      <c r="AA52">
        <f>SUMIF(KeyRaces!$B$69:$B$73,CongressionalAnalysis!$C47,KeyRaces!AA$69:AA$73)</f>
        <v>1.1062877346049939E-2</v>
      </c>
      <c r="AB52">
        <f>SUMIF(KeyRaces!$B$69:$B$73,CongressionalAnalysis!$C47,KeyRaces!AB$69:AB$73)</f>
        <v>-0.02</v>
      </c>
      <c r="AC52">
        <f>SUMIF(KeyRaces!$B$69:$B$73,CongressionalAnalysis!$C47,KeyRaces!AC$69:AC$73)</f>
        <v>128</v>
      </c>
      <c r="AD52">
        <f>SUMIF(KeyRaces!$B$69:$B$73,CongressionalAnalysis!$C47,KeyRaces!AD$69:AD$73)</f>
        <v>1.5577461360593891E-2</v>
      </c>
      <c r="AE52">
        <f>SUMIF(KeyRaces!$B$69:$B$73,CongressionalAnalysis!$C47,KeyRaces!AE$69:AE$73)</f>
        <v>1565</v>
      </c>
      <c r="AF52">
        <f>SUMIF(KeyRaces!$B$69:$B$73,CongressionalAnalysis!$C47,KeyRaces!AF$69:AF$73)</f>
        <v>1.1088359702137609E-2</v>
      </c>
      <c r="AG52">
        <f>SUMIF(KeyRaces!$B$69:$B$73,CongressionalAnalysis!$C47,KeyRaces!AG$69:AG$73)</f>
        <v>-0.02</v>
      </c>
      <c r="AH52">
        <f>SUMIF(KeyRaces!$B$69:$B$73,CongressionalAnalysis!$C47,KeyRaces!AH$69:AH$73)</f>
        <v>13</v>
      </c>
      <c r="AI52">
        <f>SUMIF(KeyRaces!$B$69:$B$73,CongressionalAnalysis!$C47,KeyRaces!AI$69:AI$73)</f>
        <v>1.5294117647058824E-2</v>
      </c>
      <c r="AJ52">
        <f>SUMIF(KeyRaces!$B$69:$B$73,CongressionalAnalysis!$C47,KeyRaces!AJ$69:AJ$73)</f>
        <v>1588</v>
      </c>
      <c r="AK52">
        <f>SUMIF(KeyRaces!$B$69:$B$73,CongressionalAnalysis!$C47,KeyRaces!AK$69:AK$73)</f>
        <v>1.1155132203770828E-2</v>
      </c>
      <c r="AL52">
        <f>SUMIF(KeyRaces!$B$69:$B$73,CongressionalAnalysis!$C47,KeyRaces!AL$69:AL$73)</f>
        <v>-0.01</v>
      </c>
      <c r="AM52">
        <f>SUMIF(KeyRaces!$B$69:$B$73,CongressionalAnalysis!$C47,KeyRaces!AM$69:AM$73)</f>
        <v>23</v>
      </c>
      <c r="AN52">
        <f>SUMIF(KeyRaces!$B$69:$B$73,CongressionalAnalysis!$C47,KeyRaces!AN$69:AN$73)</f>
        <v>1.8898931799506986E-2</v>
      </c>
    </row>
    <row r="53" spans="2:40" x14ac:dyDescent="0.3">
      <c r="B53" s="2" t="s">
        <v>293</v>
      </c>
      <c r="C53" t="s">
        <v>281</v>
      </c>
      <c r="D53" s="11">
        <f t="shared" si="4"/>
        <v>158386</v>
      </c>
      <c r="F53" s="8">
        <f>KeyRaces!E74</f>
        <v>81476</v>
      </c>
      <c r="G53" s="5" t="str">
        <f>KeyRaces!F74</f>
        <v/>
      </c>
      <c r="H53" s="15">
        <f t="shared" si="6"/>
        <v>76910</v>
      </c>
      <c r="I53" s="15"/>
      <c r="K53" s="8">
        <f>KeyRaces!K74</f>
        <v>110756</v>
      </c>
      <c r="L53" s="5" t="str">
        <f>KeyRaces!L74</f>
        <v/>
      </c>
      <c r="M53" s="6"/>
      <c r="N53" s="8">
        <f>KeyRaces!N74</f>
        <v>29280</v>
      </c>
      <c r="O53" s="1" t="str">
        <f>KeyRaces!O74</f>
        <v/>
      </c>
      <c r="P53">
        <f>KeyRaces!P74</f>
        <v>121701</v>
      </c>
      <c r="Q53" t="str">
        <f>KeyRaces!Q74</f>
        <v/>
      </c>
      <c r="R53" s="6"/>
      <c r="S53">
        <f>KeyRaces!S74</f>
        <v>10945</v>
      </c>
      <c r="T53" t="str">
        <f>KeyRaces!T74</f>
        <v/>
      </c>
      <c r="U53">
        <f>KeyRaces!U74</f>
        <v>139002</v>
      </c>
      <c r="V53" t="str">
        <f>KeyRaces!V74</f>
        <v/>
      </c>
      <c r="W53" t="str">
        <f>KeyRaces!W74</f>
        <v/>
      </c>
      <c r="X53">
        <f>KeyRaces!X74</f>
        <v>17301</v>
      </c>
      <c r="Y53" t="str">
        <f>KeyRaces!Y74</f>
        <v/>
      </c>
      <c r="Z53">
        <f>KeyRaces!Z74</f>
        <v>154434</v>
      </c>
      <c r="AA53">
        <f>KeyRaces!AA74</f>
        <v>0</v>
      </c>
      <c r="AB53">
        <f>KeyRaces!AB74</f>
        <v>0</v>
      </c>
      <c r="AC53">
        <f>KeyRaces!AC74</f>
        <v>15432</v>
      </c>
      <c r="AD53">
        <f>KeyRaces!AD74</f>
        <v>0</v>
      </c>
      <c r="AE53">
        <f>KeyRaces!AE74</f>
        <v>155368</v>
      </c>
      <c r="AF53">
        <f>KeyRaces!AF74</f>
        <v>0</v>
      </c>
      <c r="AG53">
        <f>KeyRaces!AG74</f>
        <v>0</v>
      </c>
      <c r="AH53">
        <f>KeyRaces!AH74</f>
        <v>934</v>
      </c>
      <c r="AI53">
        <f>KeyRaces!AI74</f>
        <v>0</v>
      </c>
      <c r="AJ53">
        <f>KeyRaces!AJ74</f>
        <v>158386</v>
      </c>
      <c r="AK53">
        <f>KeyRaces!AK74</f>
        <v>0</v>
      </c>
      <c r="AL53">
        <f>KeyRaces!AL74</f>
        <v>0</v>
      </c>
      <c r="AM53">
        <f>KeyRaces!AM74</f>
        <v>3018</v>
      </c>
      <c r="AN53">
        <f>KeyRaces!AN74</f>
        <v>0</v>
      </c>
    </row>
    <row r="54" spans="2:40" x14ac:dyDescent="0.3">
      <c r="C54" t="s">
        <v>8</v>
      </c>
      <c r="D54" s="11">
        <f t="shared" si="4"/>
        <v>73689</v>
      </c>
      <c r="E54" s="12">
        <f t="shared" si="27"/>
        <v>0.47260168545811365</v>
      </c>
      <c r="F54" s="8">
        <f>SUMIF(KeyRaces!$B$75:$B$80,CongressionalAnalysis!$C49,KeyRaces!E$75:E$80)</f>
        <v>39501</v>
      </c>
      <c r="G54" s="5">
        <f>SUMIF(KeyRaces!$B$75:$B$80,CongressionalAnalysis!$C49,KeyRaces!F$75:F$80)</f>
        <v>0.4914</v>
      </c>
      <c r="H54" s="15">
        <f t="shared" si="6"/>
        <v>34188</v>
      </c>
      <c r="I54" s="13">
        <f>H54/SUM(H54:H57)</f>
        <v>0.45345182041249421</v>
      </c>
      <c r="J54" s="5">
        <f t="shared" si="9"/>
        <v>-3.7948179587505793E-2</v>
      </c>
      <c r="K54" s="8">
        <f>SUMIF(KeyRaces!$B$75:$B$80,CongressionalAnalysis!$C49,KeyRaces!K$75:K$80)</f>
        <v>52908</v>
      </c>
      <c r="L54" s="5">
        <f>SUMIF(KeyRaces!$B$75:$B$80,CongressionalAnalysis!$C49,KeyRaces!L$75:L$80)</f>
        <v>0.48430000000000001</v>
      </c>
      <c r="M54" s="6">
        <f t="shared" si="11"/>
        <v>-0.70999999999999952</v>
      </c>
      <c r="N54" s="8">
        <f>SUMIF(KeyRaces!$B$75:$B$80,CongressionalAnalysis!$C49,KeyRaces!N$75:N$80)</f>
        <v>13407</v>
      </c>
      <c r="O54" s="1">
        <f>SUMIF(KeyRaces!$B$75:$B$80,CongressionalAnalysis!$C49,KeyRaces!O$75:O$80)</f>
        <v>0.4647</v>
      </c>
      <c r="P54">
        <f>SUMIF(KeyRaces!$B$75:$B$80,CongressionalAnalysis!$C49,KeyRaces!P$75:P$80)</f>
        <v>57682</v>
      </c>
      <c r="Q54">
        <f>SUMIF(KeyRaces!$B$75:$B$80,CongressionalAnalysis!$C49,KeyRaces!Q$75:Q$80)</f>
        <v>0.48056719626090361</v>
      </c>
      <c r="R54" s="6">
        <f t="shared" si="14"/>
        <v>-1.0832803739096397</v>
      </c>
      <c r="S54">
        <f>SUMIF(KeyRaces!$B$75:$B$80,CongressionalAnalysis!$C49,KeyRaces!S$75:S$80)</f>
        <v>4774</v>
      </c>
      <c r="T54">
        <f>SUMIF(KeyRaces!$B$75:$B$80,CongressionalAnalysis!$C49,KeyRaces!T$75:T$80)</f>
        <v>0.44248771897302808</v>
      </c>
      <c r="U54">
        <f>SUMIF(KeyRaces!$B$75:$B$80,CongressionalAnalysis!$C49,KeyRaces!U$75:U$80)</f>
        <v>65297</v>
      </c>
      <c r="V54">
        <f>SUMIF(KeyRaces!$B$75:$B$80,CongressionalAnalysis!$C49,KeyRaces!V$75:V$80)</f>
        <v>0.47677008112035163</v>
      </c>
      <c r="W54">
        <f>SUMIF(KeyRaces!$B$75:$B$80,CongressionalAnalysis!$C49,KeyRaces!W$75:W$80)</f>
        <v>-1.46</v>
      </c>
      <c r="X54">
        <f>SUMIF(KeyRaces!$B$75:$B$80,CongressionalAnalysis!$C49,KeyRaces!X$75:X$80)</f>
        <v>7615</v>
      </c>
      <c r="Y54">
        <f>SUMIF(KeyRaces!$B$75:$B$80,CongressionalAnalysis!$C49,KeyRaces!Y$75:Y$80)</f>
        <v>0.44984640831758033</v>
      </c>
      <c r="Z54">
        <f>SUMIF(KeyRaces!$B$75:$B$80,CongressionalAnalysis!$C49,KeyRaces!Z$75:Z$80)</f>
        <v>72062</v>
      </c>
      <c r="AA54">
        <f>SUMIF(KeyRaces!$B$75:$B$80,CongressionalAnalysis!$C49,KeyRaces!AA$75:AA$80)</f>
        <v>0.47382090513982128</v>
      </c>
      <c r="AB54">
        <f>SUMIF(KeyRaces!$B$75:$B$80,CongressionalAnalysis!$C49,KeyRaces!AB$75:AB$80)</f>
        <v>-1.76</v>
      </c>
      <c r="AC54">
        <f>SUMIF(KeyRaces!$B$75:$B$80,CongressionalAnalysis!$C49,KeyRaces!AC$75:AC$80)</f>
        <v>6765</v>
      </c>
      <c r="AD54">
        <f>SUMIF(KeyRaces!$B$75:$B$80,CongressionalAnalysis!$C49,KeyRaces!AD$75:AD$80)</f>
        <v>0.4471249173826834</v>
      </c>
      <c r="AE54">
        <f>SUMIF(KeyRaces!$B$75:$B$80,CongressionalAnalysis!$C49,KeyRaces!AE$75:AE$80)</f>
        <v>72444</v>
      </c>
      <c r="AF54">
        <f>SUMIF(KeyRaces!$B$75:$B$80,CongressionalAnalysis!$C49,KeyRaces!AF$75:AF$80)</f>
        <v>0.47350257523072498</v>
      </c>
      <c r="AG54">
        <f>SUMIF(KeyRaces!$B$75:$B$80,CongressionalAnalysis!$C49,KeyRaces!AG$75:AG$80)</f>
        <v>-1.79</v>
      </c>
      <c r="AH54">
        <f>SUMIF(KeyRaces!$B$75:$B$80,CongressionalAnalysis!$C49,KeyRaces!AH$75:AH$80)</f>
        <v>382</v>
      </c>
      <c r="AI54">
        <f>SUMIF(KeyRaces!$B$75:$B$80,CongressionalAnalysis!$C49,KeyRaces!AI$75:AI$80)</f>
        <v>0.42024202420242024</v>
      </c>
      <c r="AJ54">
        <f>SUMIF(KeyRaces!$B$75:$B$80,CongressionalAnalysis!$C49,KeyRaces!AJ$75:AJ$80)</f>
        <v>73689</v>
      </c>
      <c r="AK54">
        <f>SUMIF(KeyRaces!$B$75:$B$80,CongressionalAnalysis!$C49,KeyRaces!AK$75:AK$80)</f>
        <v>0.47260168545811365</v>
      </c>
      <c r="AL54">
        <f>SUMIF(KeyRaces!$B$75:$B$80,CongressionalAnalysis!$C49,KeyRaces!AL$75:AL$80)</f>
        <v>-1.88</v>
      </c>
      <c r="AM54">
        <f>SUMIF(KeyRaces!$B$75:$B$80,CongressionalAnalysis!$C49,KeyRaces!AM$75:AM$80)</f>
        <v>1245</v>
      </c>
      <c r="AN54">
        <f>SUMIF(KeyRaces!$B$75:$B$80,CongressionalAnalysis!$C49,KeyRaces!AN$75:AN$80)</f>
        <v>0.42549555707450443</v>
      </c>
    </row>
    <row r="55" spans="2:40" x14ac:dyDescent="0.3">
      <c r="C55" t="s">
        <v>9</v>
      </c>
      <c r="D55" s="11">
        <f t="shared" si="4"/>
        <v>48953</v>
      </c>
      <c r="E55" s="12">
        <f t="shared" si="27"/>
        <v>0.31395826118187298</v>
      </c>
      <c r="F55" s="8">
        <f>SUMIF(KeyRaces!$B$75:$B$80,CongressionalAnalysis!$C50,KeyRaces!E$75:E$80)</f>
        <v>26745</v>
      </c>
      <c r="G55" s="5">
        <f>SUMIF(KeyRaces!$B$75:$B$80,CongressionalAnalysis!$C50,KeyRaces!F$75:F$80)</f>
        <v>0.33270000000000005</v>
      </c>
      <c r="H55" s="15">
        <f t="shared" si="6"/>
        <v>22208</v>
      </c>
      <c r="I55" s="13">
        <f>H55/SUM(H54:H57)</f>
        <v>0.29455534186617149</v>
      </c>
      <c r="J55" s="5">
        <f t="shared" si="9"/>
        <v>-3.8144658133828557E-2</v>
      </c>
      <c r="K55" s="8">
        <f>SUMIF(KeyRaces!$B$75:$B$80,CongressionalAnalysis!$C50,KeyRaces!K$75:K$80)</f>
        <v>35611</v>
      </c>
      <c r="L55" s="5">
        <f>SUMIF(KeyRaces!$B$75:$B$80,CongressionalAnalysis!$C50,KeyRaces!L$75:L$80)</f>
        <v>0.32600000000000001</v>
      </c>
      <c r="M55" s="6">
        <f t="shared" si="11"/>
        <v>-0.67000000000000393</v>
      </c>
      <c r="N55" s="8">
        <f>SUMIF(KeyRaces!$B$75:$B$80,CongressionalAnalysis!$C50,KeyRaces!N$75:N$80)</f>
        <v>8866</v>
      </c>
      <c r="O55" s="1">
        <f>SUMIF(KeyRaces!$B$75:$B$80,CongressionalAnalysis!$C50,KeyRaces!O$75:O$80)</f>
        <v>0.30730000000000002</v>
      </c>
      <c r="P55">
        <f>SUMIF(KeyRaces!$B$75:$B$80,CongressionalAnalysis!$C50,KeyRaces!P$75:P$80)</f>
        <v>39195</v>
      </c>
      <c r="Q55">
        <f>SUMIF(KeyRaces!$B$75:$B$80,CongressionalAnalysis!$C50,KeyRaces!Q$75:Q$80)</f>
        <v>0.32654608469619845</v>
      </c>
      <c r="R55" s="6">
        <f t="shared" si="14"/>
        <v>-0.61539153038016048</v>
      </c>
      <c r="S55">
        <f>SUMIF(KeyRaces!$B$75:$B$80,CongressionalAnalysis!$C50,KeyRaces!S$75:S$80)</f>
        <v>3584</v>
      </c>
      <c r="T55">
        <f>SUMIF(KeyRaces!$B$75:$B$80,CongressionalAnalysis!$C50,KeyRaces!T$75:T$80)</f>
        <v>0.33219019371582165</v>
      </c>
      <c r="U55">
        <f>SUMIF(KeyRaces!$B$75:$B$80,CongressionalAnalysis!$C50,KeyRaces!U$75:U$80)</f>
        <v>44202</v>
      </c>
      <c r="V55">
        <f>SUMIF(KeyRaces!$B$75:$B$80,CongressionalAnalysis!$C50,KeyRaces!V$75:V$80)</f>
        <v>0.32274363486349728</v>
      </c>
      <c r="W55">
        <f>SUMIF(KeyRaces!$B$75:$B$80,CongressionalAnalysis!$C50,KeyRaces!W$75:W$80)</f>
        <v>-1</v>
      </c>
      <c r="X55">
        <f>SUMIF(KeyRaces!$B$75:$B$80,CongressionalAnalysis!$C50,KeyRaces!X$75:X$80)</f>
        <v>5007</v>
      </c>
      <c r="Y55">
        <f>SUMIF(KeyRaces!$B$75:$B$80,CongressionalAnalysis!$C50,KeyRaces!Y$75:Y$80)</f>
        <v>0.29578213610586013</v>
      </c>
      <c r="Z55">
        <f>SUMIF(KeyRaces!$B$75:$B$80,CongressionalAnalysis!$C50,KeyRaces!Z$75:Z$80)</f>
        <v>48055</v>
      </c>
      <c r="AA55">
        <f>SUMIF(KeyRaces!$B$75:$B$80,CongressionalAnalysis!$C50,KeyRaces!AA$75:AA$80)</f>
        <v>0.31597046427373804</v>
      </c>
      <c r="AB55">
        <f>SUMIF(KeyRaces!$B$75:$B$80,CongressionalAnalysis!$C50,KeyRaces!AB$75:AB$80)</f>
        <v>-1.67</v>
      </c>
      <c r="AC55">
        <f>SUMIF(KeyRaces!$B$75:$B$80,CongressionalAnalysis!$C50,KeyRaces!AC$75:AC$80)</f>
        <v>3853</v>
      </c>
      <c r="AD55">
        <f>SUMIF(KeyRaces!$B$75:$B$80,CongressionalAnalysis!$C50,KeyRaces!AD$75:AD$80)</f>
        <v>0.25465961665565101</v>
      </c>
      <c r="AE55">
        <f>SUMIF(KeyRaces!$B$75:$B$80,CongressionalAnalysis!$C50,KeyRaces!AE$75:AE$80)</f>
        <v>48283</v>
      </c>
      <c r="AF55">
        <f>SUMIF(KeyRaces!$B$75:$B$80,CongressionalAnalysis!$C50,KeyRaces!AF$75:AF$80)</f>
        <v>0.31558341394546263</v>
      </c>
      <c r="AG55">
        <f>SUMIF(KeyRaces!$B$75:$B$80,CongressionalAnalysis!$C50,KeyRaces!AG$75:AG$80)</f>
        <v>-1.71</v>
      </c>
      <c r="AH55">
        <f>SUMIF(KeyRaces!$B$75:$B$80,CongressionalAnalysis!$C50,KeyRaces!AH$75:AH$80)</f>
        <v>228</v>
      </c>
      <c r="AI55">
        <f>SUMIF(KeyRaces!$B$75:$B$80,CongressionalAnalysis!$C50,KeyRaces!AI$75:AI$80)</f>
        <v>0.25082508250825081</v>
      </c>
      <c r="AJ55">
        <f>SUMIF(KeyRaces!$B$75:$B$80,CongressionalAnalysis!$C50,KeyRaces!AJ$75:AJ$80)</f>
        <v>48953</v>
      </c>
      <c r="AK55">
        <f>SUMIF(KeyRaces!$B$75:$B$80,CongressionalAnalysis!$C50,KeyRaces!AK$75:AK$80)</f>
        <v>0.31395826118187298</v>
      </c>
      <c r="AL55">
        <f>SUMIF(KeyRaces!$B$75:$B$80,CongressionalAnalysis!$C50,KeyRaces!AL$75:AL$80)</f>
        <v>-1.87</v>
      </c>
      <c r="AM55">
        <f>SUMIF(KeyRaces!$B$75:$B$80,CongressionalAnalysis!$C50,KeyRaces!AM$75:AM$80)</f>
        <v>670</v>
      </c>
      <c r="AN55">
        <f>SUMIF(KeyRaces!$B$75:$B$80,CongressionalAnalysis!$C50,KeyRaces!AN$75:AN$80)</f>
        <v>0.22898154477101845</v>
      </c>
    </row>
    <row r="56" spans="2:40" x14ac:dyDescent="0.3">
      <c r="C56" t="s">
        <v>282</v>
      </c>
      <c r="D56" s="11">
        <f t="shared" si="4"/>
        <v>30769</v>
      </c>
      <c r="E56" s="12">
        <f t="shared" si="27"/>
        <v>0.19733584741088495</v>
      </c>
      <c r="F56" s="8">
        <f>SUMIF(KeyRaces!$B$75:$B$80,CongressionalAnalysis!$C51,KeyRaces!E$75:E$80)</f>
        <v>12807</v>
      </c>
      <c r="G56" s="5">
        <f>SUMIF(KeyRaces!$B$75:$B$80,CongressionalAnalysis!$C51,KeyRaces!F$75:F$80)</f>
        <v>0.1593</v>
      </c>
      <c r="H56" s="15">
        <f t="shared" si="6"/>
        <v>17962</v>
      </c>
      <c r="I56" s="13">
        <f>H56/SUM(H54:H57)</f>
        <v>0.23823860998739971</v>
      </c>
      <c r="J56" s="5">
        <f t="shared" si="9"/>
        <v>7.893860998739971E-2</v>
      </c>
      <c r="K56" s="8">
        <f>SUMIF(KeyRaces!$B$75:$B$80,CongressionalAnalysis!$C51,KeyRaces!K$75:K$80)</f>
        <v>18977</v>
      </c>
      <c r="L56" s="5">
        <f>SUMIF(KeyRaces!$B$75:$B$80,CongressionalAnalysis!$C51,KeyRaces!L$75:L$80)</f>
        <v>0.17369999999999999</v>
      </c>
      <c r="M56" s="6">
        <f t="shared" si="11"/>
        <v>1.4399999999999995</v>
      </c>
      <c r="N56" s="8">
        <f>SUMIF(KeyRaces!$B$75:$B$80,CongressionalAnalysis!$C51,KeyRaces!N$75:N$80)</f>
        <v>6170</v>
      </c>
      <c r="O56" s="1">
        <f>SUMIF(KeyRaces!$B$75:$B$80,CongressionalAnalysis!$C51,KeyRaces!O$75:O$80)</f>
        <v>0.21389999999999998</v>
      </c>
      <c r="P56">
        <f>SUMIF(KeyRaces!$B$75:$B$80,CongressionalAnalysis!$C51,KeyRaces!P$75:P$80)</f>
        <v>21217</v>
      </c>
      <c r="Q56">
        <f>SUMIF(KeyRaces!$B$75:$B$80,CongressionalAnalysis!$C51,KeyRaces!Q$75:Q$80)</f>
        <v>0.17676561497638071</v>
      </c>
      <c r="R56" s="6">
        <f t="shared" si="14"/>
        <v>1.7465614976380717</v>
      </c>
      <c r="S56">
        <f>SUMIF(KeyRaces!$B$75:$B$80,CongressionalAnalysis!$C51,KeyRaces!S$75:S$80)</f>
        <v>2240</v>
      </c>
      <c r="T56">
        <f>SUMIF(KeyRaces!$B$75:$B$80,CongressionalAnalysis!$C51,KeyRaces!T$75:T$80)</f>
        <v>0.20761887107238852</v>
      </c>
      <c r="U56">
        <f>SUMIF(KeyRaces!$B$75:$B$80,CongressionalAnalysis!$C51,KeyRaces!U$75:U$80)</f>
        <v>25263</v>
      </c>
      <c r="V56">
        <f>SUMIF(KeyRaces!$B$75:$B$80,CongressionalAnalysis!$C51,KeyRaces!V$75:V$80)</f>
        <v>0.18445935585621764</v>
      </c>
      <c r="W56">
        <f>SUMIF(KeyRaces!$B$75:$B$80,CongressionalAnalysis!$C51,KeyRaces!W$75:W$80)</f>
        <v>2.52</v>
      </c>
      <c r="X56">
        <f>SUMIF(KeyRaces!$B$75:$B$80,CongressionalAnalysis!$C51,KeyRaces!X$75:X$80)</f>
        <v>4046</v>
      </c>
      <c r="Y56">
        <f>SUMIF(KeyRaces!$B$75:$B$80,CongressionalAnalysis!$C51,KeyRaces!Y$75:Y$80)</f>
        <v>0.23901228733459357</v>
      </c>
      <c r="Z56">
        <f>SUMIF(KeyRaces!$B$75:$B$80,CongressionalAnalysis!$C51,KeyRaces!Z$75:Z$80)</f>
        <v>29543</v>
      </c>
      <c r="AA56">
        <f>SUMIF(KeyRaces!$B$75:$B$80,CongressionalAnalysis!$C51,KeyRaces!AA$75:AA$80)</f>
        <v>0.19425065916219006</v>
      </c>
      <c r="AB56">
        <f>SUMIF(KeyRaces!$B$75:$B$80,CongressionalAnalysis!$C51,KeyRaces!AB$75:AB$80)</f>
        <v>3.4899999999999998</v>
      </c>
      <c r="AC56">
        <f>SUMIF(KeyRaces!$B$75:$B$80,CongressionalAnalysis!$C51,KeyRaces!AC$75:AC$80)</f>
        <v>4280</v>
      </c>
      <c r="AD56">
        <f>SUMIF(KeyRaces!$B$75:$B$80,CongressionalAnalysis!$C51,KeyRaces!AD$75:AD$80)</f>
        <v>0.28288169200264379</v>
      </c>
      <c r="AE56">
        <f>SUMIF(KeyRaces!$B$75:$B$80,CongressionalAnalysis!$C51,KeyRaces!AE$75:AE$80)</f>
        <v>29826</v>
      </c>
      <c r="AF56">
        <f>SUMIF(KeyRaces!$B$75:$B$80,CongressionalAnalysis!$C51,KeyRaces!AF$75:AF$80)</f>
        <v>0.1949462731051792</v>
      </c>
      <c r="AG56">
        <f>SUMIF(KeyRaces!$B$75:$B$80,CongressionalAnalysis!$C51,KeyRaces!AG$75:AG$80)</f>
        <v>3.5700000000000003</v>
      </c>
      <c r="AH56">
        <f>SUMIF(KeyRaces!$B$75:$B$80,CongressionalAnalysis!$C51,KeyRaces!AH$75:AH$80)</f>
        <v>283</v>
      </c>
      <c r="AI56">
        <f>SUMIF(KeyRaces!$B$75:$B$80,CongressionalAnalysis!$C51,KeyRaces!AI$75:AI$80)</f>
        <v>0.31133113311331134</v>
      </c>
      <c r="AJ56">
        <f>SUMIF(KeyRaces!$B$75:$B$80,CongressionalAnalysis!$C51,KeyRaces!AJ$75:AJ$80)</f>
        <v>30769</v>
      </c>
      <c r="AK56">
        <f>SUMIF(KeyRaces!$B$75:$B$80,CongressionalAnalysis!$C51,KeyRaces!AK$75:AK$80)</f>
        <v>0.19733584741088495</v>
      </c>
      <c r="AL56">
        <f>SUMIF(KeyRaces!$B$75:$B$80,CongressionalAnalysis!$C51,KeyRaces!AL$75:AL$80)</f>
        <v>3.8</v>
      </c>
      <c r="AM56">
        <f>SUMIF(KeyRaces!$B$75:$B$80,CongressionalAnalysis!$C51,KeyRaces!AM$75:AM$80)</f>
        <v>943</v>
      </c>
      <c r="AN56">
        <f>SUMIF(KeyRaces!$B$75:$B$80,CongressionalAnalysis!$C51,KeyRaces!AN$75:AN$80)</f>
        <v>0.322282980177717</v>
      </c>
    </row>
    <row r="57" spans="2:40" x14ac:dyDescent="0.3">
      <c r="C57" t="s">
        <v>11</v>
      </c>
      <c r="D57" s="11">
        <f t="shared" si="4"/>
        <v>2144</v>
      </c>
      <c r="E57" s="12">
        <f t="shared" si="27"/>
        <v>1.3750464976077783E-2</v>
      </c>
      <c r="F57" s="8">
        <f>SUMIF(KeyRaces!$B$75:$B$80,CongressionalAnalysis!$C52,KeyRaces!E$75:E$80)</f>
        <v>1107</v>
      </c>
      <c r="G57" s="5">
        <f>SUMIF(KeyRaces!$B$75:$B$80,CongressionalAnalysis!$C52,KeyRaces!F$75:F$80)</f>
        <v>1.38E-2</v>
      </c>
      <c r="H57" s="15">
        <f t="shared" si="6"/>
        <v>1037</v>
      </c>
      <c r="I57" s="13">
        <f>H57/SUM(H54:H57)</f>
        <v>1.3754227733934612E-2</v>
      </c>
      <c r="J57" s="5">
        <f t="shared" si="9"/>
        <v>-4.5772266065387951E-5</v>
      </c>
      <c r="K57" s="8">
        <f>SUMIF(KeyRaces!$B$75:$B$80,CongressionalAnalysis!$C52,KeyRaces!K$75:K$80)</f>
        <v>1453</v>
      </c>
      <c r="L57" s="5">
        <f>SUMIF(KeyRaces!$B$75:$B$80,CongressionalAnalysis!$C52,KeyRaces!L$75:L$80)</f>
        <v>1.3299999999999999E-2</v>
      </c>
      <c r="M57" s="6">
        <f t="shared" si="11"/>
        <v>-5.0000000000000044E-2</v>
      </c>
      <c r="N57" s="8">
        <f>SUMIF(KeyRaces!$B$75:$B$80,CongressionalAnalysis!$C52,KeyRaces!N$75:N$80)</f>
        <v>346</v>
      </c>
      <c r="O57" s="1">
        <f>SUMIF(KeyRaces!$B$75:$B$80,CongressionalAnalysis!$C52,KeyRaces!O$75:O$80)</f>
        <v>1.2E-2</v>
      </c>
      <c r="P57">
        <f>SUMIF(KeyRaces!$B$75:$B$80,CongressionalAnalysis!$C52,KeyRaces!P$75:P$80)</f>
        <v>1622</v>
      </c>
      <c r="Q57">
        <f>SUMIF(KeyRaces!$B$75:$B$80,CongressionalAnalysis!$C52,KeyRaces!Q$75:Q$80)</f>
        <v>1.3513400928109039E-2</v>
      </c>
      <c r="R57" s="6">
        <f t="shared" si="14"/>
        <v>-2.8659907189096043E-2</v>
      </c>
      <c r="S57">
        <f>SUMIF(KeyRaces!$B$75:$B$80,CongressionalAnalysis!$C52,KeyRaces!S$75:S$80)</f>
        <v>169</v>
      </c>
      <c r="T57">
        <f>SUMIF(KeyRaces!$B$75:$B$80,CongressionalAnalysis!$C52,KeyRaces!T$75:T$80)</f>
        <v>1.5664102326443601E-2</v>
      </c>
      <c r="U57">
        <f>SUMIF(KeyRaces!$B$75:$B$80,CongressionalAnalysis!$C52,KeyRaces!U$75:U$80)</f>
        <v>1844</v>
      </c>
      <c r="V57">
        <f>SUMIF(KeyRaces!$B$75:$B$80,CongressionalAnalysis!$C52,KeyRaces!V$75:V$80)</f>
        <v>1.346407996670488E-2</v>
      </c>
      <c r="W57">
        <f>SUMIF(KeyRaces!$B$75:$B$80,CongressionalAnalysis!$C52,KeyRaces!W$75:W$80)</f>
        <v>-0.03</v>
      </c>
      <c r="X57">
        <f>SUMIF(KeyRaces!$B$75:$B$80,CongressionalAnalysis!$C52,KeyRaces!X$75:X$80)</f>
        <v>222</v>
      </c>
      <c r="Y57">
        <f>SUMIF(KeyRaces!$B$75:$B$80,CongressionalAnalysis!$C52,KeyRaces!Y$75:Y$80)</f>
        <v>1.3114366729678639E-2</v>
      </c>
      <c r="Z57">
        <f>SUMIF(KeyRaces!$B$75:$B$80,CongressionalAnalysis!$C52,KeyRaces!Z$75:Z$80)</f>
        <v>2077</v>
      </c>
      <c r="AA57">
        <f>SUMIF(KeyRaces!$B$75:$B$80,CongressionalAnalysis!$C52,KeyRaces!AA$75:AA$80)</f>
        <v>1.3656657044980834E-2</v>
      </c>
      <c r="AB57">
        <f>SUMIF(KeyRaces!$B$75:$B$80,CongressionalAnalysis!$C52,KeyRaces!AB$75:AB$80)</f>
        <v>-0.02</v>
      </c>
      <c r="AC57">
        <f>SUMIF(KeyRaces!$B$75:$B$80,CongressionalAnalysis!$C52,KeyRaces!AC$75:AC$80)</f>
        <v>233</v>
      </c>
      <c r="AD57">
        <f>SUMIF(KeyRaces!$B$75:$B$80,CongressionalAnalysis!$C52,KeyRaces!AD$75:AD$80)</f>
        <v>1.5399867812293456E-2</v>
      </c>
      <c r="AE57">
        <f>SUMIF(KeyRaces!$B$75:$B$80,CongressionalAnalysis!$C52,KeyRaces!AE$75:AE$80)</f>
        <v>2088</v>
      </c>
      <c r="AF57">
        <f>SUMIF(KeyRaces!$B$75:$B$80,CongressionalAnalysis!$C52,KeyRaces!AF$75:AF$80)</f>
        <v>1.3647415618708986E-2</v>
      </c>
      <c r="AG57">
        <f>SUMIF(KeyRaces!$B$75:$B$80,CongressionalAnalysis!$C52,KeyRaces!AG$75:AG$80)</f>
        <v>-0.02</v>
      </c>
      <c r="AH57">
        <f>SUMIF(KeyRaces!$B$75:$B$80,CongressionalAnalysis!$C52,KeyRaces!AH$75:AH$80)</f>
        <v>11</v>
      </c>
      <c r="AI57">
        <f>SUMIF(KeyRaces!$B$75:$B$80,CongressionalAnalysis!$C52,KeyRaces!AI$75:AI$80)</f>
        <v>1.2101210121012101E-2</v>
      </c>
      <c r="AJ57">
        <f>SUMIF(KeyRaces!$B$75:$B$80,CongressionalAnalysis!$C52,KeyRaces!AJ$75:AJ$80)</f>
        <v>2144</v>
      </c>
      <c r="AK57">
        <f>SUMIF(KeyRaces!$B$75:$B$80,CongressionalAnalysis!$C52,KeyRaces!AK$75:AK$80)</f>
        <v>1.3750464976077783E-2</v>
      </c>
      <c r="AL57">
        <f>SUMIF(KeyRaces!$B$75:$B$80,CongressionalAnalysis!$C52,KeyRaces!AL$75:AL$80)</f>
        <v>0</v>
      </c>
      <c r="AM57">
        <f>SUMIF(KeyRaces!$B$75:$B$80,CongressionalAnalysis!$C52,KeyRaces!AM$75:AM$80)</f>
        <v>56</v>
      </c>
      <c r="AN57">
        <f>SUMIF(KeyRaces!$B$75:$B$80,CongressionalAnalysis!$C52,KeyRaces!AN$75:AN$80)</f>
        <v>1.9138755980861243E-2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F223-D306-4DD2-A822-50F59257FB36}">
  <dimension ref="A1:AO12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91" sqref="C91"/>
    </sheetView>
  </sheetViews>
  <sheetFormatPr defaultRowHeight="14.4" x14ac:dyDescent="0.3"/>
  <cols>
    <col min="1" max="1" width="22" customWidth="1"/>
    <col min="2" max="2" width="17.6640625" customWidth="1"/>
    <col min="3" max="4" width="12" customWidth="1"/>
    <col min="5" max="5" width="15.21875" bestFit="1" customWidth="1"/>
    <col min="6" max="6" width="17.77734375" style="5" bestFit="1" customWidth="1"/>
    <col min="7" max="10" width="17.77734375" style="5" customWidth="1"/>
    <col min="11" max="11" width="15.6640625" bestFit="1" customWidth="1"/>
    <col min="12" max="12" width="23.109375" style="5" bestFit="1" customWidth="1"/>
    <col min="13" max="13" width="16.6640625" bestFit="1" customWidth="1"/>
    <col min="14" max="14" width="15.6640625" bestFit="1" customWidth="1"/>
    <col min="15" max="15" width="17.77734375" style="5" bestFit="1" customWidth="1"/>
    <col min="16" max="16" width="16.109375" style="11" bestFit="1" customWidth="1"/>
    <col min="17" max="17" width="23.77734375" style="13" bestFit="1" customWidth="1"/>
    <col min="18" max="18" width="16.88671875" style="6" bestFit="1" customWidth="1"/>
    <col min="19" max="19" width="15.88671875" style="11" bestFit="1" customWidth="1"/>
    <col min="20" max="20" width="18.21875" style="13" bestFit="1" customWidth="1"/>
    <col min="21" max="21" width="16.109375" style="11" bestFit="1" customWidth="1"/>
    <col min="22" max="22" width="23.77734375" style="13" bestFit="1" customWidth="1"/>
    <col min="23" max="23" width="16.88671875" style="6" bestFit="1" customWidth="1"/>
    <col min="24" max="24" width="15.88671875" style="11" bestFit="1" customWidth="1"/>
    <col min="25" max="25" width="18.21875" style="13" bestFit="1" customWidth="1"/>
    <col min="26" max="26" width="16.6640625" customWidth="1"/>
    <col min="27" max="27" width="20.21875" style="13" customWidth="1"/>
    <col min="28" max="28" width="15.88671875" style="6" bestFit="1" customWidth="1"/>
    <col min="29" max="29" width="16.44140625" customWidth="1"/>
    <col min="30" max="30" width="9" style="13" bestFit="1" customWidth="1"/>
    <col min="32" max="32" width="13.6640625" customWidth="1"/>
    <col min="34" max="34" width="13.6640625" customWidth="1"/>
    <col min="35" max="35" width="10" customWidth="1"/>
    <col min="36" max="36" width="13.109375" customWidth="1"/>
    <col min="37" max="37" width="13.33203125" customWidth="1"/>
    <col min="38" max="38" width="14.21875" customWidth="1"/>
    <col min="39" max="39" width="12.6640625" customWidth="1"/>
    <col min="40" max="40" width="13.44140625" customWidth="1"/>
  </cols>
  <sheetData>
    <row r="1" spans="1:41" s="17" customFormat="1" ht="28.8" customHeight="1" x14ac:dyDescent="0.3">
      <c r="A1" s="17" t="s">
        <v>294</v>
      </c>
      <c r="B1" s="17" t="s">
        <v>295</v>
      </c>
      <c r="C1" s="18" t="s">
        <v>243</v>
      </c>
      <c r="D1" s="19" t="s">
        <v>244</v>
      </c>
      <c r="E1" s="17" t="s">
        <v>245</v>
      </c>
      <c r="F1" s="20" t="s">
        <v>246</v>
      </c>
      <c r="G1" s="20" t="s">
        <v>296</v>
      </c>
      <c r="H1" s="21" t="s">
        <v>247</v>
      </c>
      <c r="I1" s="21" t="s">
        <v>248</v>
      </c>
      <c r="J1" s="21" t="s">
        <v>249</v>
      </c>
      <c r="K1" s="17" t="s">
        <v>250</v>
      </c>
      <c r="L1" s="20" t="s">
        <v>251</v>
      </c>
      <c r="M1" s="17" t="s">
        <v>252</v>
      </c>
      <c r="N1" s="17" t="s">
        <v>253</v>
      </c>
      <c r="O1" s="20" t="s">
        <v>254</v>
      </c>
      <c r="P1" s="22" t="s">
        <v>255</v>
      </c>
      <c r="Q1" s="20" t="s">
        <v>256</v>
      </c>
      <c r="R1" s="23" t="s">
        <v>257</v>
      </c>
      <c r="S1" s="22" t="s">
        <v>258</v>
      </c>
      <c r="T1" s="20" t="s">
        <v>259</v>
      </c>
      <c r="U1" s="22" t="s">
        <v>260</v>
      </c>
      <c r="V1" s="20" t="s">
        <v>261</v>
      </c>
      <c r="W1" s="23" t="s">
        <v>262</v>
      </c>
      <c r="X1" s="22" t="s">
        <v>263</v>
      </c>
      <c r="Y1" s="20" t="s">
        <v>264</v>
      </c>
      <c r="Z1" s="17" t="s">
        <v>265</v>
      </c>
      <c r="AA1" s="20" t="s">
        <v>266</v>
      </c>
      <c r="AB1" s="23" t="s">
        <v>267</v>
      </c>
      <c r="AC1" s="17" t="s">
        <v>268</v>
      </c>
      <c r="AD1" s="20" t="s">
        <v>269</v>
      </c>
      <c r="AE1" s="17" t="s">
        <v>270</v>
      </c>
      <c r="AF1" s="24" t="s">
        <v>271</v>
      </c>
      <c r="AG1" s="17" t="s">
        <v>272</v>
      </c>
      <c r="AH1" s="17" t="s">
        <v>273</v>
      </c>
      <c r="AI1" s="24" t="s">
        <v>274</v>
      </c>
      <c r="AJ1" s="17" t="s">
        <v>275</v>
      </c>
      <c r="AK1" s="24" t="s">
        <v>276</v>
      </c>
      <c r="AL1" s="17" t="s">
        <v>277</v>
      </c>
      <c r="AM1" s="17" t="s">
        <v>278</v>
      </c>
      <c r="AN1" s="24" t="s">
        <v>279</v>
      </c>
    </row>
    <row r="2" spans="1:41" s="2" customFormat="1" x14ac:dyDescent="0.3">
      <c r="A2" s="2" t="s">
        <v>297</v>
      </c>
      <c r="B2" s="2" t="s">
        <v>298</v>
      </c>
      <c r="C2" s="25">
        <f>AJ2</f>
        <v>163014</v>
      </c>
      <c r="D2" s="3">
        <f>AK2</f>
        <v>0</v>
      </c>
      <c r="E2" s="2">
        <f>August2026Primary_Tracking!E2</f>
        <v>98597</v>
      </c>
      <c r="F2" s="4" t="str">
        <f>August2026Primary_Tracking!F2</f>
        <v/>
      </c>
      <c r="G2" s="4">
        <f>E2/C2</f>
        <v>0.6048376213085993</v>
      </c>
      <c r="H2" s="27">
        <f>C2-E2</f>
        <v>64417</v>
      </c>
      <c r="I2" s="4"/>
      <c r="J2" s="4"/>
      <c r="K2" s="2">
        <f>August2026Primary_Tracking!G2</f>
        <v>113370</v>
      </c>
      <c r="L2" s="4" t="str">
        <f>August2026Primary_Tracking!H2</f>
        <v/>
      </c>
      <c r="M2" s="2" t="str">
        <f>August2026Primary_Tracking!I2</f>
        <v/>
      </c>
      <c r="N2" s="2">
        <f>August2026Primary_Tracking!J2</f>
        <v>14773</v>
      </c>
      <c r="O2" s="4" t="str">
        <f>August2026Primary_Tracking!K2</f>
        <v/>
      </c>
      <c r="P2" s="7">
        <f>August2026Primary_Tracking!L2</f>
        <v>150766</v>
      </c>
      <c r="Q2" s="4" t="str">
        <f>August2026Primary_Tracking!M2</f>
        <v/>
      </c>
      <c r="R2" s="9" t="str">
        <f>August2026Primary_Tracking!N2</f>
        <v/>
      </c>
      <c r="S2" s="7">
        <f>August2026Primary_Tracking!O2</f>
        <v>37396</v>
      </c>
      <c r="T2" s="4" t="str">
        <f>August2026Primary_Tracking!P2</f>
        <v/>
      </c>
      <c r="U2" s="7">
        <f>August2026Primary_Tracking!Q2</f>
        <v>159269</v>
      </c>
      <c r="V2" s="4" t="str">
        <f>August2026Primary_Tracking!R2</f>
        <v/>
      </c>
      <c r="W2" s="9" t="str">
        <f>August2026Primary_Tracking!S2</f>
        <v/>
      </c>
      <c r="X2" s="7">
        <f>August2026Primary_Tracking!T2</f>
        <v>8503</v>
      </c>
      <c r="Y2" s="4" t="str">
        <f>August2026Primary_Tracking!U2</f>
        <v/>
      </c>
      <c r="Z2" s="7">
        <f>August2026Primary_Tracking!V2</f>
        <v>161993</v>
      </c>
      <c r="AA2" s="4">
        <f>August2026Primary_Tracking!W2</f>
        <v>0</v>
      </c>
      <c r="AB2" s="30">
        <f>August2026Primary_Tracking!X2</f>
        <v>0</v>
      </c>
      <c r="AC2" s="7">
        <f>August2026Primary_Tracking!Y2</f>
        <v>2724</v>
      </c>
      <c r="AD2" s="4">
        <f>August2026Primary_Tracking!Z2</f>
        <v>0</v>
      </c>
      <c r="AE2" s="7">
        <f>August2026Primary_Tracking!AA2</f>
        <v>162264</v>
      </c>
      <c r="AF2" s="4">
        <f>August2026Primary_Tracking!AB2</f>
        <v>0</v>
      </c>
      <c r="AG2" s="30">
        <f>August2026Primary_Tracking!AC2</f>
        <v>0</v>
      </c>
      <c r="AH2" s="7">
        <f>August2026Primary_Tracking!AD2</f>
        <v>271</v>
      </c>
      <c r="AI2" s="4">
        <f>August2026Primary_Tracking!AE2</f>
        <v>0</v>
      </c>
      <c r="AJ2" s="7">
        <f>August2026Primary_Tracking!AF2</f>
        <v>163014</v>
      </c>
      <c r="AK2" s="4">
        <f>August2026Primary_Tracking!AG2</f>
        <v>0</v>
      </c>
      <c r="AL2" s="30">
        <f>August2026Primary_Tracking!AH2</f>
        <v>0</v>
      </c>
      <c r="AM2" s="7">
        <f>August2026Primary_Tracking!AI2</f>
        <v>750</v>
      </c>
      <c r="AN2" s="4">
        <f>August2026Primary_Tracking!AJ2</f>
        <v>0</v>
      </c>
    </row>
    <row r="3" spans="1:41" x14ac:dyDescent="0.3">
      <c r="A3" t="s">
        <v>299</v>
      </c>
      <c r="B3" t="s">
        <v>8</v>
      </c>
      <c r="C3" s="26">
        <f>AJ3</f>
        <v>3580</v>
      </c>
      <c r="D3" s="1">
        <f>AK3</f>
        <v>2.2295155474457099E-2</v>
      </c>
      <c r="E3">
        <f>August2026Primary_Tracking!E3</f>
        <v>2036</v>
      </c>
      <c r="F3" s="5">
        <f>August2026Primary_Tracking!F3</f>
        <v>2.1000000000000001E-2</v>
      </c>
      <c r="G3" s="13">
        <f t="shared" ref="G3:G66" si="0">E3/C3</f>
        <v>0.56871508379888269</v>
      </c>
      <c r="H3" s="28">
        <f t="shared" ref="H3:H66" si="1">C3-E3</f>
        <v>1544</v>
      </c>
      <c r="I3" s="5">
        <f>H3/H$2</f>
        <v>2.3968828104382382E-2</v>
      </c>
      <c r="J3" s="5">
        <f>I3-F3</f>
        <v>2.968828104382381E-3</v>
      </c>
      <c r="K3">
        <f>August2026Primary_Tracking!G3</f>
        <v>2378</v>
      </c>
      <c r="L3" s="5">
        <f>August2026Primary_Tracking!H3</f>
        <v>2.1299999999999999E-2</v>
      </c>
      <c r="M3">
        <f>August2026Primary_Tracking!I3</f>
        <v>0.03</v>
      </c>
      <c r="N3">
        <f>August2026Primary_Tracking!J3</f>
        <v>342</v>
      </c>
      <c r="O3" s="5">
        <f>August2026Primary_Tracking!K3</f>
        <v>2.3599999999999999E-2</v>
      </c>
      <c r="P3" s="11">
        <f>August2026Primary_Tracking!L3</f>
        <v>3257</v>
      </c>
      <c r="Q3" s="13">
        <f>August2026Primary_Tracking!M3</f>
        <v>2.1984178411361306E-2</v>
      </c>
      <c r="R3" s="10">
        <f>August2026Primary_Tracking!N3</f>
        <v>0.1</v>
      </c>
      <c r="S3" s="11">
        <f>August2026Primary_Tracking!O3</f>
        <v>879</v>
      </c>
      <c r="T3" s="13">
        <f>August2026Primary_Tracking!P3</f>
        <v>2.4013768986995955E-2</v>
      </c>
      <c r="U3" s="11">
        <f>August2026Primary_Tracking!Q3</f>
        <v>3463</v>
      </c>
      <c r="V3" s="13">
        <f>August2026Primary_Tracking!R3</f>
        <v>2.2096874022932766E-2</v>
      </c>
      <c r="W3" s="10">
        <f>August2026Primary_Tracking!S3</f>
        <v>0.11</v>
      </c>
      <c r="X3" s="11">
        <f>August2026Primary_Tracking!T3</f>
        <v>206</v>
      </c>
      <c r="Y3" s="13">
        <f>August2026Primary_Tracking!U3</f>
        <v>2.4045756974436793E-2</v>
      </c>
      <c r="Z3" s="11">
        <f>August2026Primary_Tracking!V3</f>
        <v>3530</v>
      </c>
      <c r="AA3" s="13">
        <f>August2026Primary_Tracking!W3</f>
        <v>2.2138601442458453E-2</v>
      </c>
      <c r="AB3" s="16">
        <f>August2026Primary_Tracking!X3</f>
        <v>0.11</v>
      </c>
      <c r="AC3" s="11">
        <f>August2026Primary_Tracking!Y3</f>
        <v>67</v>
      </c>
      <c r="AD3" s="13">
        <f>August2026Primary_Tracking!Z3</f>
        <v>2.4533138044672283E-2</v>
      </c>
      <c r="AE3" s="11">
        <f>August2026Primary_Tracking!AA3</f>
        <v>3558</v>
      </c>
      <c r="AF3" s="13">
        <f>August2026Primary_Tracking!AB3</f>
        <v>2.2257949491094945E-2</v>
      </c>
      <c r="AG3" s="16">
        <f>August2026Primary_Tracking!AC3</f>
        <v>0.13</v>
      </c>
      <c r="AH3" s="11">
        <f>August2026Primary_Tracking!AD3</f>
        <v>28</v>
      </c>
      <c r="AI3" s="13">
        <f>August2026Primary_Tracking!AE3</f>
        <v>6.9478908188585611E-2</v>
      </c>
      <c r="AJ3" s="11">
        <f>August2026Primary_Tracking!AF3</f>
        <v>3580</v>
      </c>
      <c r="AK3" s="13">
        <f>August2026Primary_Tracking!AG3</f>
        <v>2.2295155474457099E-2</v>
      </c>
      <c r="AL3" s="16">
        <f>August2026Primary_Tracking!AH3</f>
        <v>0.13</v>
      </c>
      <c r="AM3" s="11">
        <f>August2026Primary_Tracking!AI3</f>
        <v>22</v>
      </c>
      <c r="AN3" s="13">
        <f>August2026Primary_Tracking!AJ3</f>
        <v>3.0555555555555555E-2</v>
      </c>
    </row>
    <row r="4" spans="1:41" x14ac:dyDescent="0.3">
      <c r="A4" t="s">
        <v>300</v>
      </c>
      <c r="B4" t="s">
        <v>8</v>
      </c>
      <c r="C4" s="26">
        <f t="shared" ref="C4:C9" si="2">AJ4</f>
        <v>85156</v>
      </c>
      <c r="D4" s="1">
        <f t="shared" ref="D4:D9" si="3">AK4</f>
        <v>0.53032577083320354</v>
      </c>
      <c r="E4">
        <f>August2026Primary_Tracking!E4</f>
        <v>52846</v>
      </c>
      <c r="F4" s="5">
        <f>August2026Primary_Tracking!F4</f>
        <v>0.54430000000000001</v>
      </c>
      <c r="G4" s="13">
        <f t="shared" si="0"/>
        <v>0.6205787026163746</v>
      </c>
      <c r="H4" s="28">
        <f t="shared" si="1"/>
        <v>32310</v>
      </c>
      <c r="I4" s="5">
        <f t="shared" ref="I4:I9" si="4">H4/H$2</f>
        <v>0.50157567101851996</v>
      </c>
      <c r="J4" s="5">
        <f t="shared" ref="J4:J9" si="5">I4-F4</f>
        <v>-4.2724328981480042E-2</v>
      </c>
      <c r="K4">
        <f>August2026Primary_Tracking!G4</f>
        <v>60317</v>
      </c>
      <c r="L4" s="5">
        <f>August2026Primary_Tracking!H4</f>
        <v>0.54069999999999996</v>
      </c>
      <c r="M4">
        <f>August2026Primary_Tracking!I4</f>
        <v>-0.36</v>
      </c>
      <c r="N4">
        <f>August2026Primary_Tracking!J4</f>
        <v>7471</v>
      </c>
      <c r="O4" s="5">
        <f>August2026Primary_Tracking!K4</f>
        <v>0.51659999999999995</v>
      </c>
      <c r="P4" s="11">
        <f>August2026Primary_Tracking!L4</f>
        <v>78529</v>
      </c>
      <c r="Q4" s="13">
        <f>August2026Primary_Tracking!M4</f>
        <v>0.53005696851881856</v>
      </c>
      <c r="R4" s="10">
        <f>August2026Primary_Tracking!N4</f>
        <v>-1.42</v>
      </c>
      <c r="S4" s="11">
        <f>August2026Primary_Tracking!O4</f>
        <v>18212</v>
      </c>
      <c r="T4" s="13">
        <f>August2026Primary_Tracking!P4</f>
        <v>0.49754125232215057</v>
      </c>
      <c r="U4" s="11">
        <f>August2026Primary_Tracking!Q4</f>
        <v>83191</v>
      </c>
      <c r="V4" s="13">
        <f>August2026Primary_Tracking!R4</f>
        <v>0.53082906348304926</v>
      </c>
      <c r="W4" s="10">
        <f>August2026Primary_Tracking!S4</f>
        <v>-1.35</v>
      </c>
      <c r="X4" s="11">
        <f>August2026Primary_Tracking!T4</f>
        <v>4662</v>
      </c>
      <c r="Y4" s="13">
        <f>August2026Primary_Tracking!U4</f>
        <v>0.5441811602661375</v>
      </c>
      <c r="Z4" s="11">
        <f>August2026Primary_Tracking!V4</f>
        <v>84644</v>
      </c>
      <c r="AA4" s="13">
        <f>August2026Primary_Tracking!W4</f>
        <v>0.53084979617434935</v>
      </c>
      <c r="AB4" s="16">
        <f>August2026Primary_Tracking!X4</f>
        <v>-1.35</v>
      </c>
      <c r="AC4" s="11">
        <f>August2026Primary_Tracking!Y4</f>
        <v>1453</v>
      </c>
      <c r="AD4" s="13">
        <f>August2026Primary_Tracking!Z4</f>
        <v>0.53203954595386305</v>
      </c>
      <c r="AE4" s="11">
        <f>August2026Primary_Tracking!AA4</f>
        <v>84817</v>
      </c>
      <c r="AF4" s="13">
        <f>August2026Primary_Tracking!AB4</f>
        <v>0.5305937329921866</v>
      </c>
      <c r="AG4" s="16">
        <f>August2026Primary_Tracking!AC4</f>
        <v>-1.37</v>
      </c>
      <c r="AH4" s="11">
        <f>August2026Primary_Tracking!AD4</f>
        <v>173</v>
      </c>
      <c r="AI4" s="13">
        <f>August2026Primary_Tracking!AE4</f>
        <v>0.4292803970223325</v>
      </c>
      <c r="AJ4" s="11">
        <f>August2026Primary_Tracking!AF4</f>
        <v>85156</v>
      </c>
      <c r="AK4" s="13">
        <f>August2026Primary_Tracking!AG4</f>
        <v>0.53032577083320354</v>
      </c>
      <c r="AL4" s="16">
        <f>August2026Primary_Tracking!AH4</f>
        <v>-1.4</v>
      </c>
      <c r="AM4" s="11">
        <f>August2026Primary_Tracking!AI4</f>
        <v>339</v>
      </c>
      <c r="AN4" s="13">
        <f>August2026Primary_Tracking!AJ4</f>
        <v>0.47083333333333333</v>
      </c>
    </row>
    <row r="5" spans="1:41" x14ac:dyDescent="0.3">
      <c r="A5" t="s">
        <v>301</v>
      </c>
      <c r="B5" t="s">
        <v>282</v>
      </c>
      <c r="C5" s="26">
        <f t="shared" si="2"/>
        <v>3929</v>
      </c>
      <c r="D5" s="1">
        <f t="shared" si="3"/>
        <v>2.4468621748363673E-2</v>
      </c>
      <c r="E5">
        <f>August2026Primary_Tracking!E5</f>
        <v>2116</v>
      </c>
      <c r="F5" s="5">
        <f>August2026Primary_Tracking!F5</f>
        <v>2.18E-2</v>
      </c>
      <c r="G5" s="13">
        <f t="shared" si="0"/>
        <v>0.53855942988037664</v>
      </c>
      <c r="H5" s="28">
        <f t="shared" si="1"/>
        <v>1813</v>
      </c>
      <c r="I5" s="5">
        <f t="shared" si="4"/>
        <v>2.8144744399770247E-2</v>
      </c>
      <c r="J5" s="5">
        <f t="shared" si="5"/>
        <v>6.3447443997702475E-3</v>
      </c>
      <c r="K5">
        <f>August2026Primary_Tracking!G5</f>
        <v>2509</v>
      </c>
      <c r="L5" s="5">
        <f>August2026Primary_Tracking!H5</f>
        <v>2.2499999999999999E-2</v>
      </c>
      <c r="M5">
        <f>August2026Primary_Tracking!I5</f>
        <v>7.0000000000000007E-2</v>
      </c>
      <c r="N5">
        <f>August2026Primary_Tracking!J5</f>
        <v>393</v>
      </c>
      <c r="O5" s="5">
        <f>August2026Primary_Tracking!K5</f>
        <v>2.7200000000000002E-2</v>
      </c>
      <c r="P5" s="11">
        <f>August2026Primary_Tracking!L5</f>
        <v>3599</v>
      </c>
      <c r="Q5" s="13">
        <f>August2026Primary_Tracking!M5</f>
        <v>2.4292618391921809E-2</v>
      </c>
      <c r="R5" s="10">
        <f>August2026Primary_Tracking!N5</f>
        <v>0.25</v>
      </c>
      <c r="S5" s="11">
        <f>August2026Primary_Tracking!O5</f>
        <v>1090</v>
      </c>
      <c r="T5" s="13">
        <f>August2026Primary_Tracking!P5</f>
        <v>2.9778166320620698E-2</v>
      </c>
      <c r="U5" s="11">
        <f>August2026Primary_Tracking!Q5</f>
        <v>3828</v>
      </c>
      <c r="V5" s="13">
        <f>August2026Primary_Tracking!R5</f>
        <v>2.4425883268780427E-2</v>
      </c>
      <c r="W5" s="10">
        <f>August2026Primary_Tracking!S5</f>
        <v>0.26</v>
      </c>
      <c r="X5" s="11">
        <f>August2026Primary_Tracking!T5</f>
        <v>229</v>
      </c>
      <c r="Y5" s="13">
        <f>August2026Primary_Tracking!U5</f>
        <v>2.673047741333022E-2</v>
      </c>
      <c r="Z5" s="11">
        <f>August2026Primary_Tracking!V5</f>
        <v>3892</v>
      </c>
      <c r="AA5" s="13">
        <f>August2026Primary_Tracking!W5</f>
        <v>2.4408905613044842E-2</v>
      </c>
      <c r="AB5" s="16">
        <f>August2026Primary_Tracking!X5</f>
        <v>0.26</v>
      </c>
      <c r="AC5" s="11">
        <f>August2026Primary_Tracking!Y5</f>
        <v>64</v>
      </c>
      <c r="AD5" s="13">
        <f>August2026Primary_Tracking!Z5</f>
        <v>2.3434639326254118E-2</v>
      </c>
      <c r="AE5" s="11">
        <f>August2026Primary_Tracking!AA5</f>
        <v>3907</v>
      </c>
      <c r="AF5" s="13">
        <f>August2026Primary_Tracking!AB5</f>
        <v>2.4441205357422131E-2</v>
      </c>
      <c r="AG5" s="16">
        <f>August2026Primary_Tracking!AC5</f>
        <v>0.26</v>
      </c>
      <c r="AH5" s="11">
        <f>August2026Primary_Tracking!AD5</f>
        <v>15</v>
      </c>
      <c r="AI5" s="13">
        <f>August2026Primary_Tracking!AE5</f>
        <v>3.7220843672456573E-2</v>
      </c>
      <c r="AJ5" s="11">
        <f>August2026Primary_Tracking!AF5</f>
        <v>3929</v>
      </c>
      <c r="AK5" s="13">
        <f>August2026Primary_Tracking!AG5</f>
        <v>2.4468621748363673E-2</v>
      </c>
      <c r="AL5" s="16">
        <f>August2026Primary_Tracking!AH5</f>
        <v>0.27</v>
      </c>
      <c r="AM5" s="11">
        <f>August2026Primary_Tracking!AI5</f>
        <v>22</v>
      </c>
      <c r="AN5" s="13">
        <f>August2026Primary_Tracking!AJ5</f>
        <v>3.0555555555555555E-2</v>
      </c>
    </row>
    <row r="6" spans="1:41" x14ac:dyDescent="0.3">
      <c r="A6" t="s">
        <v>302</v>
      </c>
      <c r="B6" t="s">
        <v>11</v>
      </c>
      <c r="C6" s="26">
        <f t="shared" si="2"/>
        <v>12023</v>
      </c>
      <c r="D6" s="1">
        <f t="shared" si="3"/>
        <v>7.4875601751228413E-2</v>
      </c>
      <c r="E6">
        <f>August2026Primary_Tracking!E6</f>
        <v>6767</v>
      </c>
      <c r="F6" s="5">
        <f>August2026Primary_Tracking!F6</f>
        <v>6.9699999999999998E-2</v>
      </c>
      <c r="G6" s="13">
        <f t="shared" si="0"/>
        <v>0.56283789403643014</v>
      </c>
      <c r="H6" s="28">
        <f t="shared" si="1"/>
        <v>5256</v>
      </c>
      <c r="I6" s="5">
        <f t="shared" si="4"/>
        <v>8.1593368210255063E-2</v>
      </c>
      <c r="J6" s="5">
        <f t="shared" si="5"/>
        <v>1.1893368210255065E-2</v>
      </c>
      <c r="K6">
        <f>August2026Primary_Tracking!G6</f>
        <v>7898</v>
      </c>
      <c r="L6" s="5">
        <f>August2026Primary_Tracking!H6</f>
        <v>7.0800000000000002E-2</v>
      </c>
      <c r="M6">
        <f>August2026Primary_Tracking!I6</f>
        <v>0.11</v>
      </c>
      <c r="N6">
        <f>August2026Primary_Tracking!J6</f>
        <v>1131</v>
      </c>
      <c r="O6" s="5">
        <f>August2026Primary_Tracking!K6</f>
        <v>7.8200000000000006E-2</v>
      </c>
      <c r="P6" s="11">
        <f>August2026Primary_Tracking!L6</f>
        <v>10917</v>
      </c>
      <c r="Q6" s="13">
        <f>August2026Primary_Tracking!M6</f>
        <v>7.3687834116312981E-2</v>
      </c>
      <c r="R6" s="10">
        <f>August2026Primary_Tracking!N6</f>
        <v>0.4</v>
      </c>
      <c r="S6" s="11">
        <f>August2026Primary_Tracking!O6</f>
        <v>3019</v>
      </c>
      <c r="T6" s="13">
        <f>August2026Primary_Tracking!P6</f>
        <v>8.2477324882526501E-2</v>
      </c>
      <c r="U6" s="11">
        <f>August2026Primary_Tracking!Q6</f>
        <v>11689</v>
      </c>
      <c r="V6" s="13">
        <f>August2026Primary_Tracking!R6</f>
        <v>7.4585723492365322E-2</v>
      </c>
      <c r="W6" s="10">
        <f>August2026Primary_Tracking!S6</f>
        <v>0.49</v>
      </c>
      <c r="X6" s="11">
        <f>August2026Primary_Tracking!T6</f>
        <v>772</v>
      </c>
      <c r="Y6" s="13">
        <f>August2026Primary_Tracking!U6</f>
        <v>9.0113225166335936E-2</v>
      </c>
      <c r="Z6" s="11">
        <f>August2026Primary_Tracking!V6</f>
        <v>11920</v>
      </c>
      <c r="AA6" s="13">
        <f>August2026Primary_Tracking!W6</f>
        <v>7.4756977108811545E-2</v>
      </c>
      <c r="AB6" s="16">
        <f>August2026Primary_Tracking!X6</f>
        <v>0.51</v>
      </c>
      <c r="AC6" s="11">
        <f>August2026Primary_Tracking!Y6</f>
        <v>231</v>
      </c>
      <c r="AD6" s="13">
        <f>August2026Primary_Tracking!Z6</f>
        <v>8.4584401318198457E-2</v>
      </c>
      <c r="AE6" s="11">
        <f>August2026Primary_Tracking!AA6</f>
        <v>11967</v>
      </c>
      <c r="AF6" s="13">
        <f>August2026Primary_Tracking!AB6</f>
        <v>7.4862529949391007E-2</v>
      </c>
      <c r="AG6" s="16">
        <f>August2026Primary_Tracking!AC6</f>
        <v>0.52</v>
      </c>
      <c r="AH6" s="11">
        <f>August2026Primary_Tracking!AD6</f>
        <v>47</v>
      </c>
      <c r="AI6" s="13">
        <f>August2026Primary_Tracking!AE6</f>
        <v>0.11662531017369727</v>
      </c>
      <c r="AJ6" s="11">
        <f>August2026Primary_Tracking!AF6</f>
        <v>12023</v>
      </c>
      <c r="AK6" s="13">
        <f>August2026Primary_Tracking!AG6</f>
        <v>7.4875601751228413E-2</v>
      </c>
      <c r="AL6" s="16">
        <f>August2026Primary_Tracking!AH6</f>
        <v>0.52</v>
      </c>
      <c r="AM6" s="11">
        <f>August2026Primary_Tracking!AI6</f>
        <v>56</v>
      </c>
      <c r="AN6" s="13">
        <f>August2026Primary_Tracking!AJ6</f>
        <v>7.7777777777777779E-2</v>
      </c>
    </row>
    <row r="7" spans="1:41" x14ac:dyDescent="0.3">
      <c r="A7" t="s">
        <v>303</v>
      </c>
      <c r="B7" t="s">
        <v>282</v>
      </c>
      <c r="C7" s="26">
        <f t="shared" si="2"/>
        <v>10014</v>
      </c>
      <c r="D7" s="1">
        <f t="shared" si="3"/>
        <v>6.2364158357880839E-2</v>
      </c>
      <c r="E7">
        <f>August2026Primary_Tracking!E7</f>
        <v>4809</v>
      </c>
      <c r="F7" s="5">
        <f>August2026Primary_Tracking!F7</f>
        <v>4.9500000000000002E-2</v>
      </c>
      <c r="G7" s="13">
        <f t="shared" si="0"/>
        <v>0.48022768124625526</v>
      </c>
      <c r="H7" s="28">
        <f t="shared" si="1"/>
        <v>5205</v>
      </c>
      <c r="I7" s="5">
        <f t="shared" si="4"/>
        <v>8.0801651737895275E-2</v>
      </c>
      <c r="J7" s="5">
        <f t="shared" si="5"/>
        <v>3.1301651737895272E-2</v>
      </c>
      <c r="K7">
        <f>August2026Primary_Tracking!G7</f>
        <v>5780</v>
      </c>
      <c r="L7" s="5">
        <f>August2026Primary_Tracking!H7</f>
        <v>5.1799999999999999E-2</v>
      </c>
      <c r="M7">
        <f>August2026Primary_Tracking!I7</f>
        <v>0.23</v>
      </c>
      <c r="N7">
        <f>August2026Primary_Tracking!J7</f>
        <v>971</v>
      </c>
      <c r="O7" s="5">
        <f>August2026Primary_Tracking!K7</f>
        <v>6.7099999999999993E-2</v>
      </c>
      <c r="P7" s="11">
        <f>August2026Primary_Tracking!L7</f>
        <v>8734</v>
      </c>
      <c r="Q7" s="13">
        <f>August2026Primary_Tracking!M7</f>
        <v>5.8952967222852204E-2</v>
      </c>
      <c r="R7" s="10">
        <f>August2026Primary_Tracking!N7</f>
        <v>0.95</v>
      </c>
      <c r="S7" s="11">
        <f>August2026Primary_Tracking!O7</f>
        <v>2954</v>
      </c>
      <c r="T7" s="13">
        <f>August2026Primary_Tracking!P7</f>
        <v>8.0701562670746366E-2</v>
      </c>
      <c r="U7" s="11">
        <f>August2026Primary_Tracking!Q7</f>
        <v>9629</v>
      </c>
      <c r="V7" s="13">
        <f>August2026Primary_Tracking!R7</f>
        <v>6.144117815963604E-2</v>
      </c>
      <c r="W7" s="10">
        <f>August2026Primary_Tracking!S7</f>
        <v>1.19</v>
      </c>
      <c r="X7" s="11">
        <f>August2026Primary_Tracking!T7</f>
        <v>895</v>
      </c>
      <c r="Y7" s="13">
        <f>August2026Primary_Tracking!U7</f>
        <v>0.10447064316563558</v>
      </c>
      <c r="Z7" s="11">
        <f>August2026Primary_Tracking!V7</f>
        <v>9869</v>
      </c>
      <c r="AA7" s="13">
        <f>August2026Primary_Tracking!W7</f>
        <v>6.1894010661649422E-2</v>
      </c>
      <c r="AB7" s="16">
        <f>August2026Primary_Tracking!X7</f>
        <v>1.24</v>
      </c>
      <c r="AC7" s="11">
        <f>August2026Primary_Tracking!Y7</f>
        <v>240</v>
      </c>
      <c r="AD7" s="13">
        <f>August2026Primary_Tracking!Z7</f>
        <v>8.7879897473452942E-2</v>
      </c>
      <c r="AE7" s="11">
        <f>August2026Primary_Tracking!AA7</f>
        <v>9909</v>
      </c>
      <c r="AF7" s="13">
        <f>August2026Primary_Tracking!AB7</f>
        <v>6.1988201660275376E-2</v>
      </c>
      <c r="AG7" s="16">
        <f>August2026Primary_Tracking!AC7</f>
        <v>1.25</v>
      </c>
      <c r="AH7" s="11">
        <f>August2026Primary_Tracking!AD7</f>
        <v>40</v>
      </c>
      <c r="AI7" s="13">
        <f>August2026Primary_Tracking!AE7</f>
        <v>9.9255583126550875E-2</v>
      </c>
      <c r="AJ7" s="11">
        <f>August2026Primary_Tracking!AF7</f>
        <v>10014</v>
      </c>
      <c r="AK7" s="13">
        <f>August2026Primary_Tracking!AG7</f>
        <v>6.2364158357880839E-2</v>
      </c>
      <c r="AL7" s="16">
        <f>August2026Primary_Tracking!AH7</f>
        <v>1.29</v>
      </c>
      <c r="AM7" s="11">
        <f>August2026Primary_Tracking!AI7</f>
        <v>105</v>
      </c>
      <c r="AN7" s="13">
        <f>August2026Primary_Tracking!AJ7</f>
        <v>0.14583333333333334</v>
      </c>
    </row>
    <row r="8" spans="1:41" x14ac:dyDescent="0.3">
      <c r="A8" t="s">
        <v>304</v>
      </c>
      <c r="B8" t="s">
        <v>9</v>
      </c>
      <c r="C8" s="26">
        <f t="shared" si="2"/>
        <v>42088</v>
      </c>
      <c r="D8" s="1">
        <f t="shared" si="3"/>
        <v>0.26211131385724873</v>
      </c>
      <c r="E8">
        <f>August2026Primary_Tracking!E8</f>
        <v>26389</v>
      </c>
      <c r="F8" s="5">
        <f>August2026Primary_Tracking!F8</f>
        <v>0.27179999999999999</v>
      </c>
      <c r="G8" s="13">
        <f t="shared" si="0"/>
        <v>0.62699581828549711</v>
      </c>
      <c r="H8" s="28">
        <f t="shared" si="1"/>
        <v>15699</v>
      </c>
      <c r="I8" s="5">
        <f t="shared" si="4"/>
        <v>0.24370895881521959</v>
      </c>
      <c r="J8" s="5">
        <f t="shared" si="5"/>
        <v>-2.8091041184780396E-2</v>
      </c>
      <c r="K8">
        <f>August2026Primary_Tracking!G8</f>
        <v>30202</v>
      </c>
      <c r="L8" s="5">
        <f>August2026Primary_Tracking!H8</f>
        <v>0.27079999999999999</v>
      </c>
      <c r="M8">
        <f>August2026Primary_Tracking!I8</f>
        <v>-0.1</v>
      </c>
      <c r="N8">
        <f>August2026Primary_Tracking!J8</f>
        <v>3813</v>
      </c>
      <c r="O8" s="5">
        <f>August2026Primary_Tracking!K8</f>
        <v>0.26369999999999999</v>
      </c>
      <c r="P8" s="11">
        <f>August2026Primary_Tracking!L8</f>
        <v>39700</v>
      </c>
      <c r="Q8" s="13">
        <f>August2026Primary_Tracking!M8</f>
        <v>0.2679680328311464</v>
      </c>
      <c r="R8" s="10">
        <f>August2026Primary_Tracking!N8</f>
        <v>-0.38</v>
      </c>
      <c r="S8" s="11">
        <f>August2026Primary_Tracking!O8</f>
        <v>9498</v>
      </c>
      <c r="T8" s="13">
        <f>August2026Primary_Tracking!P8</f>
        <v>0.25947983826904164</v>
      </c>
      <c r="U8" s="11">
        <f>August2026Primary_Tracking!Q8</f>
        <v>41269</v>
      </c>
      <c r="V8" s="13">
        <f>August2026Primary_Tracking!R8</f>
        <v>0.26333118511475956</v>
      </c>
      <c r="W8" s="10">
        <f>August2026Primary_Tracking!S8</f>
        <v>-0.85</v>
      </c>
      <c r="X8" s="11">
        <f>August2026Primary_Tracking!T8</f>
        <v>1569</v>
      </c>
      <c r="Y8" s="13">
        <f>August2026Primary_Tracking!U8</f>
        <v>0.18314462472277343</v>
      </c>
      <c r="Z8" s="11">
        <f>August2026Primary_Tracking!V8</f>
        <v>41865</v>
      </c>
      <c r="AA8" s="13">
        <f>August2026Primary_Tracking!W8</f>
        <v>0.26255879586077141</v>
      </c>
      <c r="AB8" s="16">
        <f>August2026Primary_Tracking!X8</f>
        <v>-0.92</v>
      </c>
      <c r="AC8" s="11">
        <f>August2026Primary_Tracking!Y8</f>
        <v>596</v>
      </c>
      <c r="AD8" s="13">
        <f>August2026Primary_Tracking!Z8</f>
        <v>0.21823507872574149</v>
      </c>
      <c r="AE8" s="11">
        <f>August2026Primary_Tracking!AA8</f>
        <v>41944</v>
      </c>
      <c r="AF8" s="13">
        <f>August2026Primary_Tracking!AB8</f>
        <v>0.26239107179721372</v>
      </c>
      <c r="AG8" s="16">
        <f>August2026Primary_Tracking!AC8</f>
        <v>-0.94</v>
      </c>
      <c r="AH8" s="11">
        <f>August2026Primary_Tracking!AD8</f>
        <v>79</v>
      </c>
      <c r="AI8" s="13">
        <f>August2026Primary_Tracking!AE8</f>
        <v>0.19602977667493796</v>
      </c>
      <c r="AJ8" s="11">
        <f>August2026Primary_Tracking!AF8</f>
        <v>42088</v>
      </c>
      <c r="AK8" s="13">
        <f>August2026Primary_Tracking!AG8</f>
        <v>0.26211131385724873</v>
      </c>
      <c r="AL8" s="16">
        <f>August2026Primary_Tracking!AH8</f>
        <v>-0.97</v>
      </c>
      <c r="AM8" s="11">
        <f>August2026Primary_Tracking!AI8</f>
        <v>144</v>
      </c>
      <c r="AN8" s="13">
        <f>August2026Primary_Tracking!AJ8</f>
        <v>0.2</v>
      </c>
    </row>
    <row r="9" spans="1:41" x14ac:dyDescent="0.3">
      <c r="A9" t="s">
        <v>305</v>
      </c>
      <c r="B9" t="s">
        <v>282</v>
      </c>
      <c r="C9" s="26">
        <f t="shared" si="2"/>
        <v>3562</v>
      </c>
      <c r="D9" s="1">
        <f t="shared" si="3"/>
        <v>2.2183056927378826E-2</v>
      </c>
      <c r="E9">
        <f>August2026Primary_Tracking!E9</f>
        <v>1997</v>
      </c>
      <c r="F9" s="5">
        <f>August2026Primary_Tracking!F9</f>
        <v>2.06E-2</v>
      </c>
      <c r="G9" s="13">
        <f t="shared" si="0"/>
        <v>0.56064008983717017</v>
      </c>
      <c r="H9" s="28">
        <f t="shared" si="1"/>
        <v>1565</v>
      </c>
      <c r="I9" s="5">
        <f t="shared" si="4"/>
        <v>2.4294829004765824E-2</v>
      </c>
      <c r="J9" s="5">
        <f t="shared" si="5"/>
        <v>3.6948290047658233E-3</v>
      </c>
      <c r="K9">
        <f>August2026Primary_Tracking!G9</f>
        <v>2330</v>
      </c>
      <c r="L9" s="5">
        <f>August2026Primary_Tracking!H9</f>
        <v>2.0899999999999998E-2</v>
      </c>
      <c r="M9">
        <f>August2026Primary_Tracking!I9</f>
        <v>0.03</v>
      </c>
      <c r="N9">
        <f>August2026Primary_Tracking!J9</f>
        <v>333</v>
      </c>
      <c r="O9" s="5">
        <f>August2026Primary_Tracking!K9</f>
        <v>2.3E-2</v>
      </c>
      <c r="P9" s="11">
        <f>August2026Primary_Tracking!L9</f>
        <v>3207</v>
      </c>
      <c r="Q9" s="13">
        <f>August2026Primary_Tracking!M9</f>
        <v>2.1646687186133162E-2</v>
      </c>
      <c r="R9" s="10">
        <f>August2026Primary_Tracking!N9</f>
        <v>0.1</v>
      </c>
      <c r="S9" s="11">
        <f>August2026Primary_Tracking!O9</f>
        <v>877</v>
      </c>
      <c r="T9" s="13">
        <f>August2026Primary_Tracking!P9</f>
        <v>2.3959130149710413E-2</v>
      </c>
      <c r="U9" s="11">
        <f>August2026Primary_Tracking!Q9</f>
        <v>3439</v>
      </c>
      <c r="V9" s="13">
        <f>August2026Primary_Tracking!R9</f>
        <v>2.194373368895922E-2</v>
      </c>
      <c r="W9" s="10">
        <f>August2026Primary_Tracking!S9</f>
        <v>0.13</v>
      </c>
      <c r="X9" s="11">
        <f>August2026Primary_Tracking!T9</f>
        <v>232</v>
      </c>
      <c r="Y9" s="13">
        <f>August2026Primary_Tracking!U9</f>
        <v>2.7080658340142408E-2</v>
      </c>
      <c r="Z9" s="11">
        <f>August2026Primary_Tracking!V9</f>
        <v>3512</v>
      </c>
      <c r="AA9" s="13">
        <f>August2026Primary_Tracking!W9</f>
        <v>2.2025713389777359E-2</v>
      </c>
      <c r="AB9" s="16">
        <f>August2026Primary_Tracking!X9</f>
        <v>0.14000000000000001</v>
      </c>
      <c r="AC9" s="11">
        <f>August2026Primary_Tracking!Y9</f>
        <v>73</v>
      </c>
      <c r="AD9" s="13">
        <f>August2026Primary_Tracking!Z9</f>
        <v>2.6730135481508606E-2</v>
      </c>
      <c r="AE9" s="11">
        <f>August2026Primary_Tracking!AA9</f>
        <v>3530</v>
      </c>
      <c r="AF9" s="13">
        <f>August2026Primary_Tracking!AB9</f>
        <v>2.2082788561991331E-2</v>
      </c>
      <c r="AG9" s="16">
        <f>August2026Primary_Tracking!AC9</f>
        <v>0.15</v>
      </c>
      <c r="AH9" s="11">
        <f>August2026Primary_Tracking!AD9</f>
        <v>18</v>
      </c>
      <c r="AI9" s="13">
        <f>August2026Primary_Tracking!AE9</f>
        <v>4.4665012406947889E-2</v>
      </c>
      <c r="AJ9" s="11">
        <f>August2026Primary_Tracking!AF9</f>
        <v>3562</v>
      </c>
      <c r="AK9" s="13">
        <f>August2026Primary_Tracking!AG9</f>
        <v>2.2183056927378826E-2</v>
      </c>
      <c r="AL9" s="16">
        <f>August2026Primary_Tracking!AH9</f>
        <v>0.16</v>
      </c>
      <c r="AM9" s="11">
        <f>August2026Primary_Tracking!AI9</f>
        <v>32</v>
      </c>
      <c r="AN9" s="13">
        <f>August2026Primary_Tracking!AJ9</f>
        <v>4.4444444444444446E-2</v>
      </c>
      <c r="AO9" s="1"/>
    </row>
    <row r="10" spans="1:41" s="2" customFormat="1" x14ac:dyDescent="0.3">
      <c r="A10" s="2" t="s">
        <v>306</v>
      </c>
      <c r="B10" s="2" t="s">
        <v>298</v>
      </c>
      <c r="C10" s="25">
        <f t="shared" ref="C10:C73" si="6">AJ10</f>
        <v>212654</v>
      </c>
      <c r="D10" s="3">
        <f t="shared" ref="D10:D73" si="7">AK10</f>
        <v>0</v>
      </c>
      <c r="E10" s="2">
        <f>August2026Primary_Tracking!E13</f>
        <v>125339</v>
      </c>
      <c r="F10" s="4" t="str">
        <f>August2026Primary_Tracking!F13</f>
        <v/>
      </c>
      <c r="G10" s="4">
        <f t="shared" si="0"/>
        <v>0.5894034440922814</v>
      </c>
      <c r="H10" s="27">
        <f t="shared" si="1"/>
        <v>87315</v>
      </c>
      <c r="I10" s="4"/>
      <c r="J10" s="4"/>
      <c r="K10" s="2">
        <f>August2026Primary_Tracking!G13</f>
        <v>155944</v>
      </c>
      <c r="L10" s="4" t="str">
        <f>August2026Primary_Tracking!H13</f>
        <v/>
      </c>
      <c r="M10" s="2" t="str">
        <f>August2026Primary_Tracking!I13</f>
        <v/>
      </c>
      <c r="N10" s="2">
        <f>August2026Primary_Tracking!J13</f>
        <v>30605</v>
      </c>
      <c r="O10" s="4" t="str">
        <f>August2026Primary_Tracking!K13</f>
        <v/>
      </c>
      <c r="P10" s="7">
        <f>August2026Primary_Tracking!L13</f>
        <v>190784</v>
      </c>
      <c r="Q10" s="4" t="str">
        <f>August2026Primary_Tracking!M13</f>
        <v/>
      </c>
      <c r="R10" s="9" t="str">
        <f>August2026Primary_Tracking!N13</f>
        <v/>
      </c>
      <c r="S10" s="7">
        <f>August2026Primary_Tracking!O13</f>
        <v>34840</v>
      </c>
      <c r="T10" s="4" t="str">
        <f>August2026Primary_Tracking!P13</f>
        <v/>
      </c>
      <c r="U10" s="7">
        <f>August2026Primary_Tracking!Q13</f>
        <v>199931</v>
      </c>
      <c r="V10" s="4" t="str">
        <f>August2026Primary_Tracking!R13</f>
        <v/>
      </c>
      <c r="W10" s="9" t="str">
        <f>August2026Primary_Tracking!S13</f>
        <v/>
      </c>
      <c r="X10" s="7">
        <f>August2026Primary_Tracking!T13</f>
        <v>9147</v>
      </c>
      <c r="Y10" s="4" t="str">
        <f>August2026Primary_Tracking!U13</f>
        <v/>
      </c>
      <c r="Z10" s="7">
        <f>August2026Primary_Tracking!V13</f>
        <v>209866</v>
      </c>
      <c r="AA10" s="4">
        <f>August2026Primary_Tracking!W13</f>
        <v>0</v>
      </c>
      <c r="AB10" s="30">
        <f>August2026Primary_Tracking!X13</f>
        <v>0</v>
      </c>
      <c r="AC10" s="7">
        <f>August2026Primary_Tracking!Y13</f>
        <v>9935</v>
      </c>
      <c r="AD10" s="4">
        <f>August2026Primary_Tracking!Z13</f>
        <v>0</v>
      </c>
      <c r="AE10" s="7">
        <f>August2026Primary_Tracking!AA13</f>
        <v>210539</v>
      </c>
      <c r="AF10" s="4">
        <f>August2026Primary_Tracking!AB13</f>
        <v>0</v>
      </c>
      <c r="AG10" s="30">
        <f>August2026Primary_Tracking!AC13</f>
        <v>0</v>
      </c>
      <c r="AH10" s="7">
        <f>August2026Primary_Tracking!AD13</f>
        <v>673</v>
      </c>
      <c r="AI10" s="4">
        <f>August2026Primary_Tracking!AE13</f>
        <v>0</v>
      </c>
      <c r="AJ10" s="7">
        <f>August2026Primary_Tracking!AF13</f>
        <v>212654</v>
      </c>
      <c r="AK10" s="4">
        <f>August2026Primary_Tracking!AG13</f>
        <v>0</v>
      </c>
      <c r="AL10" s="30">
        <f>August2026Primary_Tracking!AH13</f>
        <v>0</v>
      </c>
      <c r="AM10" s="7">
        <f>August2026Primary_Tracking!AI13</f>
        <v>2115</v>
      </c>
      <c r="AN10" s="4">
        <f>August2026Primary_Tracking!AJ13</f>
        <v>0</v>
      </c>
    </row>
    <row r="11" spans="1:41" x14ac:dyDescent="0.3">
      <c r="A11" t="s">
        <v>307</v>
      </c>
      <c r="B11" t="s">
        <v>9</v>
      </c>
      <c r="C11" s="26">
        <f t="shared" si="6"/>
        <v>68713</v>
      </c>
      <c r="D11" s="1">
        <f t="shared" si="7"/>
        <v>0.32797002529712188</v>
      </c>
      <c r="E11">
        <f>August2026Primary_Tracking!E14</f>
        <v>40602</v>
      </c>
      <c r="F11" s="5">
        <f>August2026Primary_Tracking!F14</f>
        <v>0.32880000000000004</v>
      </c>
      <c r="G11" s="13">
        <f t="shared" si="0"/>
        <v>0.59089255308311384</v>
      </c>
      <c r="H11" s="28">
        <f t="shared" si="1"/>
        <v>28111</v>
      </c>
      <c r="I11" s="5">
        <f>H11/H$10</f>
        <v>0.32194926415850655</v>
      </c>
      <c r="J11" s="5">
        <f t="shared" ref="J11:J14" si="8">I11-F11</f>
        <v>-6.8507358414934827E-3</v>
      </c>
      <c r="K11">
        <f>August2026Primary_Tracking!G14</f>
        <v>49728</v>
      </c>
      <c r="L11" s="5">
        <f>August2026Primary_Tracking!H14</f>
        <v>0.32390000000000002</v>
      </c>
      <c r="M11">
        <f>August2026Primary_Tracking!I14</f>
        <v>-0.49</v>
      </c>
      <c r="N11">
        <f>August2026Primary_Tracking!J14</f>
        <v>9126</v>
      </c>
      <c r="O11" s="5">
        <f>August2026Primary_Tracking!K14</f>
        <v>0.30409999999999998</v>
      </c>
      <c r="P11" s="11">
        <f>August2026Primary_Tracking!L14</f>
        <v>60591</v>
      </c>
      <c r="Q11" s="13">
        <f>August2026Primary_Tracking!M14</f>
        <v>0.32294359373417686</v>
      </c>
      <c r="R11" s="10">
        <f>August2026Primary_Tracking!N14</f>
        <v>-0.59</v>
      </c>
      <c r="S11" s="11">
        <f>August2026Primary_Tracking!O14</f>
        <v>10863</v>
      </c>
      <c r="T11" s="13">
        <f>August2026Primary_Tracking!P14</f>
        <v>0.3184229810933607</v>
      </c>
      <c r="U11" s="11">
        <f>August2026Primary_Tracking!Q14</f>
        <v>63680</v>
      </c>
      <c r="V11" s="13">
        <f>August2026Primary_Tracking!R14</f>
        <v>0.32322247939253662</v>
      </c>
      <c r="W11" s="10">
        <f>August2026Primary_Tracking!S14</f>
        <v>-0.56000000000000005</v>
      </c>
      <c r="X11" s="11">
        <f>August2026Primary_Tracking!T14</f>
        <v>3089</v>
      </c>
      <c r="Y11" s="13">
        <f>August2026Primary_Tracking!U14</f>
        <v>0.32879191059073976</v>
      </c>
      <c r="Z11" s="11">
        <f>August2026Primary_Tracking!V14</f>
        <v>67671</v>
      </c>
      <c r="AA11" s="13">
        <f>August2026Primary_Tracking!W14</f>
        <v>0.32722129542322476</v>
      </c>
      <c r="AB11" s="16">
        <f>August2026Primary_Tracking!X14</f>
        <v>-0.16</v>
      </c>
      <c r="AC11" s="11">
        <f>August2026Primary_Tracking!Y14</f>
        <v>3991</v>
      </c>
      <c r="AD11" s="13">
        <f>August2026Primary_Tracking!Z14</f>
        <v>0.40770252324037187</v>
      </c>
      <c r="AE11" s="11">
        <f>August2026Primary_Tracking!AA14</f>
        <v>67963</v>
      </c>
      <c r="AF11" s="13">
        <f>August2026Primary_Tracking!AB14</f>
        <v>0.32756252379735978</v>
      </c>
      <c r="AG11" s="16">
        <f>August2026Primary_Tracking!AC14</f>
        <v>-0.12</v>
      </c>
      <c r="AH11" s="11">
        <f>August2026Primary_Tracking!AD14</f>
        <v>292</v>
      </c>
      <c r="AI11" s="13">
        <f>August2026Primary_Tracking!AE14</f>
        <v>0.43195266272189348</v>
      </c>
      <c r="AJ11" s="11">
        <f>August2026Primary_Tracking!AF14</f>
        <v>68713</v>
      </c>
      <c r="AK11" s="13">
        <f>August2026Primary_Tracking!AG14</f>
        <v>0.32797002529712188</v>
      </c>
      <c r="AL11" s="16">
        <f>August2026Primary_Tracking!AH14</f>
        <v>-0.08</v>
      </c>
      <c r="AM11" s="11">
        <f>August2026Primary_Tracking!AI14</f>
        <v>750</v>
      </c>
      <c r="AN11" s="13">
        <f>August2026Primary_Tracking!AJ14</f>
        <v>0.36964021685559389</v>
      </c>
    </row>
    <row r="12" spans="1:41" x14ac:dyDescent="0.3">
      <c r="A12" t="s">
        <v>308</v>
      </c>
      <c r="B12" t="s">
        <v>282</v>
      </c>
      <c r="C12" s="26">
        <f t="shared" si="6"/>
        <v>29133</v>
      </c>
      <c r="D12" s="1">
        <f t="shared" si="7"/>
        <v>0.1390530284950599</v>
      </c>
      <c r="E12">
        <f>August2026Primary_Tracking!E15</f>
        <v>14501</v>
      </c>
      <c r="F12" s="5">
        <f>August2026Primary_Tracking!F15</f>
        <v>0.1174</v>
      </c>
      <c r="G12" s="13">
        <f t="shared" si="0"/>
        <v>0.49775169052277485</v>
      </c>
      <c r="H12" s="28">
        <f t="shared" si="1"/>
        <v>14632</v>
      </c>
      <c r="I12" s="5">
        <f t="shared" ref="I12:I14" si="9">H12/H$10</f>
        <v>0.16757716314493501</v>
      </c>
      <c r="J12" s="5">
        <f t="shared" si="8"/>
        <v>5.0177163144935005E-2</v>
      </c>
      <c r="K12">
        <f>August2026Primary_Tracking!G15</f>
        <v>19795</v>
      </c>
      <c r="L12" s="5">
        <f>August2026Primary_Tracking!H15</f>
        <v>0.129</v>
      </c>
      <c r="M12">
        <f>August2026Primary_Tracking!I15</f>
        <v>1.1599999999999999</v>
      </c>
      <c r="N12">
        <f>August2026Primary_Tracking!J15</f>
        <v>5294</v>
      </c>
      <c r="O12" s="5">
        <f>August2026Primary_Tracking!K15</f>
        <v>0.1764</v>
      </c>
      <c r="P12" s="11">
        <f>August2026Primary_Tracking!L15</f>
        <v>26111</v>
      </c>
      <c r="Q12" s="13">
        <f>August2026Primary_Tracking!M15</f>
        <v>0.13916885636469264</v>
      </c>
      <c r="R12" s="10">
        <f>August2026Primary_Tracking!N15</f>
        <v>2.1800000000000002</v>
      </c>
      <c r="S12" s="11">
        <f>August2026Primary_Tracking!O15</f>
        <v>6316</v>
      </c>
      <c r="T12" s="13">
        <f>August2026Primary_Tracking!P15</f>
        <v>0.18513850212516489</v>
      </c>
      <c r="U12" s="11">
        <f>August2026Primary_Tracking!Q15</f>
        <v>27477</v>
      </c>
      <c r="V12" s="13">
        <f>August2026Primary_Tracking!R15</f>
        <v>0.13946583018638081</v>
      </c>
      <c r="W12" s="10">
        <f>August2026Primary_Tracking!S15</f>
        <v>2.21</v>
      </c>
      <c r="X12" s="11">
        <f>August2026Primary_Tracking!T15</f>
        <v>1366</v>
      </c>
      <c r="Y12" s="13">
        <f>August2026Primary_Tracking!U15</f>
        <v>0.14539648749334752</v>
      </c>
      <c r="Z12" s="11">
        <f>August2026Primary_Tracking!V15</f>
        <v>28710</v>
      </c>
      <c r="AA12" s="13">
        <f>August2026Primary_Tracking!W15</f>
        <v>0.13882643069558279</v>
      </c>
      <c r="AB12" s="16">
        <f>August2026Primary_Tracking!X15</f>
        <v>2.14</v>
      </c>
      <c r="AC12" s="11">
        <f>August2026Primary_Tracking!Y15</f>
        <v>1233</v>
      </c>
      <c r="AD12" s="13">
        <f>August2026Primary_Tracking!Z15</f>
        <v>0.12595770763101441</v>
      </c>
      <c r="AE12" s="11">
        <f>August2026Primary_Tracking!AA15</f>
        <v>28796</v>
      </c>
      <c r="AF12" s="13">
        <f>August2026Primary_Tracking!AB15</f>
        <v>0.13878861196928877</v>
      </c>
      <c r="AG12" s="16">
        <f>August2026Primary_Tracking!AC15</f>
        <v>2.14</v>
      </c>
      <c r="AH12" s="11">
        <f>August2026Primary_Tracking!AD15</f>
        <v>86</v>
      </c>
      <c r="AI12" s="13">
        <f>August2026Primary_Tracking!AE15</f>
        <v>0.12721893491124261</v>
      </c>
      <c r="AJ12" s="11">
        <f>August2026Primary_Tracking!AF15</f>
        <v>29133</v>
      </c>
      <c r="AK12" s="13">
        <f>August2026Primary_Tracking!AG15</f>
        <v>0.1390530284950599</v>
      </c>
      <c r="AL12" s="16">
        <f>August2026Primary_Tracking!AH15</f>
        <v>2.17</v>
      </c>
      <c r="AM12" s="11">
        <f>August2026Primary_Tracking!AI15</f>
        <v>337</v>
      </c>
      <c r="AN12" s="13">
        <f>August2026Primary_Tracking!AJ15</f>
        <v>0.16609167077378018</v>
      </c>
    </row>
    <row r="13" spans="1:41" x14ac:dyDescent="0.3">
      <c r="A13" t="s">
        <v>309</v>
      </c>
      <c r="B13" t="s">
        <v>282</v>
      </c>
      <c r="C13" s="26">
        <f t="shared" si="6"/>
        <v>22775</v>
      </c>
      <c r="D13" s="1">
        <f t="shared" si="7"/>
        <v>0.10870602835186864</v>
      </c>
      <c r="E13">
        <f>August2026Primary_Tracking!E16</f>
        <v>12897</v>
      </c>
      <c r="F13" s="5">
        <f>August2026Primary_Tracking!F16</f>
        <v>0.10439999999999999</v>
      </c>
      <c r="G13" s="13">
        <f t="shared" si="0"/>
        <v>0.56627881448957185</v>
      </c>
      <c r="H13" s="28">
        <f t="shared" si="1"/>
        <v>9878</v>
      </c>
      <c r="I13" s="5">
        <f t="shared" si="9"/>
        <v>0.11313061902307736</v>
      </c>
      <c r="J13" s="5">
        <f t="shared" si="8"/>
        <v>8.7306190230773684E-3</v>
      </c>
      <c r="K13">
        <f>August2026Primary_Tracking!G16</f>
        <v>16323</v>
      </c>
      <c r="L13" s="5">
        <f>August2026Primary_Tracking!H16</f>
        <v>0.10630000000000001</v>
      </c>
      <c r="M13">
        <f>August2026Primary_Tracking!I16</f>
        <v>0.19</v>
      </c>
      <c r="N13">
        <f>August2026Primary_Tracking!J16</f>
        <v>3426</v>
      </c>
      <c r="O13" s="5">
        <f>August2026Primary_Tracking!K16</f>
        <v>0.11410000000000001</v>
      </c>
      <c r="P13" s="11">
        <f>August2026Primary_Tracking!L16</f>
        <v>20321</v>
      </c>
      <c r="Q13" s="13">
        <f>August2026Primary_Tracking!M16</f>
        <v>0.10830877140618587</v>
      </c>
      <c r="R13" s="10">
        <f>August2026Primary_Tracking!N16</f>
        <v>0.39</v>
      </c>
      <c r="S13" s="11">
        <f>August2026Primary_Tracking!O16</f>
        <v>3998</v>
      </c>
      <c r="T13" s="13">
        <f>August2026Primary_Tracking!P16</f>
        <v>0.11719185109189506</v>
      </c>
      <c r="U13" s="11">
        <f>August2026Primary_Tracking!Q16</f>
        <v>21421</v>
      </c>
      <c r="V13" s="13">
        <f>August2026Primary_Tracking!R16</f>
        <v>0.10872720997279409</v>
      </c>
      <c r="W13" s="10">
        <f>August2026Primary_Tracking!S16</f>
        <v>0.43</v>
      </c>
      <c r="X13" s="11">
        <f>August2026Primary_Tracking!T16</f>
        <v>1100</v>
      </c>
      <c r="Y13" s="13">
        <f>August2026Primary_Tracking!U16</f>
        <v>0.11708355508249069</v>
      </c>
      <c r="Z13" s="11">
        <f>August2026Primary_Tracking!V16</f>
        <v>22458</v>
      </c>
      <c r="AA13" s="13">
        <f>August2026Primary_Tracking!W16</f>
        <v>0.10859505331109015</v>
      </c>
      <c r="AB13" s="16">
        <f>August2026Primary_Tracking!X16</f>
        <v>0.42</v>
      </c>
      <c r="AC13" s="11">
        <f>August2026Primary_Tracking!Y16</f>
        <v>1037</v>
      </c>
      <c r="AD13" s="13">
        <f>August2026Primary_Tracking!Z16</f>
        <v>0.10593523342527326</v>
      </c>
      <c r="AE13" s="11">
        <f>August2026Primary_Tracking!AA16</f>
        <v>22527</v>
      </c>
      <c r="AF13" s="13">
        <f>August2026Primary_Tracking!AB16</f>
        <v>0.10857379711877232</v>
      </c>
      <c r="AG13" s="16">
        <f>August2026Primary_Tracking!AC16</f>
        <v>0.42</v>
      </c>
      <c r="AH13" s="11">
        <f>August2026Primary_Tracking!AD16</f>
        <v>69</v>
      </c>
      <c r="AI13" s="13">
        <f>August2026Primary_Tracking!AE16</f>
        <v>0.10207100591715976</v>
      </c>
      <c r="AJ13" s="11">
        <f>August2026Primary_Tracking!AF16</f>
        <v>22775</v>
      </c>
      <c r="AK13" s="13">
        <f>August2026Primary_Tracking!AG16</f>
        <v>0.10870602835186864</v>
      </c>
      <c r="AL13" s="16">
        <f>August2026Primary_Tracking!AH16</f>
        <v>0.43</v>
      </c>
      <c r="AM13" s="11">
        <f>August2026Primary_Tracking!AI16</f>
        <v>248</v>
      </c>
      <c r="AN13" s="13">
        <f>August2026Primary_Tracking!AJ16</f>
        <v>0.12222769837358305</v>
      </c>
    </row>
    <row r="14" spans="1:41" x14ac:dyDescent="0.3">
      <c r="A14" t="s">
        <v>310</v>
      </c>
      <c r="B14" t="s">
        <v>8</v>
      </c>
      <c r="C14" s="26">
        <f t="shared" si="6"/>
        <v>88708</v>
      </c>
      <c r="D14" s="1">
        <f t="shared" si="7"/>
        <v>0.42340699727936615</v>
      </c>
      <c r="E14">
        <f>August2026Primary_Tracking!E17</f>
        <v>55387</v>
      </c>
      <c r="F14" s="5">
        <f>August2026Primary_Tracking!F17</f>
        <v>0.44850000000000001</v>
      </c>
      <c r="G14" s="13">
        <f t="shared" si="0"/>
        <v>0.62437435180592504</v>
      </c>
      <c r="H14" s="28">
        <f t="shared" si="1"/>
        <v>33321</v>
      </c>
      <c r="I14" s="5">
        <f t="shared" si="9"/>
        <v>0.38161827864628073</v>
      </c>
      <c r="J14" s="5">
        <f t="shared" si="8"/>
        <v>-6.6881721353719281E-2</v>
      </c>
      <c r="K14">
        <f>August2026Primary_Tracking!G17</f>
        <v>67544</v>
      </c>
      <c r="L14" s="5">
        <f>August2026Primary_Tracking!H17</f>
        <v>0.44</v>
      </c>
      <c r="M14">
        <f>August2026Primary_Tracking!I17</f>
        <v>-0.85</v>
      </c>
      <c r="N14">
        <f>August2026Primary_Tracking!J17</f>
        <v>12157</v>
      </c>
      <c r="O14" s="5">
        <f>August2026Primary_Tracking!K17</f>
        <v>0.40500000000000003</v>
      </c>
      <c r="P14" s="11">
        <f>August2026Primary_Tracking!L17</f>
        <v>80452</v>
      </c>
      <c r="Q14" s="13">
        <f>August2026Primary_Tracking!M17</f>
        <v>0.4288006140037629</v>
      </c>
      <c r="R14" s="10">
        <f>August2026Primary_Tracking!N17</f>
        <v>-1.97</v>
      </c>
      <c r="S14" s="11">
        <f>August2026Primary_Tracking!O17</f>
        <v>12908</v>
      </c>
      <c r="T14" s="13">
        <f>August2026Primary_Tracking!P17</f>
        <v>0.37836728711710393</v>
      </c>
      <c r="U14" s="11">
        <f>August2026Primary_Tracking!Q17</f>
        <v>84273</v>
      </c>
      <c r="V14" s="13">
        <f>August2026Primary_Tracking!R17</f>
        <v>0.42774698501644537</v>
      </c>
      <c r="W14" s="10">
        <f>August2026Primary_Tracking!S17</f>
        <v>-2.08</v>
      </c>
      <c r="X14" s="11">
        <f>August2026Primary_Tracking!T17</f>
        <v>3821</v>
      </c>
      <c r="Y14" s="13">
        <f>August2026Primary_Tracking!U17</f>
        <v>0.40670569451836081</v>
      </c>
      <c r="Z14" s="11">
        <f>August2026Primary_Tracking!V17</f>
        <v>87790</v>
      </c>
      <c r="AA14" s="13">
        <f>August2026Primary_Tracking!W17</f>
        <v>0.42450617731679602</v>
      </c>
      <c r="AB14" s="16">
        <f>August2026Primary_Tracking!X17</f>
        <v>-2.4</v>
      </c>
      <c r="AC14" s="11">
        <f>August2026Primary_Tracking!Y17</f>
        <v>3517</v>
      </c>
      <c r="AD14" s="13">
        <f>August2026Primary_Tracking!Z17</f>
        <v>0.35928082541628359</v>
      </c>
      <c r="AE14" s="11">
        <f>August2026Primary_Tracking!AA17</f>
        <v>88017</v>
      </c>
      <c r="AF14" s="13">
        <f>August2026Primary_Tracking!AB17</f>
        <v>0.42421715723367442</v>
      </c>
      <c r="AG14" s="16">
        <f>August2026Primary_Tracking!AC17</f>
        <v>-2.4300000000000002</v>
      </c>
      <c r="AH14" s="11">
        <f>August2026Primary_Tracking!AD17</f>
        <v>227</v>
      </c>
      <c r="AI14" s="13">
        <f>August2026Primary_Tracking!AE17</f>
        <v>0.33579881656804733</v>
      </c>
      <c r="AJ14" s="11">
        <f>August2026Primary_Tracking!AF17</f>
        <v>88708</v>
      </c>
      <c r="AK14" s="13">
        <f>August2026Primary_Tracking!AG17</f>
        <v>0.42340699727936615</v>
      </c>
      <c r="AL14" s="16">
        <f>August2026Primary_Tracking!AH17</f>
        <v>-2.5099999999999998</v>
      </c>
      <c r="AM14" s="11">
        <f>August2026Primary_Tracking!AI17</f>
        <v>691</v>
      </c>
      <c r="AN14" s="13">
        <f>August2026Primary_Tracking!AJ17</f>
        <v>0.34056185312962051</v>
      </c>
    </row>
    <row r="15" spans="1:41" s="2" customFormat="1" x14ac:dyDescent="0.3">
      <c r="A15" s="2" t="s">
        <v>311</v>
      </c>
      <c r="B15" s="2" t="s">
        <v>298</v>
      </c>
      <c r="C15" s="25">
        <f t="shared" si="6"/>
        <v>216864</v>
      </c>
      <c r="D15" s="3">
        <f t="shared" si="7"/>
        <v>0</v>
      </c>
      <c r="E15" s="2">
        <f>August2026Primary_Tracking!E21</f>
        <v>140669</v>
      </c>
      <c r="F15" s="4" t="str">
        <f>August2026Primary_Tracking!F21</f>
        <v/>
      </c>
      <c r="G15" s="4">
        <f t="shared" si="0"/>
        <v>0.64865076730116566</v>
      </c>
      <c r="H15" s="27">
        <f t="shared" si="1"/>
        <v>76195</v>
      </c>
      <c r="I15" s="4"/>
      <c r="J15" s="4"/>
      <c r="K15" s="2">
        <f>August2026Primary_Tracking!G21</f>
        <v>175609</v>
      </c>
      <c r="L15" s="4" t="str">
        <f>August2026Primary_Tracking!H21</f>
        <v/>
      </c>
      <c r="M15" s="2" t="str">
        <f>August2026Primary_Tracking!I21</f>
        <v/>
      </c>
      <c r="N15" s="2">
        <f>August2026Primary_Tracking!J21</f>
        <v>34940</v>
      </c>
      <c r="O15" s="4" t="str">
        <f>August2026Primary_Tracking!K21</f>
        <v/>
      </c>
      <c r="P15" s="7">
        <f>August2026Primary_Tracking!L21</f>
        <v>206503</v>
      </c>
      <c r="Q15" s="4" t="str">
        <f>August2026Primary_Tracking!M21</f>
        <v/>
      </c>
      <c r="R15" s="9" t="str">
        <f>August2026Primary_Tracking!N21</f>
        <v/>
      </c>
      <c r="S15" s="7">
        <f>August2026Primary_Tracking!O21</f>
        <v>30894</v>
      </c>
      <c r="T15" s="4" t="str">
        <f>August2026Primary_Tracking!P21</f>
        <v/>
      </c>
      <c r="U15" s="7">
        <f>August2026Primary_Tracking!Q21</f>
        <v>210175</v>
      </c>
      <c r="V15" s="4" t="str">
        <f>August2026Primary_Tracking!R21</f>
        <v/>
      </c>
      <c r="W15" s="9" t="str">
        <f>August2026Primary_Tracking!S21</f>
        <v/>
      </c>
      <c r="X15" s="7">
        <f>August2026Primary_Tracking!T21</f>
        <v>3672</v>
      </c>
      <c r="Y15" s="4" t="str">
        <f>August2026Primary_Tracking!U21</f>
        <v/>
      </c>
      <c r="Z15" s="7">
        <f>August2026Primary_Tracking!V21</f>
        <v>214816</v>
      </c>
      <c r="AA15" s="4">
        <f>August2026Primary_Tracking!W21</f>
        <v>0</v>
      </c>
      <c r="AB15" s="30">
        <f>August2026Primary_Tracking!X21</f>
        <v>0</v>
      </c>
      <c r="AC15" s="7">
        <f>August2026Primary_Tracking!Y21</f>
        <v>4641</v>
      </c>
      <c r="AD15" s="4">
        <f>August2026Primary_Tracking!Z21</f>
        <v>0</v>
      </c>
      <c r="AE15" s="7">
        <f>August2026Primary_Tracking!AA21</f>
        <v>215333</v>
      </c>
      <c r="AF15" s="4">
        <f>August2026Primary_Tracking!AB21</f>
        <v>0</v>
      </c>
      <c r="AG15" s="30">
        <f>August2026Primary_Tracking!AC21</f>
        <v>0</v>
      </c>
      <c r="AH15" s="7">
        <f>August2026Primary_Tracking!AD21</f>
        <v>517</v>
      </c>
      <c r="AI15" s="4">
        <f>August2026Primary_Tracking!AE21</f>
        <v>0</v>
      </c>
      <c r="AJ15" s="7">
        <f>August2026Primary_Tracking!AF21</f>
        <v>216864</v>
      </c>
      <c r="AK15" s="4">
        <f>August2026Primary_Tracking!AG21</f>
        <v>0</v>
      </c>
      <c r="AL15" s="30">
        <f>August2026Primary_Tracking!AH21</f>
        <v>0</v>
      </c>
      <c r="AM15" s="7">
        <f>August2026Primary_Tracking!AI21</f>
        <v>1531</v>
      </c>
      <c r="AN15" s="4">
        <f>August2026Primary_Tracking!AJ21</f>
        <v>0</v>
      </c>
    </row>
    <row r="16" spans="1:41" x14ac:dyDescent="0.3">
      <c r="A16" t="s">
        <v>312</v>
      </c>
      <c r="B16" t="s">
        <v>8</v>
      </c>
      <c r="C16" s="26">
        <f t="shared" si="6"/>
        <v>78025</v>
      </c>
      <c r="D16" s="1">
        <f t="shared" si="7"/>
        <v>0.36376817675333695</v>
      </c>
      <c r="E16">
        <f>August2026Primary_Tracking!E22</f>
        <v>54132</v>
      </c>
      <c r="F16" s="5">
        <f>August2026Primary_Tracking!F22</f>
        <v>0.38900000000000001</v>
      </c>
      <c r="G16" s="13">
        <f t="shared" si="0"/>
        <v>0.69377763537327775</v>
      </c>
      <c r="H16" s="28">
        <f t="shared" si="1"/>
        <v>23893</v>
      </c>
      <c r="I16" s="5">
        <f>H16/H$15</f>
        <v>0.31357700636524705</v>
      </c>
      <c r="J16" s="5">
        <f t="shared" ref="J16:J24" si="10">I16-F16</f>
        <v>-7.5422993634752966E-2</v>
      </c>
      <c r="K16">
        <f>August2026Primary_Tracking!G22</f>
        <v>65224</v>
      </c>
      <c r="L16" s="5">
        <f>August2026Primary_Tracking!H22</f>
        <v>0.37530000000000002</v>
      </c>
      <c r="M16">
        <f>August2026Primary_Tracking!I22</f>
        <v>-1.37</v>
      </c>
      <c r="N16">
        <f>August2026Primary_Tracking!J22</f>
        <v>11092</v>
      </c>
      <c r="O16" s="5">
        <f>August2026Primary_Tracking!K22</f>
        <v>0.32030000000000003</v>
      </c>
      <c r="P16" s="11">
        <f>August2026Primary_Tracking!L22</f>
        <v>75032</v>
      </c>
      <c r="Q16" s="13">
        <f>August2026Primary_Tracking!M22</f>
        <v>0.36707696522572941</v>
      </c>
      <c r="R16" s="10">
        <f>August2026Primary_Tracking!N22</f>
        <v>-2.19</v>
      </c>
      <c r="S16" s="11">
        <f>August2026Primary_Tracking!O22</f>
        <v>9808</v>
      </c>
      <c r="T16" s="13">
        <f>August2026Primary_Tracking!P22</f>
        <v>0.32055430270941593</v>
      </c>
      <c r="U16" s="11">
        <f>August2026Primary_Tracking!Q22</f>
        <v>75962</v>
      </c>
      <c r="V16" s="13">
        <f>August2026Primary_Tracking!R22</f>
        <v>0.36519841155373506</v>
      </c>
      <c r="W16" s="10">
        <f>August2026Primary_Tracking!S22</f>
        <v>-2.38</v>
      </c>
      <c r="X16" s="11">
        <f>August2026Primary_Tracking!T22</f>
        <v>930</v>
      </c>
      <c r="Y16" s="13">
        <f>August2026Primary_Tracking!U22</f>
        <v>0.25847693162868263</v>
      </c>
      <c r="Z16" s="11">
        <f>August2026Primary_Tracking!V22</f>
        <v>77454</v>
      </c>
      <c r="AA16" s="13">
        <f>August2026Primary_Tracking!W22</f>
        <v>0.36448255091668863</v>
      </c>
      <c r="AB16" s="16">
        <f>August2026Primary_Tracking!X22</f>
        <v>-2.4500000000000002</v>
      </c>
      <c r="AC16" s="11">
        <f>August2026Primary_Tracking!Y22</f>
        <v>1492</v>
      </c>
      <c r="AD16" s="13">
        <f>August2026Primary_Tracking!Z22</f>
        <v>0.33140826299422477</v>
      </c>
      <c r="AE16" s="11">
        <f>August2026Primary_Tracking!AA22</f>
        <v>77605</v>
      </c>
      <c r="AF16" s="13">
        <f>August2026Primary_Tracking!AB22</f>
        <v>0.36434443354194151</v>
      </c>
      <c r="AG16" s="16">
        <f>August2026Primary_Tracking!AC22</f>
        <v>-2.4700000000000002</v>
      </c>
      <c r="AH16" s="11">
        <f>August2026Primary_Tracking!AD22</f>
        <v>151</v>
      </c>
      <c r="AI16" s="13">
        <f>August2026Primary_Tracking!AE22</f>
        <v>0.30505050505050507</v>
      </c>
      <c r="AJ16" s="11">
        <f>August2026Primary_Tracking!AF22</f>
        <v>78025</v>
      </c>
      <c r="AK16" s="13">
        <f>August2026Primary_Tracking!AG22</f>
        <v>0.36376817675333695</v>
      </c>
      <c r="AL16" s="16">
        <f>August2026Primary_Tracking!AH22</f>
        <v>-2.52</v>
      </c>
      <c r="AM16" s="11">
        <f>August2026Primary_Tracking!AI22</f>
        <v>420</v>
      </c>
      <c r="AN16" s="13">
        <f>August2026Primary_Tracking!AJ22</f>
        <v>0.28150134048257375</v>
      </c>
    </row>
    <row r="17" spans="1:40" x14ac:dyDescent="0.3">
      <c r="A17" t="s">
        <v>313</v>
      </c>
      <c r="B17" t="s">
        <v>282</v>
      </c>
      <c r="C17" s="26">
        <f t="shared" si="6"/>
        <v>35820</v>
      </c>
      <c r="D17" s="1">
        <f t="shared" si="7"/>
        <v>0.16700001398660083</v>
      </c>
      <c r="E17">
        <f>August2026Primary_Tracking!E23</f>
        <v>21290</v>
      </c>
      <c r="F17" s="5">
        <f>August2026Primary_Tracking!F23</f>
        <v>0.153</v>
      </c>
      <c r="G17" s="13">
        <f t="shared" si="0"/>
        <v>0.59436069235064215</v>
      </c>
      <c r="H17" s="28">
        <f t="shared" si="1"/>
        <v>14530</v>
      </c>
      <c r="I17" s="5">
        <f t="shared" ref="I17:I24" si="11">H17/H$15</f>
        <v>0.19069492748868036</v>
      </c>
      <c r="J17" s="5">
        <f t="shared" si="10"/>
        <v>3.7694927488680363E-2</v>
      </c>
      <c r="K17">
        <f>August2026Primary_Tracking!G23</f>
        <v>28062</v>
      </c>
      <c r="L17" s="5">
        <f>August2026Primary_Tracking!H23</f>
        <v>0.16149999999999998</v>
      </c>
      <c r="M17">
        <f>August2026Primary_Tracking!I23</f>
        <v>0.85</v>
      </c>
      <c r="N17">
        <f>August2026Primary_Tracking!J23</f>
        <v>6772</v>
      </c>
      <c r="O17" s="5">
        <f>August2026Primary_Tracking!K23</f>
        <v>0.19550000000000001</v>
      </c>
      <c r="P17" s="11">
        <f>August2026Primary_Tracking!L23</f>
        <v>34479</v>
      </c>
      <c r="Q17" s="13">
        <f>August2026Primary_Tracking!M23</f>
        <v>0.16868065204203439</v>
      </c>
      <c r="R17" s="10">
        <f>August2026Primary_Tracking!N23</f>
        <v>1.57</v>
      </c>
      <c r="S17" s="11">
        <f>August2026Primary_Tracking!O23</f>
        <v>6417</v>
      </c>
      <c r="T17" s="13">
        <f>August2026Primary_Tracking!P23</f>
        <v>0.20972644376899696</v>
      </c>
      <c r="U17" s="11">
        <f>August2026Primary_Tracking!Q23</f>
        <v>34927</v>
      </c>
      <c r="V17" s="13">
        <f>August2026Primary_Tracking!R23</f>
        <v>0.16791665464755146</v>
      </c>
      <c r="W17" s="10">
        <f>August2026Primary_Tracking!S23</f>
        <v>1.49</v>
      </c>
      <c r="X17" s="11">
        <f>August2026Primary_Tracking!T23</f>
        <v>448</v>
      </c>
      <c r="Y17" s="13">
        <f>August2026Primary_Tracking!U23</f>
        <v>0.1245136186770428</v>
      </c>
      <c r="Z17" s="11">
        <f>August2026Primary_Tracking!V23</f>
        <v>35540</v>
      </c>
      <c r="AA17" s="13">
        <f>August2026Primary_Tracking!W23</f>
        <v>0.16724391070285735</v>
      </c>
      <c r="AB17" s="16">
        <f>August2026Primary_Tracking!X23</f>
        <v>1.42</v>
      </c>
      <c r="AC17" s="11">
        <f>August2026Primary_Tracking!Y23</f>
        <v>613</v>
      </c>
      <c r="AD17" s="13">
        <f>August2026Primary_Tracking!Z23</f>
        <v>0.13616170590848511</v>
      </c>
      <c r="AE17" s="11">
        <f>August2026Primary_Tracking!AA23</f>
        <v>35638</v>
      </c>
      <c r="AF17" s="13">
        <f>August2026Primary_Tracking!AB23</f>
        <v>0.1673153395086362</v>
      </c>
      <c r="AG17" s="16">
        <f>August2026Primary_Tracking!AC23</f>
        <v>1.43</v>
      </c>
      <c r="AH17" s="11">
        <f>August2026Primary_Tracking!AD23</f>
        <v>98</v>
      </c>
      <c r="AI17" s="13">
        <f>August2026Primary_Tracking!AE23</f>
        <v>0.19797979797979798</v>
      </c>
      <c r="AJ17" s="11">
        <f>August2026Primary_Tracking!AF23</f>
        <v>35820</v>
      </c>
      <c r="AK17" s="13">
        <f>August2026Primary_Tracking!AG23</f>
        <v>0.16700001398660083</v>
      </c>
      <c r="AL17" s="16">
        <f>August2026Primary_Tracking!AH23</f>
        <v>1.4</v>
      </c>
      <c r="AM17" s="11">
        <f>August2026Primary_Tracking!AI23</f>
        <v>182</v>
      </c>
      <c r="AN17" s="13">
        <f>August2026Primary_Tracking!AJ23</f>
        <v>0.12198391420911528</v>
      </c>
    </row>
    <row r="18" spans="1:40" x14ac:dyDescent="0.3">
      <c r="A18" t="s">
        <v>314</v>
      </c>
      <c r="B18" t="s">
        <v>9</v>
      </c>
      <c r="C18" s="26">
        <f t="shared" si="6"/>
        <v>4102</v>
      </c>
      <c r="D18" s="1">
        <f t="shared" si="7"/>
        <v>1.9124345543635863E-2</v>
      </c>
      <c r="E18">
        <f>August2026Primary_Tracking!E24</f>
        <v>2666</v>
      </c>
      <c r="F18" s="5">
        <f>August2026Primary_Tracking!F24</f>
        <v>1.9199999999999998E-2</v>
      </c>
      <c r="G18" s="13">
        <f t="shared" si="0"/>
        <v>0.64992686494392982</v>
      </c>
      <c r="H18" s="28">
        <f t="shared" si="1"/>
        <v>1436</v>
      </c>
      <c r="I18" s="5">
        <f t="shared" si="11"/>
        <v>1.8846380996128356E-2</v>
      </c>
      <c r="J18" s="5">
        <f t="shared" si="10"/>
        <v>-3.5361900387164205E-4</v>
      </c>
      <c r="K18">
        <f>August2026Primary_Tracking!G24</f>
        <v>3184</v>
      </c>
      <c r="L18" s="5">
        <f>August2026Primary_Tracking!H24</f>
        <v>1.83E-2</v>
      </c>
      <c r="M18">
        <f>August2026Primary_Tracking!I24</f>
        <v>-0.09</v>
      </c>
      <c r="N18">
        <f>August2026Primary_Tracking!J24</f>
        <v>518</v>
      </c>
      <c r="O18" s="5">
        <f>August2026Primary_Tracking!K24</f>
        <v>1.4999999999999999E-2</v>
      </c>
      <c r="P18" s="11">
        <f>August2026Primary_Tracking!L24</f>
        <v>3733</v>
      </c>
      <c r="Q18" s="13">
        <f>August2026Primary_Tracking!M24</f>
        <v>1.8262851998982407E-2</v>
      </c>
      <c r="R18" s="10">
        <f>August2026Primary_Tracking!N24</f>
        <v>-0.09</v>
      </c>
      <c r="S18" s="11">
        <f>August2026Primary_Tracking!O24</f>
        <v>549</v>
      </c>
      <c r="T18" s="13">
        <f>August2026Primary_Tracking!P24</f>
        <v>1.7942935581919797E-2</v>
      </c>
      <c r="U18" s="11">
        <f>August2026Primary_Tracking!Q24</f>
        <v>3853</v>
      </c>
      <c r="V18" s="13">
        <f>August2026Primary_Tracking!R24</f>
        <v>1.852386034749666E-2</v>
      </c>
      <c r="W18" s="10">
        <f>August2026Primary_Tracking!S24</f>
        <v>-7.0000000000000007E-2</v>
      </c>
      <c r="X18" s="11">
        <f>August2026Primary_Tracking!T24</f>
        <v>120</v>
      </c>
      <c r="Y18" s="13">
        <f>August2026Primary_Tracking!U24</f>
        <v>3.3351862145636464E-2</v>
      </c>
      <c r="Z18" s="11">
        <f>August2026Primary_Tracking!V24</f>
        <v>4020</v>
      </c>
      <c r="AA18" s="13">
        <f>August2026Primary_Tracking!W24</f>
        <v>1.8917290968640591E-2</v>
      </c>
      <c r="AB18" s="16">
        <f>August2026Primary_Tracking!X24</f>
        <v>-0.03</v>
      </c>
      <c r="AC18" s="11">
        <f>August2026Primary_Tracking!Y24</f>
        <v>167</v>
      </c>
      <c r="AD18" s="13">
        <f>August2026Primary_Tracking!Z24</f>
        <v>3.709462461128387E-2</v>
      </c>
      <c r="AE18" s="11">
        <f>August2026Primary_Tracking!AA24</f>
        <v>4049</v>
      </c>
      <c r="AF18" s="13">
        <f>August2026Primary_Tracking!AB24</f>
        <v>1.9009478917741397E-2</v>
      </c>
      <c r="AG18" s="16">
        <f>August2026Primary_Tracking!AC24</f>
        <v>-0.02</v>
      </c>
      <c r="AH18" s="11">
        <f>August2026Primary_Tracking!AD24</f>
        <v>29</v>
      </c>
      <c r="AI18" s="13">
        <f>August2026Primary_Tracking!AE24</f>
        <v>5.8585858585858588E-2</v>
      </c>
      <c r="AJ18" s="11">
        <f>August2026Primary_Tracking!AF24</f>
        <v>4102</v>
      </c>
      <c r="AK18" s="13">
        <f>August2026Primary_Tracking!AG24</f>
        <v>1.9124345543635863E-2</v>
      </c>
      <c r="AL18" s="16">
        <f>August2026Primary_Tracking!AH24</f>
        <v>-0.01</v>
      </c>
      <c r="AM18" s="11">
        <f>August2026Primary_Tracking!AI24</f>
        <v>53</v>
      </c>
      <c r="AN18" s="13">
        <f>August2026Primary_Tracking!AJ24</f>
        <v>3.5522788203753354E-2</v>
      </c>
    </row>
    <row r="19" spans="1:40" x14ac:dyDescent="0.3">
      <c r="A19" t="s">
        <v>315</v>
      </c>
      <c r="B19" t="s">
        <v>11</v>
      </c>
      <c r="C19" s="26">
        <f t="shared" si="6"/>
        <v>3549</v>
      </c>
      <c r="D19" s="1">
        <f t="shared" si="7"/>
        <v>1.6546148789459699E-2</v>
      </c>
      <c r="E19">
        <f>August2026Primary_Tracking!E25</f>
        <v>2121</v>
      </c>
      <c r="F19" s="5">
        <f>August2026Primary_Tracking!F25</f>
        <v>1.52E-2</v>
      </c>
      <c r="G19" s="13">
        <f t="shared" si="0"/>
        <v>0.59763313609467461</v>
      </c>
      <c r="H19" s="28">
        <f t="shared" si="1"/>
        <v>1428</v>
      </c>
      <c r="I19" s="5">
        <f t="shared" si="11"/>
        <v>1.8741387230133209E-2</v>
      </c>
      <c r="J19" s="5">
        <f t="shared" si="10"/>
        <v>3.5413872301332094E-3</v>
      </c>
      <c r="K19">
        <f>August2026Primary_Tracking!G25</f>
        <v>2686</v>
      </c>
      <c r="L19" s="5">
        <f>August2026Primary_Tracking!H25</f>
        <v>1.55E-2</v>
      </c>
      <c r="M19">
        <f>August2026Primary_Tracking!I25</f>
        <v>0.03</v>
      </c>
      <c r="N19">
        <f>August2026Primary_Tracking!J25</f>
        <v>565</v>
      </c>
      <c r="O19" s="5">
        <f>August2026Primary_Tracking!K25</f>
        <v>1.6299999999999999E-2</v>
      </c>
      <c r="P19" s="11">
        <f>August2026Primary_Tracking!L25</f>
        <v>3269</v>
      </c>
      <c r="Q19" s="13">
        <f>August2026Primary_Tracking!M25</f>
        <v>1.5992837713547679E-2</v>
      </c>
      <c r="R19" s="10">
        <f>August2026Primary_Tracking!N25</f>
        <v>0.08</v>
      </c>
      <c r="S19" s="11">
        <f>August2026Primary_Tracking!O25</f>
        <v>583</v>
      </c>
      <c r="T19" s="13">
        <f>August2026Primary_Tracking!P25</f>
        <v>1.9054155636173482E-2</v>
      </c>
      <c r="U19" s="11">
        <f>August2026Primary_Tracking!Q25</f>
        <v>3397</v>
      </c>
      <c r="V19" s="13">
        <f>August2026Primary_Tracking!R25</f>
        <v>1.6331573734867932E-2</v>
      </c>
      <c r="W19" s="10">
        <f>August2026Primary_Tracking!S25</f>
        <v>0.11</v>
      </c>
      <c r="X19" s="11">
        <f>August2026Primary_Tracking!T25</f>
        <v>128</v>
      </c>
      <c r="Y19" s="13">
        <f>August2026Primary_Tracking!U25</f>
        <v>3.5575319622012228E-2</v>
      </c>
      <c r="Z19" s="11">
        <f>August2026Primary_Tracking!V25</f>
        <v>3496</v>
      </c>
      <c r="AA19" s="13">
        <f>August2026Primary_Tracking!W25</f>
        <v>1.6451455031434702E-2</v>
      </c>
      <c r="AB19" s="16">
        <f>August2026Primary_Tracking!X25</f>
        <v>0.13</v>
      </c>
      <c r="AC19" s="11">
        <f>August2026Primary_Tracking!Y25</f>
        <v>99</v>
      </c>
      <c r="AD19" s="13">
        <f>August2026Primary_Tracking!Z25</f>
        <v>2.1990226565970678E-2</v>
      </c>
      <c r="AE19" s="11">
        <f>August2026Primary_Tracking!AA25</f>
        <v>3506</v>
      </c>
      <c r="AF19" s="13">
        <f>August2026Primary_Tracking!AB25</f>
        <v>1.6460171174512556E-2</v>
      </c>
      <c r="AG19" s="16">
        <f>August2026Primary_Tracking!AC25</f>
        <v>0.13</v>
      </c>
      <c r="AH19" s="11">
        <f>August2026Primary_Tracking!AD25</f>
        <v>10</v>
      </c>
      <c r="AI19" s="13">
        <f>August2026Primary_Tracking!AE25</f>
        <v>2.0202020202020204E-2</v>
      </c>
      <c r="AJ19" s="11">
        <f>August2026Primary_Tracking!AF25</f>
        <v>3549</v>
      </c>
      <c r="AK19" s="13">
        <f>August2026Primary_Tracking!AG25</f>
        <v>1.6546148789459699E-2</v>
      </c>
      <c r="AL19" s="16">
        <f>August2026Primary_Tracking!AH25</f>
        <v>0.13</v>
      </c>
      <c r="AM19" s="11">
        <f>August2026Primary_Tracking!AI25</f>
        <v>43</v>
      </c>
      <c r="AN19" s="13">
        <f>August2026Primary_Tracking!AJ25</f>
        <v>2.8820375335120642E-2</v>
      </c>
    </row>
    <row r="20" spans="1:40" x14ac:dyDescent="0.3">
      <c r="A20" t="s">
        <v>316</v>
      </c>
      <c r="B20" t="s">
        <v>8</v>
      </c>
      <c r="C20" s="26">
        <f t="shared" si="6"/>
        <v>2058</v>
      </c>
      <c r="D20" s="1">
        <f t="shared" si="7"/>
        <v>9.5948081737695281E-3</v>
      </c>
      <c r="E20">
        <f>August2026Primary_Tracking!E26</f>
        <v>1297</v>
      </c>
      <c r="F20" s="5">
        <f>August2026Primary_Tracking!F26</f>
        <v>9.300000000000001E-3</v>
      </c>
      <c r="G20" s="13">
        <f t="shared" si="0"/>
        <v>0.63022351797861997</v>
      </c>
      <c r="H20" s="28">
        <f t="shared" si="1"/>
        <v>761</v>
      </c>
      <c r="I20" s="5">
        <f t="shared" si="11"/>
        <v>9.9875319902880764E-3</v>
      </c>
      <c r="J20" s="5">
        <f t="shared" si="10"/>
        <v>6.8753199028807541E-4</v>
      </c>
      <c r="K20">
        <f>August2026Primary_Tracking!G26</f>
        <v>1613</v>
      </c>
      <c r="L20" s="5">
        <f>August2026Primary_Tracking!H26</f>
        <v>9.300000000000001E-3</v>
      </c>
      <c r="M20">
        <f>August2026Primary_Tracking!I26</f>
        <v>0</v>
      </c>
      <c r="N20">
        <f>August2026Primary_Tracking!J26</f>
        <v>316</v>
      </c>
      <c r="O20" s="5">
        <f>August2026Primary_Tracking!K26</f>
        <v>9.1000000000000004E-3</v>
      </c>
      <c r="P20" s="11">
        <f>August2026Primary_Tracking!L26</f>
        <v>1948</v>
      </c>
      <c r="Q20" s="13">
        <f>August2026Primary_Tracking!M26</f>
        <v>9.5301461810923457E-3</v>
      </c>
      <c r="R20" s="10">
        <f>August2026Primary_Tracking!N26</f>
        <v>0.02</v>
      </c>
      <c r="S20" s="11">
        <f>August2026Primary_Tracking!O26</f>
        <v>335</v>
      </c>
      <c r="T20" s="13">
        <f>August2026Primary_Tracking!P26</f>
        <v>1.0948785828676014E-2</v>
      </c>
      <c r="U20" s="11">
        <f>August2026Primary_Tracking!Q26</f>
        <v>1980</v>
      </c>
      <c r="V20" s="13">
        <f>August2026Primary_Tracking!R26</f>
        <v>9.5191392390457791E-3</v>
      </c>
      <c r="W20" s="10">
        <f>August2026Primary_Tracking!S26</f>
        <v>0.02</v>
      </c>
      <c r="X20" s="11">
        <f>August2026Primary_Tracking!T26</f>
        <v>32</v>
      </c>
      <c r="Y20" s="13">
        <f>August2026Primary_Tracking!U26</f>
        <v>8.8938299055030569E-3</v>
      </c>
      <c r="Z20" s="11">
        <f>August2026Primary_Tracking!V26</f>
        <v>2035</v>
      </c>
      <c r="AA20" s="13">
        <f>August2026Primary_Tracking!W26</f>
        <v>9.5762903286526375E-3</v>
      </c>
      <c r="AB20" s="16">
        <f>August2026Primary_Tracking!X26</f>
        <v>0.03</v>
      </c>
      <c r="AC20" s="11">
        <f>August2026Primary_Tracking!Y26</f>
        <v>55</v>
      </c>
      <c r="AD20" s="13">
        <f>August2026Primary_Tracking!Z26</f>
        <v>1.2216792536650378E-2</v>
      </c>
      <c r="AE20" s="11">
        <f>August2026Primary_Tracking!AA26</f>
        <v>2041</v>
      </c>
      <c r="AF20" s="13">
        <f>August2026Primary_Tracking!AB26</f>
        <v>9.5822046112892557E-3</v>
      </c>
      <c r="AG20" s="16">
        <f>August2026Primary_Tracking!AC26</f>
        <v>0.03</v>
      </c>
      <c r="AH20" s="11">
        <f>August2026Primary_Tracking!AD26</f>
        <v>6</v>
      </c>
      <c r="AI20" s="13">
        <f>August2026Primary_Tracking!AE26</f>
        <v>1.2121212121212121E-2</v>
      </c>
      <c r="AJ20" s="11">
        <f>August2026Primary_Tracking!AF26</f>
        <v>2058</v>
      </c>
      <c r="AK20" s="13">
        <f>August2026Primary_Tracking!AG26</f>
        <v>9.5948081737695281E-3</v>
      </c>
      <c r="AL20" s="16">
        <f>August2026Primary_Tracking!AH26</f>
        <v>0.03</v>
      </c>
      <c r="AM20" s="11">
        <f>August2026Primary_Tracking!AI26</f>
        <v>17</v>
      </c>
      <c r="AN20" s="13">
        <f>August2026Primary_Tracking!AJ26</f>
        <v>1.1394101876675604E-2</v>
      </c>
    </row>
    <row r="21" spans="1:40" x14ac:dyDescent="0.3">
      <c r="A21" t="s">
        <v>317</v>
      </c>
      <c r="B21" t="s">
        <v>9</v>
      </c>
      <c r="C21" s="26">
        <f t="shared" si="6"/>
        <v>85064</v>
      </c>
      <c r="D21" s="1">
        <f t="shared" si="7"/>
        <v>0.3965854045158072</v>
      </c>
      <c r="E21">
        <f>August2026Primary_Tracking!E27</f>
        <v>53869</v>
      </c>
      <c r="F21" s="5">
        <f>August2026Primary_Tracking!F27</f>
        <v>0.3871</v>
      </c>
      <c r="G21" s="13">
        <f t="shared" si="0"/>
        <v>0.6332761215085112</v>
      </c>
      <c r="H21" s="28">
        <f t="shared" si="1"/>
        <v>31195</v>
      </c>
      <c r="I21" s="5">
        <f t="shared" si="11"/>
        <v>0.4094100662773148</v>
      </c>
      <c r="J21" s="5">
        <f t="shared" si="10"/>
        <v>2.23100662773148E-2</v>
      </c>
      <c r="K21">
        <f>August2026Primary_Tracking!G27</f>
        <v>68432</v>
      </c>
      <c r="L21" s="5">
        <f>August2026Primary_Tracking!H27</f>
        <v>0.39369999999999999</v>
      </c>
      <c r="M21">
        <f>August2026Primary_Tracking!I27</f>
        <v>0.66</v>
      </c>
      <c r="N21">
        <f>August2026Primary_Tracking!J27</f>
        <v>14563</v>
      </c>
      <c r="O21" s="5">
        <f>August2026Primary_Tracking!K27</f>
        <v>0.42049999999999998</v>
      </c>
      <c r="P21" s="11">
        <f>August2026Primary_Tracking!L27</f>
        <v>80572</v>
      </c>
      <c r="Q21" s="13">
        <f>August2026Primary_Tracking!M27</f>
        <v>0.39418015303027337</v>
      </c>
      <c r="R21" s="10">
        <f>August2026Primary_Tracking!N27</f>
        <v>0.71</v>
      </c>
      <c r="S21" s="11">
        <f>August2026Primary_Tracking!O27</f>
        <v>12140</v>
      </c>
      <c r="T21" s="13">
        <f>August2026Primary_Tracking!P27</f>
        <v>0.3967709252541099</v>
      </c>
      <c r="U21" s="11">
        <f>August2026Primary_Tracking!Q27</f>
        <v>82351</v>
      </c>
      <c r="V21" s="13">
        <f>August2026Primary_Tracking!R27</f>
        <v>0.39591446236093886</v>
      </c>
      <c r="W21" s="10">
        <f>August2026Primary_Tracking!S27</f>
        <v>0.88</v>
      </c>
      <c r="X21" s="11">
        <f>August2026Primary_Tracking!T27</f>
        <v>1779</v>
      </c>
      <c r="Y21" s="13">
        <f>August2026Primary_Tracking!U27</f>
        <v>0.49444135630906061</v>
      </c>
      <c r="Z21" s="11">
        <f>August2026Primary_Tracking!V27</f>
        <v>84181</v>
      </c>
      <c r="AA21" s="13">
        <f>August2026Primary_Tracking!W27</f>
        <v>0.39613842562963519</v>
      </c>
      <c r="AB21" s="16">
        <f>August2026Primary_Tracking!X27</f>
        <v>0.9</v>
      </c>
      <c r="AC21" s="11">
        <f>August2026Primary_Tracking!Y27</f>
        <v>1830</v>
      </c>
      <c r="AD21" s="13">
        <f>August2026Primary_Tracking!Z27</f>
        <v>0.40648600621945802</v>
      </c>
      <c r="AE21" s="11">
        <f>August2026Primary_Tracking!AA27</f>
        <v>84360</v>
      </c>
      <c r="AF21" s="13">
        <f>August2026Primary_Tracking!AB27</f>
        <v>0.39605819745632609</v>
      </c>
      <c r="AG21" s="16">
        <f>August2026Primary_Tracking!AC27</f>
        <v>0.9</v>
      </c>
      <c r="AH21" s="11">
        <f>August2026Primary_Tracking!AD27</f>
        <v>179</v>
      </c>
      <c r="AI21" s="13">
        <f>August2026Primary_Tracking!AE27</f>
        <v>0.36161616161616161</v>
      </c>
      <c r="AJ21" s="11">
        <f>August2026Primary_Tracking!AF27</f>
        <v>85064</v>
      </c>
      <c r="AK21" s="13">
        <f>August2026Primary_Tracking!AG27</f>
        <v>0.3965854045158072</v>
      </c>
      <c r="AL21" s="16">
        <f>August2026Primary_Tracking!AH27</f>
        <v>0.95</v>
      </c>
      <c r="AM21" s="11">
        <f>August2026Primary_Tracking!AI27</f>
        <v>704</v>
      </c>
      <c r="AN21" s="13">
        <f>August2026Primary_Tracking!AJ27</f>
        <v>0.47184986595174261</v>
      </c>
    </row>
    <row r="22" spans="1:40" x14ac:dyDescent="0.3">
      <c r="A22" t="s">
        <v>318</v>
      </c>
      <c r="B22" t="s">
        <v>11</v>
      </c>
      <c r="C22" s="26">
        <f t="shared" si="6"/>
        <v>1345</v>
      </c>
      <c r="D22" s="1">
        <f t="shared" si="7"/>
        <v>6.2706593749854303E-3</v>
      </c>
      <c r="E22">
        <f>August2026Primary_Tracking!E28</f>
        <v>763</v>
      </c>
      <c r="F22" s="5">
        <f>August2026Primary_Tracking!F28</f>
        <v>5.5000000000000005E-3</v>
      </c>
      <c r="G22" s="13">
        <f t="shared" si="0"/>
        <v>0.56728624535315986</v>
      </c>
      <c r="H22" s="28">
        <f t="shared" si="1"/>
        <v>582</v>
      </c>
      <c r="I22" s="5">
        <f t="shared" si="11"/>
        <v>7.638296476146729E-3</v>
      </c>
      <c r="J22" s="5">
        <f t="shared" si="10"/>
        <v>2.1382964761467284E-3</v>
      </c>
      <c r="K22">
        <f>August2026Primary_Tracking!G28</f>
        <v>987</v>
      </c>
      <c r="L22" s="5">
        <f>August2026Primary_Tracking!H28</f>
        <v>5.6999999999999993E-3</v>
      </c>
      <c r="M22">
        <f>August2026Primary_Tracking!I28</f>
        <v>0.02</v>
      </c>
      <c r="N22">
        <f>August2026Primary_Tracking!J28</f>
        <v>224</v>
      </c>
      <c r="O22" s="5">
        <f>August2026Primary_Tracking!K28</f>
        <v>6.5000000000000006E-3</v>
      </c>
      <c r="P22" s="11">
        <f>August2026Primary_Tracking!L28</f>
        <v>1206</v>
      </c>
      <c r="Q22" s="13">
        <f>August2026Primary_Tracking!M28</f>
        <v>5.9000802332635372E-3</v>
      </c>
      <c r="R22" s="10">
        <f>August2026Primary_Tracking!N28</f>
        <v>0.04</v>
      </c>
      <c r="S22" s="11">
        <f>August2026Primary_Tracking!O28</f>
        <v>219</v>
      </c>
      <c r="T22" s="13">
        <f>August2026Primary_Tracking!P28</f>
        <v>7.1575644671046179E-3</v>
      </c>
      <c r="U22" s="11">
        <f>August2026Primary_Tracking!Q28</f>
        <v>1257</v>
      </c>
      <c r="V22" s="13">
        <f>August2026Primary_Tracking!R28</f>
        <v>6.0432111229699716E-3</v>
      </c>
      <c r="W22" s="10">
        <f>August2026Primary_Tracking!S28</f>
        <v>0.05</v>
      </c>
      <c r="X22" s="11">
        <f>August2026Primary_Tracking!T28</f>
        <v>51</v>
      </c>
      <c r="Y22" s="13">
        <f>August2026Primary_Tracking!U28</f>
        <v>1.4174541411895497E-2</v>
      </c>
      <c r="Z22" s="11">
        <f>August2026Primary_Tracking!V28</f>
        <v>1317</v>
      </c>
      <c r="AA22" s="13">
        <f>August2026Primary_Tracking!W28</f>
        <v>6.1975303994277753E-3</v>
      </c>
      <c r="AB22" s="16">
        <f>August2026Primary_Tracking!X28</f>
        <v>7.0000000000000007E-2</v>
      </c>
      <c r="AC22" s="11">
        <f>August2026Primary_Tracking!Y28</f>
        <v>60</v>
      </c>
      <c r="AD22" s="13">
        <f>August2026Primary_Tracking!Z28</f>
        <v>1.3327410039982231E-2</v>
      </c>
      <c r="AE22" s="11">
        <f>August2026Primary_Tracking!AA28</f>
        <v>1324</v>
      </c>
      <c r="AF22" s="13">
        <f>August2026Primary_Tracking!AB28</f>
        <v>6.2159916243738232E-3</v>
      </c>
      <c r="AG22" s="16">
        <f>August2026Primary_Tracking!AC28</f>
        <v>7.0000000000000007E-2</v>
      </c>
      <c r="AH22" s="11">
        <f>August2026Primary_Tracking!AD28</f>
        <v>7</v>
      </c>
      <c r="AI22" s="13">
        <f>August2026Primary_Tracking!AE28</f>
        <v>1.4141414141414142E-2</v>
      </c>
      <c r="AJ22" s="11">
        <f>August2026Primary_Tracking!AF28</f>
        <v>1345</v>
      </c>
      <c r="AK22" s="13">
        <f>August2026Primary_Tracking!AG28</f>
        <v>6.2706593749854303E-3</v>
      </c>
      <c r="AL22" s="16">
        <f>August2026Primary_Tracking!AH28</f>
        <v>0.08</v>
      </c>
      <c r="AM22" s="11">
        <f>August2026Primary_Tracking!AI28</f>
        <v>21</v>
      </c>
      <c r="AN22" s="13">
        <f>August2026Primary_Tracking!AJ28</f>
        <v>1.4075067024128687E-2</v>
      </c>
    </row>
    <row r="23" spans="1:40" x14ac:dyDescent="0.3">
      <c r="A23" t="s">
        <v>319</v>
      </c>
      <c r="B23" t="s">
        <v>8</v>
      </c>
      <c r="C23" s="26">
        <f t="shared" si="6"/>
        <v>1656</v>
      </c>
      <c r="D23" s="1">
        <f t="shared" si="7"/>
        <v>7.720603661692099E-3</v>
      </c>
      <c r="E23">
        <f>August2026Primary_Tracking!E29</f>
        <v>1084</v>
      </c>
      <c r="F23" s="5">
        <f>August2026Primary_Tracking!F29</f>
        <v>7.8000000000000005E-3</v>
      </c>
      <c r="G23" s="13">
        <f t="shared" si="0"/>
        <v>0.65458937198067635</v>
      </c>
      <c r="H23" s="28">
        <f t="shared" si="1"/>
        <v>572</v>
      </c>
      <c r="I23" s="5">
        <f t="shared" si="11"/>
        <v>7.5070542686527988E-3</v>
      </c>
      <c r="J23" s="5">
        <f t="shared" si="10"/>
        <v>-2.9294573134720173E-4</v>
      </c>
      <c r="K23">
        <f>August2026Primary_Tracking!G29</f>
        <v>1342</v>
      </c>
      <c r="L23" s="5">
        <f>August2026Primary_Tracking!H29</f>
        <v>7.7000000000000002E-3</v>
      </c>
      <c r="M23">
        <f>August2026Primary_Tracking!I29</f>
        <v>-0.01</v>
      </c>
      <c r="N23">
        <f>August2026Primary_Tracking!J29</f>
        <v>258</v>
      </c>
      <c r="O23" s="5">
        <f>August2026Primary_Tracking!K29</f>
        <v>7.4000000000000003E-3</v>
      </c>
      <c r="P23" s="11">
        <f>August2026Primary_Tracking!L29</f>
        <v>1553</v>
      </c>
      <c r="Q23" s="13">
        <f>August2026Primary_Tracking!M29</f>
        <v>7.5976986751726972E-3</v>
      </c>
      <c r="R23" s="10">
        <f>August2026Primary_Tracking!N29</f>
        <v>-0.02</v>
      </c>
      <c r="S23" s="11">
        <f>August2026Primary_Tracking!O29</f>
        <v>211</v>
      </c>
      <c r="T23" s="13">
        <f>August2026Primary_Tracking!P29</f>
        <v>6.8961009249272802E-3</v>
      </c>
      <c r="U23" s="11">
        <f>August2026Primary_Tracking!Q29</f>
        <v>1585</v>
      </c>
      <c r="V23" s="13">
        <f>August2026Primary_Tracking!R29</f>
        <v>7.6201190373169489E-3</v>
      </c>
      <c r="W23" s="10">
        <f>August2026Primary_Tracking!S29</f>
        <v>-0.02</v>
      </c>
      <c r="X23" s="11">
        <f>August2026Primary_Tracking!T29</f>
        <v>32</v>
      </c>
      <c r="Y23" s="13">
        <f>August2026Primary_Tracking!U29</f>
        <v>8.8938299055030569E-3</v>
      </c>
      <c r="Z23" s="11">
        <f>August2026Primary_Tracking!V29</f>
        <v>1635</v>
      </c>
      <c r="AA23" s="13">
        <f>August2026Primary_Tracking!W29</f>
        <v>7.6939728193351651E-3</v>
      </c>
      <c r="AB23" s="16">
        <f>August2026Primary_Tracking!X29</f>
        <v>-0.01</v>
      </c>
      <c r="AC23" s="11">
        <f>August2026Primary_Tracking!Y29</f>
        <v>50</v>
      </c>
      <c r="AD23" s="13">
        <f>August2026Primary_Tracking!Z29</f>
        <v>1.1106175033318524E-2</v>
      </c>
      <c r="AE23" s="11">
        <f>August2026Primary_Tracking!AA29</f>
        <v>1638</v>
      </c>
      <c r="AF23" s="13">
        <f>August2026Primary_Tracking!AB29</f>
        <v>7.6901769491875549E-3</v>
      </c>
      <c r="AG23" s="16">
        <f>August2026Primary_Tracking!AC29</f>
        <v>-0.01</v>
      </c>
      <c r="AH23" s="11">
        <f>August2026Primary_Tracking!AD29</f>
        <v>3</v>
      </c>
      <c r="AI23" s="13">
        <f>August2026Primary_Tracking!AE29</f>
        <v>6.0606060606060606E-3</v>
      </c>
      <c r="AJ23" s="11">
        <f>August2026Primary_Tracking!AF29</f>
        <v>1656</v>
      </c>
      <c r="AK23" s="13">
        <f>August2026Primary_Tracking!AG29</f>
        <v>7.720603661692099E-3</v>
      </c>
      <c r="AL23" s="16">
        <f>August2026Primary_Tracking!AH29</f>
        <v>-0.01</v>
      </c>
      <c r="AM23" s="11">
        <f>August2026Primary_Tracking!AI29</f>
        <v>18</v>
      </c>
      <c r="AN23" s="13">
        <f>August2026Primary_Tracking!AJ29</f>
        <v>1.2064343163538873E-2</v>
      </c>
    </row>
    <row r="24" spans="1:40" x14ac:dyDescent="0.3">
      <c r="A24" t="s">
        <v>320</v>
      </c>
      <c r="B24" t="s">
        <v>9</v>
      </c>
      <c r="C24" s="26">
        <f t="shared" si="6"/>
        <v>2727</v>
      </c>
      <c r="D24" s="1">
        <f t="shared" si="7"/>
        <v>1.2713820160286446E-2</v>
      </c>
      <c r="E24">
        <f>August2026Primary_Tracking!E30</f>
        <v>1857</v>
      </c>
      <c r="F24" s="5">
        <f>August2026Primary_Tracking!F30</f>
        <v>1.3300000000000001E-2</v>
      </c>
      <c r="G24" s="13">
        <f t="shared" si="0"/>
        <v>0.68096809680968096</v>
      </c>
      <c r="H24" s="28">
        <f t="shared" si="1"/>
        <v>870</v>
      </c>
      <c r="I24" s="5">
        <f t="shared" si="11"/>
        <v>1.1418072051971914E-2</v>
      </c>
      <c r="J24" s="5">
        <f t="shared" si="10"/>
        <v>-1.8819279480280868E-3</v>
      </c>
      <c r="K24">
        <f>August2026Primary_Tracking!G30</f>
        <v>2165</v>
      </c>
      <c r="L24" s="5">
        <f>August2026Primary_Tracking!H30</f>
        <v>1.2500000000000001E-2</v>
      </c>
      <c r="M24">
        <f>August2026Primary_Tracking!I30</f>
        <v>-0.08</v>
      </c>
      <c r="N24">
        <f>August2026Primary_Tracking!J30</f>
        <v>308</v>
      </c>
      <c r="O24" s="5">
        <f>August2026Primary_Tracking!K30</f>
        <v>8.8999999999999999E-3</v>
      </c>
      <c r="P24" s="11">
        <f>August2026Primary_Tracking!L30</f>
        <v>2481</v>
      </c>
      <c r="Q24" s="13">
        <f>August2026Primary_Tracking!M30</f>
        <v>1.2137727246042151E-2</v>
      </c>
      <c r="R24" s="10">
        <f>August2026Primary_Tracking!N30</f>
        <v>-0.12</v>
      </c>
      <c r="S24" s="11">
        <f>August2026Primary_Tracking!O30</f>
        <v>316</v>
      </c>
      <c r="T24" s="13">
        <f>August2026Primary_Tracking!P30</f>
        <v>1.0327809916004837E-2</v>
      </c>
      <c r="U24" s="11">
        <f>August2026Primary_Tracking!Q30</f>
        <v>2550</v>
      </c>
      <c r="V24" s="13">
        <f>August2026Primary_Tracking!R30</f>
        <v>1.2259497504831685E-2</v>
      </c>
      <c r="W24" s="10">
        <f>August2026Primary_Tracking!S30</f>
        <v>-0.1</v>
      </c>
      <c r="X24" s="11">
        <f>August2026Primary_Tracking!T30</f>
        <v>69</v>
      </c>
      <c r="Y24" s="13">
        <f>August2026Primary_Tracking!U30</f>
        <v>1.9177320733740968E-2</v>
      </c>
      <c r="Z24" s="11">
        <f>August2026Primary_Tracking!V30</f>
        <v>2672</v>
      </c>
      <c r="AA24" s="13">
        <f>August2026Primary_Tracking!W30</f>
        <v>1.2573880962240712E-2</v>
      </c>
      <c r="AB24" s="16">
        <f>August2026Primary_Tracking!X30</f>
        <v>-7.0000000000000007E-2</v>
      </c>
      <c r="AC24" s="11">
        <f>August2026Primary_Tracking!Y30</f>
        <v>122</v>
      </c>
      <c r="AD24" s="13">
        <f>August2026Primary_Tracking!Z30</f>
        <v>2.7099067081297203E-2</v>
      </c>
      <c r="AE24" s="11">
        <f>August2026Primary_Tracking!AA30</f>
        <v>2688</v>
      </c>
      <c r="AF24" s="13">
        <f>August2026Primary_Tracking!AB30</f>
        <v>1.2619777557641116E-2</v>
      </c>
      <c r="AG24" s="16">
        <f>August2026Primary_Tracking!AC30</f>
        <v>-7.0000000000000007E-2</v>
      </c>
      <c r="AH24" s="11">
        <f>August2026Primary_Tracking!AD30</f>
        <v>16</v>
      </c>
      <c r="AI24" s="13">
        <f>August2026Primary_Tracking!AE30</f>
        <v>3.2323232323232323E-2</v>
      </c>
      <c r="AJ24" s="11">
        <f>August2026Primary_Tracking!AF30</f>
        <v>2727</v>
      </c>
      <c r="AK24" s="13">
        <f>August2026Primary_Tracking!AG30</f>
        <v>1.2713820160286446E-2</v>
      </c>
      <c r="AL24" s="16">
        <f>August2026Primary_Tracking!AH30</f>
        <v>-0.06</v>
      </c>
      <c r="AM24" s="11">
        <f>August2026Primary_Tracking!AI30</f>
        <v>39</v>
      </c>
      <c r="AN24" s="13">
        <f>August2026Primary_Tracking!AJ30</f>
        <v>2.613941018766756E-2</v>
      </c>
    </row>
    <row r="25" spans="1:40" s="2" customFormat="1" x14ac:dyDescent="0.3">
      <c r="A25" s="2" t="s">
        <v>321</v>
      </c>
      <c r="B25" s="2" t="s">
        <v>298</v>
      </c>
      <c r="C25" s="25">
        <f t="shared" si="6"/>
        <v>145781</v>
      </c>
      <c r="D25" s="3">
        <f t="shared" si="7"/>
        <v>0</v>
      </c>
      <c r="E25" s="2">
        <f>August2026Primary_Tracking!E34</f>
        <v>75273</v>
      </c>
      <c r="F25" s="4" t="str">
        <f>August2026Primary_Tracking!F34</f>
        <v/>
      </c>
      <c r="G25" s="4">
        <f t="shared" si="0"/>
        <v>0.51634300766217822</v>
      </c>
      <c r="H25" s="27">
        <f t="shared" si="1"/>
        <v>70508</v>
      </c>
      <c r="I25" s="4"/>
      <c r="J25" s="4"/>
      <c r="K25" s="2">
        <f>August2026Primary_Tracking!G34</f>
        <v>93309</v>
      </c>
      <c r="L25" s="4" t="str">
        <f>August2026Primary_Tracking!H34</f>
        <v/>
      </c>
      <c r="M25" s="2" t="str">
        <f>August2026Primary_Tracking!I34</f>
        <v/>
      </c>
      <c r="N25" s="2">
        <f>August2026Primary_Tracking!J34</f>
        <v>18036</v>
      </c>
      <c r="O25" s="4" t="str">
        <f>August2026Primary_Tracking!K34</f>
        <v/>
      </c>
      <c r="P25" s="7">
        <f>August2026Primary_Tracking!L34</f>
        <v>106450</v>
      </c>
      <c r="Q25" s="4" t="str">
        <f>August2026Primary_Tracking!M34</f>
        <v/>
      </c>
      <c r="R25" s="9" t="str">
        <f>August2026Primary_Tracking!N34</f>
        <v/>
      </c>
      <c r="S25" s="7">
        <f>August2026Primary_Tracking!O34</f>
        <v>13141</v>
      </c>
      <c r="T25" s="4" t="str">
        <f>August2026Primary_Tracking!P34</f>
        <v/>
      </c>
      <c r="U25" s="7">
        <f>August2026Primary_Tracking!Q34</f>
        <v>135665</v>
      </c>
      <c r="V25" s="4" t="str">
        <f>August2026Primary_Tracking!R34</f>
        <v/>
      </c>
      <c r="W25" s="9" t="str">
        <f>August2026Primary_Tracking!S34</f>
        <v/>
      </c>
      <c r="X25" s="7">
        <f>August2026Primary_Tracking!T34</f>
        <v>29215</v>
      </c>
      <c r="Y25" s="4" t="str">
        <f>August2026Primary_Tracking!U34</f>
        <v/>
      </c>
      <c r="Z25" s="7">
        <f>August2026Primary_Tracking!V34</f>
        <v>143270</v>
      </c>
      <c r="AA25" s="4">
        <f>August2026Primary_Tracking!W34</f>
        <v>0</v>
      </c>
      <c r="AB25" s="30">
        <f>August2026Primary_Tracking!X34</f>
        <v>0</v>
      </c>
      <c r="AC25" s="7">
        <f>August2026Primary_Tracking!Y34</f>
        <v>7605</v>
      </c>
      <c r="AD25" s="4">
        <f>August2026Primary_Tracking!Z34</f>
        <v>0</v>
      </c>
      <c r="AE25" s="7">
        <f>August2026Primary_Tracking!AA34</f>
        <v>144687</v>
      </c>
      <c r="AF25" s="4">
        <f>August2026Primary_Tracking!AB34</f>
        <v>0</v>
      </c>
      <c r="AG25" s="30">
        <f>August2026Primary_Tracking!AC34</f>
        <v>0</v>
      </c>
      <c r="AH25" s="7">
        <f>August2026Primary_Tracking!AD34</f>
        <v>1417</v>
      </c>
      <c r="AI25" s="4">
        <f>August2026Primary_Tracking!AE34</f>
        <v>0</v>
      </c>
      <c r="AJ25" s="7">
        <f>August2026Primary_Tracking!AF34</f>
        <v>145781</v>
      </c>
      <c r="AK25" s="4">
        <f>August2026Primary_Tracking!AG34</f>
        <v>0</v>
      </c>
      <c r="AL25" s="30">
        <f>August2026Primary_Tracking!AH34</f>
        <v>0</v>
      </c>
      <c r="AM25" s="7">
        <f>August2026Primary_Tracking!AI34</f>
        <v>1094</v>
      </c>
      <c r="AN25" s="4">
        <f>August2026Primary_Tracking!AJ34</f>
        <v>0</v>
      </c>
    </row>
    <row r="26" spans="1:40" x14ac:dyDescent="0.3">
      <c r="A26" t="s">
        <v>322</v>
      </c>
      <c r="B26" t="s">
        <v>11</v>
      </c>
      <c r="C26" s="26">
        <f t="shared" si="6"/>
        <v>2214</v>
      </c>
      <c r="D26" s="1">
        <f t="shared" si="7"/>
        <v>1.5519308009897589E-2</v>
      </c>
      <c r="E26">
        <f>August2026Primary_Tracking!E35</f>
        <v>1198</v>
      </c>
      <c r="F26" s="5">
        <f>August2026Primary_Tracking!F35</f>
        <v>1.6299999999999999E-2</v>
      </c>
      <c r="G26" s="13">
        <f t="shared" si="0"/>
        <v>0.54110207768744356</v>
      </c>
      <c r="H26" s="28">
        <f t="shared" si="1"/>
        <v>1016</v>
      </c>
      <c r="I26" s="5">
        <f>H26/H$25</f>
        <v>1.440971237306405E-2</v>
      </c>
      <c r="J26" s="5">
        <f t="shared" ref="J26:J89" si="12">I26-F26</f>
        <v>-1.8902876269359485E-3</v>
      </c>
      <c r="K26">
        <f>August2026Primary_Tracking!G35</f>
        <v>1451</v>
      </c>
      <c r="L26" s="5">
        <f>August2026Primary_Tracking!H35</f>
        <v>1.5900000000000001E-2</v>
      </c>
      <c r="M26">
        <f>August2026Primary_Tracking!I35</f>
        <v>-0.04</v>
      </c>
      <c r="N26">
        <f>August2026Primary_Tracking!J35</f>
        <v>253</v>
      </c>
      <c r="O26" s="5">
        <f>August2026Primary_Tracking!K35</f>
        <v>1.44E-2</v>
      </c>
      <c r="P26" s="11">
        <f>August2026Primary_Tracking!L35</f>
        <v>1606</v>
      </c>
      <c r="Q26" s="13">
        <f>August2026Primary_Tracking!M35</f>
        <v>1.542865926295969E-2</v>
      </c>
      <c r="R26" s="10">
        <f>August2026Primary_Tracking!N35</f>
        <v>-0.09</v>
      </c>
      <c r="S26" s="11">
        <f>August2026Primary_Tracking!O35</f>
        <v>155</v>
      </c>
      <c r="T26" s="13">
        <f>August2026Primary_Tracking!P35</f>
        <v>1.199411901261317E-2</v>
      </c>
      <c r="U26" s="11">
        <f>August2026Primary_Tracking!Q35</f>
        <v>2078</v>
      </c>
      <c r="V26" s="13">
        <f>August2026Primary_Tracking!R35</f>
        <v>1.5637934407970983E-2</v>
      </c>
      <c r="W26" s="10">
        <f>August2026Primary_Tracking!S35</f>
        <v>-7.0000000000000007E-2</v>
      </c>
      <c r="X26" s="11">
        <f>August2026Primary_Tracking!T35</f>
        <v>472</v>
      </c>
      <c r="Y26" s="13">
        <f>August2026Primary_Tracking!U35</f>
        <v>1.6394581451893018E-2</v>
      </c>
      <c r="Z26" s="11">
        <f>August2026Primary_Tracking!V35</f>
        <v>2184</v>
      </c>
      <c r="AA26" s="13">
        <f>August2026Primary_Tracking!W35</f>
        <v>1.5573302909298346E-2</v>
      </c>
      <c r="AB26" s="16">
        <f>August2026Primary_Tracking!X35</f>
        <v>-7.0000000000000007E-2</v>
      </c>
      <c r="AC26" s="11">
        <f>August2026Primary_Tracking!Y35</f>
        <v>106</v>
      </c>
      <c r="AD26" s="13">
        <f>August2026Primary_Tracking!Z35</f>
        <v>1.4406088611035607E-2</v>
      </c>
      <c r="AE26" s="11">
        <f>August2026Primary_Tracking!AA35</f>
        <v>2204</v>
      </c>
      <c r="AF26" s="13">
        <f>August2026Primary_Tracking!AB35</f>
        <v>1.5563652797785498E-2</v>
      </c>
      <c r="AG26" s="16">
        <f>August2026Primary_Tracking!AC35</f>
        <v>-7.0000000000000007E-2</v>
      </c>
      <c r="AH26" s="11">
        <f>August2026Primary_Tracking!AD35</f>
        <v>20</v>
      </c>
      <c r="AI26" s="13">
        <f>August2026Primary_Tracking!AE35</f>
        <v>1.4577259475218658E-2</v>
      </c>
      <c r="AJ26" s="11">
        <f>August2026Primary_Tracking!AF35</f>
        <v>2214</v>
      </c>
      <c r="AK26" s="13">
        <f>August2026Primary_Tracking!AG35</f>
        <v>1.5519308009897589E-2</v>
      </c>
      <c r="AL26" s="16">
        <f>August2026Primary_Tracking!AH35</f>
        <v>-0.08</v>
      </c>
      <c r="AM26" s="11">
        <f>August2026Primary_Tracking!AI35</f>
        <v>10</v>
      </c>
      <c r="AN26" s="13">
        <f>August2026Primary_Tracking!AJ35</f>
        <v>9.5328884652049577E-3</v>
      </c>
    </row>
    <row r="27" spans="1:40" x14ac:dyDescent="0.3">
      <c r="A27" t="s">
        <v>323</v>
      </c>
      <c r="B27" t="s">
        <v>9</v>
      </c>
      <c r="C27" s="26">
        <f t="shared" si="6"/>
        <v>49652</v>
      </c>
      <c r="D27" s="1">
        <f t="shared" si="7"/>
        <v>0.34804186147580629</v>
      </c>
      <c r="E27">
        <f>August2026Primary_Tracking!E36</f>
        <v>25633</v>
      </c>
      <c r="F27" s="5">
        <f>August2026Primary_Tracking!F36</f>
        <v>0.34850000000000003</v>
      </c>
      <c r="G27" s="13">
        <f t="shared" si="0"/>
        <v>0.51625312172722149</v>
      </c>
      <c r="H27" s="28">
        <f t="shared" si="1"/>
        <v>24019</v>
      </c>
      <c r="I27" s="5">
        <f t="shared" ref="I27:I36" si="13">H27/H$25</f>
        <v>0.34065637941793842</v>
      </c>
      <c r="J27" s="5">
        <f t="shared" si="12"/>
        <v>-7.8436205820616167E-3</v>
      </c>
      <c r="K27">
        <f>August2026Primary_Tracking!G36</f>
        <v>31557</v>
      </c>
      <c r="L27" s="5">
        <f>August2026Primary_Tracking!H36</f>
        <v>0.34610000000000002</v>
      </c>
      <c r="M27">
        <f>August2026Primary_Tracking!I36</f>
        <v>-0.24</v>
      </c>
      <c r="N27">
        <f>August2026Primary_Tracking!J36</f>
        <v>5924</v>
      </c>
      <c r="O27" s="5">
        <f>August2026Primary_Tracking!K36</f>
        <v>0.33630000000000004</v>
      </c>
      <c r="P27" s="11">
        <f>August2026Primary_Tracking!L36</f>
        <v>36405</v>
      </c>
      <c r="Q27" s="13">
        <f>August2026Primary_Tracking!M36</f>
        <v>0.34973869269492375</v>
      </c>
      <c r="R27" s="10">
        <f>August2026Primary_Tracking!N36</f>
        <v>0.12</v>
      </c>
      <c r="S27" s="11">
        <f>August2026Primary_Tracking!O36</f>
        <v>4848</v>
      </c>
      <c r="T27" s="13">
        <f>August2026Primary_Tracking!P36</f>
        <v>0.37514509014934611</v>
      </c>
      <c r="U27" s="11">
        <f>August2026Primary_Tracking!Q36</f>
        <v>46057</v>
      </c>
      <c r="V27" s="13">
        <f>August2026Primary_Tracking!R36</f>
        <v>0.34660074351680437</v>
      </c>
      <c r="W27" s="10">
        <f>August2026Primary_Tracking!S36</f>
        <v>-0.19</v>
      </c>
      <c r="X27" s="11">
        <f>August2026Primary_Tracking!T36</f>
        <v>9652</v>
      </c>
      <c r="Y27" s="13">
        <f>August2026Primary_Tracking!U36</f>
        <v>0.3352552969781174</v>
      </c>
      <c r="Z27" s="11">
        <f>August2026Primary_Tracking!V36</f>
        <v>48817</v>
      </c>
      <c r="AA27" s="13">
        <f>August2026Primary_Tracking!W36</f>
        <v>0.3480961209355391</v>
      </c>
      <c r="AB27" s="16">
        <f>August2026Primary_Tracking!X36</f>
        <v>-0.04</v>
      </c>
      <c r="AC27" s="11">
        <f>August2026Primary_Tracking!Y36</f>
        <v>2760</v>
      </c>
      <c r="AD27" s="13">
        <f>August2026Primary_Tracking!Z36</f>
        <v>0.37510192987224789</v>
      </c>
      <c r="AE27" s="11">
        <f>August2026Primary_Tracking!AA36</f>
        <v>49340</v>
      </c>
      <c r="AF27" s="13">
        <f>August2026Primary_Tracking!AB36</f>
        <v>0.34841680083608734</v>
      </c>
      <c r="AG27" s="16">
        <f>August2026Primary_Tracking!AC36</f>
        <v>-0.01</v>
      </c>
      <c r="AH27" s="11">
        <f>August2026Primary_Tracking!AD36</f>
        <v>523</v>
      </c>
      <c r="AI27" s="13">
        <f>August2026Primary_Tracking!AE36</f>
        <v>0.38119533527696792</v>
      </c>
      <c r="AJ27" s="11">
        <f>August2026Primary_Tracking!AF36</f>
        <v>49652</v>
      </c>
      <c r="AK27" s="13">
        <f>August2026Primary_Tracking!AG36</f>
        <v>0.34804186147580629</v>
      </c>
      <c r="AL27" s="16">
        <f>August2026Primary_Tracking!AH36</f>
        <v>-0.05</v>
      </c>
      <c r="AM27" s="11">
        <f>August2026Primary_Tracking!AI36</f>
        <v>312</v>
      </c>
      <c r="AN27" s="13">
        <f>August2026Primary_Tracking!AJ36</f>
        <v>0.29742612011439468</v>
      </c>
    </row>
    <row r="28" spans="1:40" x14ac:dyDescent="0.3">
      <c r="A28" t="s">
        <v>324</v>
      </c>
      <c r="B28" t="s">
        <v>8</v>
      </c>
      <c r="C28" s="26">
        <f t="shared" si="6"/>
        <v>42681</v>
      </c>
      <c r="D28" s="1">
        <f t="shared" si="7"/>
        <v>0.2991777710796924</v>
      </c>
      <c r="E28">
        <f>August2026Primary_Tracking!E37</f>
        <v>22657</v>
      </c>
      <c r="F28" s="5">
        <f>August2026Primary_Tracking!F37</f>
        <v>0.308</v>
      </c>
      <c r="G28" s="13">
        <f t="shared" si="0"/>
        <v>0.53084510672196061</v>
      </c>
      <c r="H28" s="28">
        <f t="shared" si="1"/>
        <v>20024</v>
      </c>
      <c r="I28" s="5">
        <f t="shared" si="13"/>
        <v>0.28399614228172687</v>
      </c>
      <c r="J28" s="5">
        <f t="shared" si="12"/>
        <v>-2.4003857718273125E-2</v>
      </c>
      <c r="K28">
        <f>August2026Primary_Tracking!G37</f>
        <v>27963</v>
      </c>
      <c r="L28" s="5">
        <f>August2026Primary_Tracking!H37</f>
        <v>0.30670000000000003</v>
      </c>
      <c r="M28">
        <f>August2026Primary_Tracking!I37</f>
        <v>-0.13</v>
      </c>
      <c r="N28">
        <f>August2026Primary_Tracking!J37</f>
        <v>5306</v>
      </c>
      <c r="O28" s="5">
        <f>August2026Primary_Tracking!K37</f>
        <v>0.30120000000000002</v>
      </c>
      <c r="P28" s="11">
        <f>August2026Primary_Tracking!L37</f>
        <v>31659</v>
      </c>
      <c r="Q28" s="13">
        <f>August2026Primary_Tracking!M37</f>
        <v>0.30414441071359949</v>
      </c>
      <c r="R28" s="10">
        <f>August2026Primary_Tracking!N37</f>
        <v>-0.39</v>
      </c>
      <c r="S28" s="11">
        <f>August2026Primary_Tracking!O37</f>
        <v>3696</v>
      </c>
      <c r="T28" s="13">
        <f>August2026Primary_Tracking!P37</f>
        <v>0.28600170239108569</v>
      </c>
      <c r="U28" s="11">
        <f>August2026Primary_Tracking!Q37</f>
        <v>39911</v>
      </c>
      <c r="V28" s="13">
        <f>August2026Primary_Tracking!R37</f>
        <v>0.30034918198100569</v>
      </c>
      <c r="W28" s="10">
        <f>August2026Primary_Tracking!S37</f>
        <v>-0.77</v>
      </c>
      <c r="X28" s="11">
        <f>August2026Primary_Tracking!T37</f>
        <v>8252</v>
      </c>
      <c r="Y28" s="13">
        <f>August2026Primary_Tracking!U37</f>
        <v>0.28662730114623131</v>
      </c>
      <c r="Z28" s="11">
        <f>August2026Primary_Tracking!V37</f>
        <v>41998</v>
      </c>
      <c r="AA28" s="13">
        <f>August2026Primary_Tracking!W37</f>
        <v>0.29947233314318311</v>
      </c>
      <c r="AB28" s="16">
        <f>August2026Primary_Tracking!X37</f>
        <v>-0.85</v>
      </c>
      <c r="AC28" s="11">
        <f>August2026Primary_Tracking!Y37</f>
        <v>2087</v>
      </c>
      <c r="AD28" s="13">
        <f>August2026Primary_Tracking!Z37</f>
        <v>0.28363685784180481</v>
      </c>
      <c r="AE28" s="11">
        <f>August2026Primary_Tracking!AA37</f>
        <v>42354</v>
      </c>
      <c r="AF28" s="13">
        <f>August2026Primary_Tracking!AB37</f>
        <v>0.29908482332005765</v>
      </c>
      <c r="AG28" s="16">
        <f>August2026Primary_Tracking!AC37</f>
        <v>-0.89</v>
      </c>
      <c r="AH28" s="11">
        <f>August2026Primary_Tracking!AD37</f>
        <v>356</v>
      </c>
      <c r="AI28" s="13">
        <f>August2026Primary_Tracking!AE37</f>
        <v>0.25947521865889212</v>
      </c>
      <c r="AJ28" s="11">
        <f>August2026Primary_Tracking!AF37</f>
        <v>42681</v>
      </c>
      <c r="AK28" s="13">
        <f>August2026Primary_Tracking!AG37</f>
        <v>0.2991777710796924</v>
      </c>
      <c r="AL28" s="16">
        <f>August2026Primary_Tracking!AH37</f>
        <v>-0.88</v>
      </c>
      <c r="AM28" s="11">
        <f>August2026Primary_Tracking!AI37</f>
        <v>327</v>
      </c>
      <c r="AN28" s="13">
        <f>August2026Primary_Tracking!AJ37</f>
        <v>0.3117254528122021</v>
      </c>
    </row>
    <row r="29" spans="1:40" x14ac:dyDescent="0.3">
      <c r="A29" t="s">
        <v>325</v>
      </c>
      <c r="B29" t="s">
        <v>9</v>
      </c>
      <c r="C29" s="26">
        <f t="shared" si="6"/>
        <v>1695</v>
      </c>
      <c r="D29" s="1">
        <f t="shared" si="7"/>
        <v>1.1881313042807776E-2</v>
      </c>
      <c r="E29">
        <f>August2026Primary_Tracking!E38</f>
        <v>925</v>
      </c>
      <c r="F29" s="5">
        <f>August2026Primary_Tracking!F38</f>
        <v>1.26E-2</v>
      </c>
      <c r="G29" s="13">
        <f t="shared" si="0"/>
        <v>0.54572271386430682</v>
      </c>
      <c r="H29" s="28">
        <f t="shared" si="1"/>
        <v>770</v>
      </c>
      <c r="I29" s="5">
        <f t="shared" si="13"/>
        <v>1.0920746581948148E-2</v>
      </c>
      <c r="J29" s="5">
        <f t="shared" si="12"/>
        <v>-1.6792534180518522E-3</v>
      </c>
      <c r="K29">
        <f>August2026Primary_Tracking!G38</f>
        <v>1072</v>
      </c>
      <c r="L29" s="5">
        <f>August2026Primary_Tracking!H38</f>
        <v>1.18E-2</v>
      </c>
      <c r="M29">
        <f>August2026Primary_Tracking!I38</f>
        <v>-0.08</v>
      </c>
      <c r="N29">
        <f>August2026Primary_Tracking!J38</f>
        <v>147</v>
      </c>
      <c r="O29" s="5">
        <f>August2026Primary_Tracking!K38</f>
        <v>8.3000000000000001E-3</v>
      </c>
      <c r="P29" s="11">
        <f>August2026Primary_Tracking!L38</f>
        <v>1201</v>
      </c>
      <c r="Q29" s="13">
        <f>August2026Primary_Tracking!M38</f>
        <v>1.1537870345463629E-2</v>
      </c>
      <c r="R29" s="10">
        <f>August2026Primary_Tracking!N38</f>
        <v>-0.11</v>
      </c>
      <c r="S29" s="11">
        <f>August2026Primary_Tracking!O38</f>
        <v>129</v>
      </c>
      <c r="T29" s="13">
        <f>August2026Primary_Tracking!P38</f>
        <v>9.9822022750135422E-3</v>
      </c>
      <c r="U29" s="11">
        <f>August2026Primary_Tracking!Q38</f>
        <v>1514</v>
      </c>
      <c r="V29" s="13">
        <f>August2026Primary_Tracking!R38</f>
        <v>1.1393567225056817E-2</v>
      </c>
      <c r="W29" s="10">
        <f>August2026Primary_Tracking!S38</f>
        <v>-0.12</v>
      </c>
      <c r="X29" s="11">
        <f>August2026Primary_Tracking!T38</f>
        <v>313</v>
      </c>
      <c r="Y29" s="13">
        <f>August2026Primary_Tracking!U38</f>
        <v>1.0871830496700242E-2</v>
      </c>
      <c r="Z29" s="11">
        <f>August2026Primary_Tracking!V38</f>
        <v>1644</v>
      </c>
      <c r="AA29" s="13">
        <f>August2026Primary_Tracking!W38</f>
        <v>1.1722760981175128E-2</v>
      </c>
      <c r="AB29" s="16">
        <f>August2026Primary_Tracking!X38</f>
        <v>-0.09</v>
      </c>
      <c r="AC29" s="11">
        <f>August2026Primary_Tracking!Y38</f>
        <v>130</v>
      </c>
      <c r="AD29" s="13">
        <f>August2026Primary_Tracking!Z38</f>
        <v>1.7667844522968199E-2</v>
      </c>
      <c r="AE29" s="11">
        <f>August2026Primary_Tracking!AA38</f>
        <v>1678</v>
      </c>
      <c r="AF29" s="13">
        <f>August2026Primary_Tracking!AB38</f>
        <v>1.1849278309747762E-2</v>
      </c>
      <c r="AG29" s="16">
        <f>August2026Primary_Tracking!AC38</f>
        <v>-0.08</v>
      </c>
      <c r="AH29" s="11">
        <f>August2026Primary_Tracking!AD38</f>
        <v>34</v>
      </c>
      <c r="AI29" s="13">
        <f>August2026Primary_Tracking!AE38</f>
        <v>2.478134110787172E-2</v>
      </c>
      <c r="AJ29" s="11">
        <f>August2026Primary_Tracking!AF38</f>
        <v>1695</v>
      </c>
      <c r="AK29" s="13">
        <f>August2026Primary_Tracking!AG38</f>
        <v>1.1881313042807776E-2</v>
      </c>
      <c r="AL29" s="16">
        <f>August2026Primary_Tracking!AH38</f>
        <v>-7.0000000000000007E-2</v>
      </c>
      <c r="AM29" s="11">
        <f>August2026Primary_Tracking!AI38</f>
        <v>17</v>
      </c>
      <c r="AN29" s="13">
        <f>August2026Primary_Tracking!AJ38</f>
        <v>1.6205910390848427E-2</v>
      </c>
    </row>
    <row r="30" spans="1:40" x14ac:dyDescent="0.3">
      <c r="A30" t="s">
        <v>326</v>
      </c>
      <c r="B30" t="s">
        <v>11</v>
      </c>
      <c r="C30" s="26">
        <f t="shared" si="6"/>
        <v>5776</v>
      </c>
      <c r="D30" s="1">
        <f t="shared" si="7"/>
        <v>4.0487589460329029E-2</v>
      </c>
      <c r="E30">
        <f>August2026Primary_Tracking!E39</f>
        <v>2761</v>
      </c>
      <c r="F30" s="5">
        <f>August2026Primary_Tracking!F39</f>
        <v>3.7499999999999999E-2</v>
      </c>
      <c r="G30" s="13">
        <f t="shared" si="0"/>
        <v>0.47801246537396119</v>
      </c>
      <c r="H30" s="28">
        <f t="shared" si="1"/>
        <v>3015</v>
      </c>
      <c r="I30" s="5">
        <f t="shared" si="13"/>
        <v>4.276110512282294E-2</v>
      </c>
      <c r="J30" s="5">
        <f t="shared" si="12"/>
        <v>5.2611051228229413E-3</v>
      </c>
      <c r="K30">
        <f>August2026Primary_Tracking!G39</f>
        <v>3514</v>
      </c>
      <c r="L30" s="5">
        <f>August2026Primary_Tracking!H39</f>
        <v>3.85E-2</v>
      </c>
      <c r="M30">
        <f>August2026Primary_Tracking!I39</f>
        <v>0.1</v>
      </c>
      <c r="N30">
        <f>August2026Primary_Tracking!J39</f>
        <v>753</v>
      </c>
      <c r="O30" s="5">
        <f>August2026Primary_Tracking!K39</f>
        <v>4.2699999999999995E-2</v>
      </c>
      <c r="P30" s="11">
        <f>August2026Primary_Tracking!L39</f>
        <v>4194</v>
      </c>
      <c r="Q30" s="13">
        <f>August2026Primary_Tracking!M39</f>
        <v>4.029128079007032E-2</v>
      </c>
      <c r="R30" s="10">
        <f>August2026Primary_Tracking!N39</f>
        <v>0.28000000000000003</v>
      </c>
      <c r="S30" s="11">
        <f>August2026Primary_Tracking!O39</f>
        <v>680</v>
      </c>
      <c r="T30" s="13">
        <f>August2026Primary_Tracking!P39</f>
        <v>5.2619360829528748E-2</v>
      </c>
      <c r="U30" s="11">
        <f>August2026Primary_Tracking!Q39</f>
        <v>5342</v>
      </c>
      <c r="V30" s="13">
        <f>August2026Primary_Tracking!R39</f>
        <v>4.0201080658027424E-2</v>
      </c>
      <c r="W30" s="10">
        <f>August2026Primary_Tracking!S39</f>
        <v>0.27</v>
      </c>
      <c r="X30" s="11">
        <f>August2026Primary_Tracking!T39</f>
        <v>1148</v>
      </c>
      <c r="Y30" s="13">
        <f>August2026Primary_Tracking!U39</f>
        <v>3.9874956582146577E-2</v>
      </c>
      <c r="Z30" s="11">
        <f>August2026Primary_Tracking!V39</f>
        <v>5655</v>
      </c>
      <c r="AA30" s="13">
        <f>August2026Primary_Tracking!W39</f>
        <v>4.0323730747290357E-2</v>
      </c>
      <c r="AB30" s="16">
        <f>August2026Primary_Tracking!X39</f>
        <v>0.28000000000000003</v>
      </c>
      <c r="AC30" s="11">
        <f>August2026Primary_Tracking!Y39</f>
        <v>313</v>
      </c>
      <c r="AD30" s="13">
        <f>August2026Primary_Tracking!Z39</f>
        <v>4.2538733351454201E-2</v>
      </c>
      <c r="AE30" s="11">
        <f>August2026Primary_Tracking!AA39</f>
        <v>5702</v>
      </c>
      <c r="AF30" s="13">
        <f>August2026Primary_Tracking!AB39</f>
        <v>4.0264949298082081E-2</v>
      </c>
      <c r="AG30" s="16">
        <f>August2026Primary_Tracking!AC39</f>
        <v>0.28000000000000003</v>
      </c>
      <c r="AH30" s="11">
        <f>August2026Primary_Tracking!AD39</f>
        <v>47</v>
      </c>
      <c r="AI30" s="13">
        <f>August2026Primary_Tracking!AE39</f>
        <v>3.4256559766763846E-2</v>
      </c>
      <c r="AJ30" s="11">
        <f>August2026Primary_Tracking!AF39</f>
        <v>5776</v>
      </c>
      <c r="AK30" s="13">
        <f>August2026Primary_Tracking!AG39</f>
        <v>4.0487589460329029E-2</v>
      </c>
      <c r="AL30" s="16">
        <f>August2026Primary_Tracking!AH39</f>
        <v>0.3</v>
      </c>
      <c r="AM30" s="11">
        <f>August2026Primary_Tracking!AI39</f>
        <v>74</v>
      </c>
      <c r="AN30" s="13">
        <f>August2026Primary_Tracking!AJ39</f>
        <v>7.0543374642516685E-2</v>
      </c>
    </row>
    <row r="31" spans="1:40" x14ac:dyDescent="0.3">
      <c r="A31" t="s">
        <v>327</v>
      </c>
      <c r="B31" t="s">
        <v>9</v>
      </c>
      <c r="C31" s="26">
        <f t="shared" si="6"/>
        <v>20808</v>
      </c>
      <c r="D31" s="1">
        <f t="shared" si="7"/>
        <v>0.14585626064586676</v>
      </c>
      <c r="E31">
        <f>August2026Primary_Tracking!E40</f>
        <v>10426</v>
      </c>
      <c r="F31" s="5">
        <f>August2026Primary_Tracking!F40</f>
        <v>0.14169999999999999</v>
      </c>
      <c r="G31" s="13">
        <f t="shared" si="0"/>
        <v>0.50105728565936181</v>
      </c>
      <c r="H31" s="28">
        <f t="shared" si="1"/>
        <v>10382</v>
      </c>
      <c r="I31" s="5">
        <f t="shared" si="13"/>
        <v>0.14724570261530606</v>
      </c>
      <c r="J31" s="5">
        <f t="shared" si="12"/>
        <v>5.5457026153060696E-3</v>
      </c>
      <c r="K31">
        <f>August2026Primary_Tracking!G40</f>
        <v>12854</v>
      </c>
      <c r="L31" s="5">
        <f>August2026Primary_Tracking!H40</f>
        <v>0.14099999999999999</v>
      </c>
      <c r="M31">
        <f>August2026Primary_Tracking!I40</f>
        <v>-7.0000000000000007E-2</v>
      </c>
      <c r="N31">
        <f>August2026Primary_Tracking!J40</f>
        <v>2428</v>
      </c>
      <c r="O31" s="5">
        <f>August2026Primary_Tracking!K40</f>
        <v>0.13780000000000001</v>
      </c>
      <c r="P31" s="11">
        <f>August2026Primary_Tracking!L40</f>
        <v>15035</v>
      </c>
      <c r="Q31" s="13">
        <f>August2026Primary_Tracking!M40</f>
        <v>0.14443953425815625</v>
      </c>
      <c r="R31" s="10">
        <f>August2026Primary_Tracking!N40</f>
        <v>0.27</v>
      </c>
      <c r="S31" s="11">
        <f>August2026Primary_Tracking!O40</f>
        <v>2181</v>
      </c>
      <c r="T31" s="13">
        <f>August2026Primary_Tracking!P40</f>
        <v>0.16876886171941499</v>
      </c>
      <c r="U31" s="11">
        <f>August2026Primary_Tracking!Q40</f>
        <v>19168</v>
      </c>
      <c r="V31" s="13">
        <f>August2026Primary_Tracking!R40</f>
        <v>0.14424828042925303</v>
      </c>
      <c r="W31" s="10">
        <f>August2026Primary_Tracking!S40</f>
        <v>0.25</v>
      </c>
      <c r="X31" s="11">
        <f>August2026Primary_Tracking!T40</f>
        <v>4133</v>
      </c>
      <c r="Y31" s="13">
        <f>August2026Primary_Tracking!U40</f>
        <v>0.1435567905522751</v>
      </c>
      <c r="Z31" s="11">
        <f>August2026Primary_Tracking!V40</f>
        <v>20415</v>
      </c>
      <c r="AA31" s="13">
        <f>August2026Primary_Tracking!W40</f>
        <v>0.14557187678265829</v>
      </c>
      <c r="AB31" s="16">
        <f>August2026Primary_Tracking!X40</f>
        <v>0.39</v>
      </c>
      <c r="AC31" s="11">
        <f>August2026Primary_Tracking!Y40</f>
        <v>1247</v>
      </c>
      <c r="AD31" s="13">
        <f>August2026Primary_Tracking!Z40</f>
        <v>0.16947540092416419</v>
      </c>
      <c r="AE31" s="11">
        <f>August2026Primary_Tracking!AA40</f>
        <v>20653</v>
      </c>
      <c r="AF31" s="13">
        <f>August2026Primary_Tracking!AB40</f>
        <v>0.14584216026890376</v>
      </c>
      <c r="AG31" s="16">
        <f>August2026Primary_Tracking!AC40</f>
        <v>0.41</v>
      </c>
      <c r="AH31" s="11">
        <f>August2026Primary_Tracking!AD40</f>
        <v>238</v>
      </c>
      <c r="AI31" s="13">
        <f>August2026Primary_Tracking!AE40</f>
        <v>0.17346938775510204</v>
      </c>
      <c r="AJ31" s="11">
        <f>August2026Primary_Tracking!AF40</f>
        <v>20808</v>
      </c>
      <c r="AK31" s="13">
        <f>August2026Primary_Tracking!AG40</f>
        <v>0.14585626064586676</v>
      </c>
      <c r="AL31" s="16">
        <f>August2026Primary_Tracking!AH40</f>
        <v>0.42</v>
      </c>
      <c r="AM31" s="11">
        <f>August2026Primary_Tracking!AI40</f>
        <v>155</v>
      </c>
      <c r="AN31" s="13">
        <f>August2026Primary_Tracking!AJ40</f>
        <v>0.14775977121067682</v>
      </c>
    </row>
    <row r="32" spans="1:40" x14ac:dyDescent="0.3">
      <c r="A32" t="s">
        <v>328</v>
      </c>
      <c r="B32" t="s">
        <v>11</v>
      </c>
      <c r="C32" s="26">
        <f t="shared" si="6"/>
        <v>1956</v>
      </c>
      <c r="D32" s="1">
        <f t="shared" si="7"/>
        <v>1.3710824962673751E-2</v>
      </c>
      <c r="E32">
        <f>August2026Primary_Tracking!E41</f>
        <v>873</v>
      </c>
      <c r="F32" s="5">
        <f>August2026Primary_Tracking!F41</f>
        <v>1.1899999999999999E-2</v>
      </c>
      <c r="G32" s="13">
        <f t="shared" si="0"/>
        <v>0.44631901840490795</v>
      </c>
      <c r="H32" s="28">
        <f t="shared" si="1"/>
        <v>1083</v>
      </c>
      <c r="I32" s="5">
        <f t="shared" si="13"/>
        <v>1.5359959153571226E-2</v>
      </c>
      <c r="J32" s="5">
        <f t="shared" si="12"/>
        <v>3.4599591535712272E-3</v>
      </c>
      <c r="K32">
        <f>August2026Primary_Tracking!G41</f>
        <v>1078</v>
      </c>
      <c r="L32" s="5">
        <f>August2026Primary_Tracking!H41</f>
        <v>1.18E-2</v>
      </c>
      <c r="M32">
        <f>August2026Primary_Tracking!I41</f>
        <v>-0.01</v>
      </c>
      <c r="N32">
        <f>August2026Primary_Tracking!J41</f>
        <v>205</v>
      </c>
      <c r="O32" s="5">
        <f>August2026Primary_Tracking!K41</f>
        <v>1.1599999999999999E-2</v>
      </c>
      <c r="P32" s="11">
        <f>August2026Primary_Tracking!L41</f>
        <v>1256</v>
      </c>
      <c r="Q32" s="13">
        <f>August2026Primary_Tracking!M41</f>
        <v>1.2066249087345809E-2</v>
      </c>
      <c r="R32" s="10">
        <f>August2026Primary_Tracking!N41</f>
        <v>0.02</v>
      </c>
      <c r="S32" s="11">
        <f>August2026Primary_Tracking!O41</f>
        <v>178</v>
      </c>
      <c r="T32" s="13">
        <f>August2026Primary_Tracking!P41</f>
        <v>1.3773891511258995E-2</v>
      </c>
      <c r="U32" s="11">
        <f>August2026Primary_Tracking!Q41</f>
        <v>1760</v>
      </c>
      <c r="V32" s="13">
        <f>August2026Primary_Tracking!R41</f>
        <v>1.3244833762285337E-2</v>
      </c>
      <c r="W32" s="10">
        <f>August2026Primary_Tracking!S41</f>
        <v>0.13</v>
      </c>
      <c r="X32" s="11">
        <f>August2026Primary_Tracking!T41</f>
        <v>504</v>
      </c>
      <c r="Y32" s="13">
        <f>August2026Primary_Tracking!U41</f>
        <v>1.7506078499478987E-2</v>
      </c>
      <c r="Z32" s="11">
        <f>August2026Primary_Tracking!V41</f>
        <v>1900</v>
      </c>
      <c r="AA32" s="13">
        <f>August2026Primary_Tracking!W41</f>
        <v>1.3548203080433542E-2</v>
      </c>
      <c r="AB32" s="16">
        <f>August2026Primary_Tracking!X41</f>
        <v>0.16</v>
      </c>
      <c r="AC32" s="11">
        <f>August2026Primary_Tracking!Y41</f>
        <v>140</v>
      </c>
      <c r="AD32" s="13">
        <f>August2026Primary_Tracking!Z41</f>
        <v>1.9026909486273443E-2</v>
      </c>
      <c r="AE32" s="11">
        <f>August2026Primary_Tracking!AA41</f>
        <v>1935</v>
      </c>
      <c r="AF32" s="13">
        <f>August2026Primary_Tracking!AB41</f>
        <v>1.3664096263028556E-2</v>
      </c>
      <c r="AG32" s="16">
        <f>August2026Primary_Tracking!AC41</f>
        <v>0.18</v>
      </c>
      <c r="AH32" s="11">
        <f>August2026Primary_Tracking!AD41</f>
        <v>35</v>
      </c>
      <c r="AI32" s="13">
        <f>August2026Primary_Tracking!AE41</f>
        <v>2.5510204081632654E-2</v>
      </c>
      <c r="AJ32" s="11">
        <f>August2026Primary_Tracking!AF41</f>
        <v>1956</v>
      </c>
      <c r="AK32" s="13">
        <f>August2026Primary_Tracking!AG41</f>
        <v>1.3710824962673751E-2</v>
      </c>
      <c r="AL32" s="16">
        <f>August2026Primary_Tracking!AH41</f>
        <v>0.18</v>
      </c>
      <c r="AM32" s="11">
        <f>August2026Primary_Tracking!AI41</f>
        <v>21</v>
      </c>
      <c r="AN32" s="13">
        <f>August2026Primary_Tracking!AJ41</f>
        <v>2.0019065776930411E-2</v>
      </c>
    </row>
    <row r="33" spans="1:40" x14ac:dyDescent="0.3">
      <c r="A33" t="s">
        <v>329</v>
      </c>
      <c r="B33" t="s">
        <v>9</v>
      </c>
      <c r="C33" s="26">
        <f t="shared" si="6"/>
        <v>477</v>
      </c>
      <c r="D33" s="1">
        <f t="shared" si="7"/>
        <v>3.3435907500998872E-3</v>
      </c>
      <c r="E33">
        <f>August2026Primary_Tracking!E42</f>
        <v>220</v>
      </c>
      <c r="F33" s="5">
        <f>August2026Primary_Tracking!F42</f>
        <v>3.0000000000000001E-3</v>
      </c>
      <c r="G33" s="13">
        <f t="shared" si="0"/>
        <v>0.46121593291404611</v>
      </c>
      <c r="H33" s="28">
        <f t="shared" si="1"/>
        <v>257</v>
      </c>
      <c r="I33" s="5">
        <f t="shared" si="13"/>
        <v>3.6449764565723037E-3</v>
      </c>
      <c r="J33" s="5">
        <f t="shared" si="12"/>
        <v>6.4497645657230363E-4</v>
      </c>
      <c r="K33">
        <f>August2026Primary_Tracking!G42</f>
        <v>282</v>
      </c>
      <c r="L33" s="5">
        <f>August2026Primary_Tracking!H42</f>
        <v>3.0999999999999999E-3</v>
      </c>
      <c r="M33">
        <f>August2026Primary_Tracking!I42</f>
        <v>0.01</v>
      </c>
      <c r="N33">
        <f>August2026Primary_Tracking!J42</f>
        <v>62</v>
      </c>
      <c r="O33" s="5">
        <f>August2026Primary_Tracking!K42</f>
        <v>3.4999999999999996E-3</v>
      </c>
      <c r="P33" s="11">
        <f>August2026Primary_Tracking!L42</f>
        <v>326</v>
      </c>
      <c r="Q33" s="13">
        <f>August2026Primary_Tracking!M42</f>
        <v>3.1318449064289284E-3</v>
      </c>
      <c r="R33" s="10">
        <f>August2026Primary_Tracking!N42</f>
        <v>0.01</v>
      </c>
      <c r="S33" s="11">
        <f>August2026Primary_Tracking!O42</f>
        <v>44</v>
      </c>
      <c r="T33" s="13">
        <f>August2026Primary_Tracking!P42</f>
        <v>3.4047821713224483E-3</v>
      </c>
      <c r="U33" s="11">
        <f>August2026Primary_Tracking!Q42</f>
        <v>449</v>
      </c>
      <c r="V33" s="13">
        <f>August2026Primary_Tracking!R42</f>
        <v>3.378937704128475E-3</v>
      </c>
      <c r="W33" s="10">
        <f>August2026Primary_Tracking!S42</f>
        <v>0.04</v>
      </c>
      <c r="X33" s="11">
        <f>August2026Primary_Tracking!T42</f>
        <v>123</v>
      </c>
      <c r="Y33" s="13">
        <f>August2026Primary_Tracking!U42</f>
        <v>4.2723167766585621E-3</v>
      </c>
      <c r="Z33" s="11">
        <f>August2026Primary_Tracking!V42</f>
        <v>466</v>
      </c>
      <c r="AA33" s="13">
        <f>August2026Primary_Tracking!W42</f>
        <v>3.3228750713063318E-3</v>
      </c>
      <c r="AB33" s="16">
        <f>August2026Primary_Tracking!X42</f>
        <v>0.03</v>
      </c>
      <c r="AC33" s="11">
        <f>August2026Primary_Tracking!Y42</f>
        <v>17</v>
      </c>
      <c r="AD33" s="13">
        <f>August2026Primary_Tracking!Z42</f>
        <v>2.3104104376189183E-3</v>
      </c>
      <c r="AE33" s="11">
        <f>August2026Primary_Tracking!AA42</f>
        <v>473</v>
      </c>
      <c r="AF33" s="13">
        <f>August2026Primary_Tracking!AB42</f>
        <v>3.340112419851425E-3</v>
      </c>
      <c r="AG33" s="16">
        <f>August2026Primary_Tracking!AC42</f>
        <v>0.03</v>
      </c>
      <c r="AH33" s="11">
        <f>August2026Primary_Tracking!AD42</f>
        <v>7</v>
      </c>
      <c r="AI33" s="13">
        <f>August2026Primary_Tracking!AE42</f>
        <v>5.1020408163265302E-3</v>
      </c>
      <c r="AJ33" s="11">
        <f>August2026Primary_Tracking!AF42</f>
        <v>477</v>
      </c>
      <c r="AK33" s="13">
        <f>August2026Primary_Tracking!AG42</f>
        <v>3.3435907500998872E-3</v>
      </c>
      <c r="AL33" s="16">
        <f>August2026Primary_Tracking!AH42</f>
        <v>0.03</v>
      </c>
      <c r="AM33" s="11">
        <f>August2026Primary_Tracking!AI42</f>
        <v>4</v>
      </c>
      <c r="AN33" s="13">
        <f>August2026Primary_Tracking!AJ42</f>
        <v>3.8131553860819827E-3</v>
      </c>
    </row>
    <row r="34" spans="1:40" x14ac:dyDescent="0.3">
      <c r="A34" t="s">
        <v>330</v>
      </c>
      <c r="B34" t="s">
        <v>9</v>
      </c>
      <c r="C34" s="26">
        <f t="shared" si="6"/>
        <v>879</v>
      </c>
      <c r="D34" s="1">
        <f t="shared" si="7"/>
        <v>6.1614596841463327E-3</v>
      </c>
      <c r="E34">
        <f>August2026Primary_Tracking!E43</f>
        <v>502</v>
      </c>
      <c r="F34" s="5">
        <f>August2026Primary_Tracking!F43</f>
        <v>6.8000000000000005E-3</v>
      </c>
      <c r="G34" s="13">
        <f t="shared" si="0"/>
        <v>0.57110352673492604</v>
      </c>
      <c r="H34" s="28">
        <f t="shared" si="1"/>
        <v>377</v>
      </c>
      <c r="I34" s="5">
        <f t="shared" si="13"/>
        <v>5.3469109888239635E-3</v>
      </c>
      <c r="J34" s="5">
        <f t="shared" si="12"/>
        <v>-1.4530890111760369E-3</v>
      </c>
      <c r="K34">
        <f>August2026Primary_Tracking!G43</f>
        <v>583</v>
      </c>
      <c r="L34" s="5">
        <f>August2026Primary_Tracking!H43</f>
        <v>6.4000000000000003E-3</v>
      </c>
      <c r="M34">
        <f>August2026Primary_Tracking!I43</f>
        <v>-0.04</v>
      </c>
      <c r="N34">
        <f>August2026Primary_Tracking!J43</f>
        <v>81</v>
      </c>
      <c r="O34" s="5">
        <f>August2026Primary_Tracking!K43</f>
        <v>4.5999999999999999E-3</v>
      </c>
      <c r="P34" s="11">
        <f>August2026Primary_Tracking!L43</f>
        <v>641</v>
      </c>
      <c r="Q34" s="13">
        <f>August2026Primary_Tracking!M43</f>
        <v>6.1580140644814201E-3</v>
      </c>
      <c r="R34" s="10">
        <f>August2026Primary_Tracking!N43</f>
        <v>-0.06</v>
      </c>
      <c r="S34" s="11">
        <f>August2026Primary_Tracking!O43</f>
        <v>58</v>
      </c>
      <c r="T34" s="13">
        <f>August2026Primary_Tracking!P43</f>
        <v>4.4881219531068637E-3</v>
      </c>
      <c r="U34" s="11">
        <f>August2026Primary_Tracking!Q43</f>
        <v>802</v>
      </c>
      <c r="V34" s="13">
        <f>August2026Primary_Tracking!R43</f>
        <v>6.0354299303141132E-3</v>
      </c>
      <c r="W34" s="10">
        <f>August2026Primary_Tracking!S43</f>
        <v>-0.08</v>
      </c>
      <c r="X34" s="11">
        <f>August2026Primary_Tracking!T43</f>
        <v>161</v>
      </c>
      <c r="Y34" s="13">
        <f>August2026Primary_Tracking!U43</f>
        <v>5.5922195206668983E-3</v>
      </c>
      <c r="Z34" s="11">
        <f>August2026Primary_Tracking!V43</f>
        <v>856</v>
      </c>
      <c r="AA34" s="13">
        <f>August2026Primary_Tracking!W43</f>
        <v>6.1038220193953222E-3</v>
      </c>
      <c r="AB34" s="16">
        <f>August2026Primary_Tracking!X43</f>
        <v>-7.0000000000000007E-2</v>
      </c>
      <c r="AC34" s="11">
        <f>August2026Primary_Tracking!Y43</f>
        <v>54</v>
      </c>
      <c r="AD34" s="13">
        <f>August2026Primary_Tracking!Z43</f>
        <v>7.3389508018483285E-3</v>
      </c>
      <c r="AE34" s="11">
        <f>August2026Primary_Tracking!AA43</f>
        <v>871</v>
      </c>
      <c r="AF34" s="13">
        <f>August2026Primary_Tracking!AB43</f>
        <v>6.1506087054769374E-3</v>
      </c>
      <c r="AG34" s="16">
        <f>August2026Primary_Tracking!AC43</f>
        <v>-0.06</v>
      </c>
      <c r="AH34" s="11">
        <f>August2026Primary_Tracking!AD43</f>
        <v>15</v>
      </c>
      <c r="AI34" s="13">
        <f>August2026Primary_Tracking!AE43</f>
        <v>1.0932944606413994E-2</v>
      </c>
      <c r="AJ34" s="11">
        <f>August2026Primary_Tracking!AF43</f>
        <v>879</v>
      </c>
      <c r="AK34" s="13">
        <f>August2026Primary_Tracking!AG43</f>
        <v>6.1614596841463327E-3</v>
      </c>
      <c r="AL34" s="16">
        <f>August2026Primary_Tracking!AH43</f>
        <v>-0.06</v>
      </c>
      <c r="AM34" s="11">
        <f>August2026Primary_Tracking!AI43</f>
        <v>8</v>
      </c>
      <c r="AN34" s="13">
        <f>August2026Primary_Tracking!AJ43</f>
        <v>7.6263107721639654E-3</v>
      </c>
    </row>
    <row r="35" spans="1:40" x14ac:dyDescent="0.3">
      <c r="A35" t="s">
        <v>331</v>
      </c>
      <c r="B35" t="s">
        <v>9</v>
      </c>
      <c r="C35" s="26">
        <f t="shared" si="6"/>
        <v>1393</v>
      </c>
      <c r="D35" s="1">
        <f t="shared" si="7"/>
        <v>9.7644065301659179E-3</v>
      </c>
      <c r="E35">
        <f>August2026Primary_Tracking!E44</f>
        <v>708</v>
      </c>
      <c r="F35" s="5">
        <f>August2026Primary_Tracking!F44</f>
        <v>9.5999999999999992E-3</v>
      </c>
      <c r="G35" s="13">
        <f t="shared" si="0"/>
        <v>0.50825556353194545</v>
      </c>
      <c r="H35" s="28">
        <f t="shared" si="1"/>
        <v>685</v>
      </c>
      <c r="I35" s="5">
        <f t="shared" si="13"/>
        <v>9.7152096216032227E-3</v>
      </c>
      <c r="J35" s="5">
        <f t="shared" si="12"/>
        <v>1.1520962160322355E-4</v>
      </c>
      <c r="K35">
        <f>August2026Primary_Tracking!G44</f>
        <v>866</v>
      </c>
      <c r="L35" s="5">
        <f>August2026Primary_Tracking!H44</f>
        <v>9.4999999999999998E-3</v>
      </c>
      <c r="M35">
        <f>August2026Primary_Tracking!I44</f>
        <v>-0.01</v>
      </c>
      <c r="N35">
        <f>August2026Primary_Tracking!J44</f>
        <v>158</v>
      </c>
      <c r="O35" s="5">
        <f>August2026Primary_Tracking!K44</f>
        <v>9.0000000000000011E-3</v>
      </c>
      <c r="P35" s="11">
        <f>August2026Primary_Tracking!L44</f>
        <v>1026</v>
      </c>
      <c r="Q35" s="13">
        <f>August2026Primary_Tracking!M44</f>
        <v>9.8566652576566882E-3</v>
      </c>
      <c r="R35" s="10">
        <f>August2026Primary_Tracking!N44</f>
        <v>0.03</v>
      </c>
      <c r="S35" s="11">
        <f>August2026Primary_Tracking!O44</f>
        <v>160</v>
      </c>
      <c r="T35" s="13">
        <f>August2026Primary_Tracking!P44</f>
        <v>1.2381026077536175E-2</v>
      </c>
      <c r="U35" s="11">
        <f>August2026Primary_Tracking!Q44</f>
        <v>1294</v>
      </c>
      <c r="V35" s="13">
        <f>August2026Primary_Tracking!R44</f>
        <v>9.737963004771151E-3</v>
      </c>
      <c r="W35" s="10">
        <f>August2026Primary_Tracking!S44</f>
        <v>0.01</v>
      </c>
      <c r="X35" s="11">
        <f>August2026Primary_Tracking!T44</f>
        <v>268</v>
      </c>
      <c r="Y35" s="13">
        <f>August2026Primary_Tracking!U44</f>
        <v>9.3087877735324766E-3</v>
      </c>
      <c r="Z35" s="11">
        <f>August2026Primary_Tracking!V44</f>
        <v>1367</v>
      </c>
      <c r="AA35" s="13">
        <f>August2026Primary_Tracking!W44</f>
        <v>9.7475755847119226E-3</v>
      </c>
      <c r="AB35" s="16">
        <f>August2026Primary_Tracking!X44</f>
        <v>0.01</v>
      </c>
      <c r="AC35" s="11">
        <f>August2026Primary_Tracking!Y44</f>
        <v>73</v>
      </c>
      <c r="AD35" s="13">
        <f>August2026Primary_Tracking!Z44</f>
        <v>9.9211742321282954E-3</v>
      </c>
      <c r="AE35" s="11">
        <f>August2026Primary_Tracking!AA44</f>
        <v>1379</v>
      </c>
      <c r="AF35" s="13">
        <f>August2026Primary_Tracking!AB44</f>
        <v>9.737875321300455E-3</v>
      </c>
      <c r="AG35" s="16">
        <f>August2026Primary_Tracking!AC44</f>
        <v>0.01</v>
      </c>
      <c r="AH35" s="11">
        <f>August2026Primary_Tracking!AD44</f>
        <v>12</v>
      </c>
      <c r="AI35" s="13">
        <f>August2026Primary_Tracking!AE44</f>
        <v>8.7463556851311956E-3</v>
      </c>
      <c r="AJ35" s="11">
        <f>August2026Primary_Tracking!AF44</f>
        <v>1393</v>
      </c>
      <c r="AK35" s="13">
        <f>August2026Primary_Tracking!AG44</f>
        <v>9.7644065301659179E-3</v>
      </c>
      <c r="AL35" s="16">
        <f>August2026Primary_Tracking!AH44</f>
        <v>0.02</v>
      </c>
      <c r="AM35" s="11">
        <f>August2026Primary_Tracking!AI44</f>
        <v>14</v>
      </c>
      <c r="AN35" s="13">
        <f>August2026Primary_Tracking!AJ44</f>
        <v>1.334604385128694E-2</v>
      </c>
    </row>
    <row r="36" spans="1:40" x14ac:dyDescent="0.3">
      <c r="A36" t="s">
        <v>332</v>
      </c>
      <c r="B36" t="s">
        <v>9</v>
      </c>
      <c r="C36" s="26">
        <f t="shared" si="6"/>
        <v>15013</v>
      </c>
      <c r="D36" s="1">
        <f t="shared" si="7"/>
        <v>0.10523548832547087</v>
      </c>
      <c r="E36">
        <f>August2026Primary_Tracking!E45</f>
        <v>7576</v>
      </c>
      <c r="F36" s="5">
        <f>August2026Primary_Tracking!F45</f>
        <v>0.10300000000000001</v>
      </c>
      <c r="G36" s="13">
        <f t="shared" si="0"/>
        <v>0.50462932125491244</v>
      </c>
      <c r="H36" s="28">
        <f t="shared" si="1"/>
        <v>7437</v>
      </c>
      <c r="I36" s="5">
        <f t="shared" si="13"/>
        <v>0.10547739263629659</v>
      </c>
      <c r="J36" s="5">
        <f t="shared" si="12"/>
        <v>2.4773926362965798E-3</v>
      </c>
      <c r="K36">
        <f>August2026Primary_Tracking!G45</f>
        <v>9862</v>
      </c>
      <c r="L36" s="5">
        <f>August2026Primary_Tracking!H45</f>
        <v>0.1082</v>
      </c>
      <c r="M36">
        <f>August2026Primary_Tracking!I45</f>
        <v>0.52</v>
      </c>
      <c r="N36">
        <f>August2026Primary_Tracking!J45</f>
        <v>2286</v>
      </c>
      <c r="O36" s="5">
        <f>August2026Primary_Tracking!K45</f>
        <v>0.1298</v>
      </c>
      <c r="P36" s="11">
        <f>August2026Primary_Tracking!L45</f>
        <v>10646</v>
      </c>
      <c r="Q36" s="13">
        <f>August2026Primary_Tracking!M45</f>
        <v>0.10227491065595819</v>
      </c>
      <c r="R36" s="10">
        <f>August2026Primary_Tracking!N45</f>
        <v>-7.0000000000000007E-2</v>
      </c>
      <c r="S36" s="11">
        <f>August2026Primary_Tracking!O45</f>
        <v>784</v>
      </c>
      <c r="T36" s="13">
        <f>August2026Primary_Tracking!P45</f>
        <v>6.066702777992726E-2</v>
      </c>
      <c r="U36" s="11">
        <f>August2026Primary_Tracking!Q45</f>
        <v>14399</v>
      </c>
      <c r="V36" s="13">
        <f>August2026Primary_Tracking!R45</f>
        <v>0.10835929621769691</v>
      </c>
      <c r="W36" s="10">
        <f>August2026Primary_Tracking!S45</f>
        <v>0.54</v>
      </c>
      <c r="X36" s="11">
        <f>August2026Primary_Tracking!T45</f>
        <v>3753</v>
      </c>
      <c r="Y36" s="13">
        <f>August2026Primary_Tracking!U45</f>
        <v>0.13035776311219174</v>
      </c>
      <c r="Z36" s="11">
        <f>August2026Primary_Tracking!V45</f>
        <v>14819</v>
      </c>
      <c r="AA36" s="13">
        <f>August2026Primary_Tracking!W45</f>
        <v>0.1056688533941814</v>
      </c>
      <c r="AB36" s="16">
        <f>August2026Primary_Tracking!X45</f>
        <v>0.27</v>
      </c>
      <c r="AC36" s="11">
        <f>August2026Primary_Tracking!Y45</f>
        <v>420</v>
      </c>
      <c r="AD36" s="13">
        <f>August2026Primary_Tracking!Z45</f>
        <v>5.7080728458820333E-2</v>
      </c>
      <c r="AE36" s="11">
        <f>August2026Primary_Tracking!AA45</f>
        <v>14902</v>
      </c>
      <c r="AF36" s="13">
        <f>August2026Primary_Tracking!AB45</f>
        <v>0.10523119509646076</v>
      </c>
      <c r="AG36" s="16">
        <f>August2026Primary_Tracking!AC45</f>
        <v>0.22</v>
      </c>
      <c r="AH36" s="11">
        <f>August2026Primary_Tracking!AD45</f>
        <v>83</v>
      </c>
      <c r="AI36" s="13">
        <f>August2026Primary_Tracking!AE45</f>
        <v>6.0495626822157436E-2</v>
      </c>
      <c r="AJ36" s="11">
        <f>August2026Primary_Tracking!AF45</f>
        <v>15013</v>
      </c>
      <c r="AK36" s="13">
        <f>August2026Primary_Tracking!AG45</f>
        <v>0.10523548832547087</v>
      </c>
      <c r="AL36" s="16">
        <f>August2026Primary_Tracking!AH45</f>
        <v>0.22</v>
      </c>
      <c r="AM36" s="11">
        <f>August2026Primary_Tracking!AI45</f>
        <v>111</v>
      </c>
      <c r="AN36" s="13">
        <f>August2026Primary_Tracking!AJ45</f>
        <v>0.10581506196377502</v>
      </c>
    </row>
    <row r="37" spans="1:40" s="2" customFormat="1" x14ac:dyDescent="0.3">
      <c r="A37" s="2" t="s">
        <v>333</v>
      </c>
      <c r="B37" s="2" t="s">
        <v>298</v>
      </c>
      <c r="C37" s="25">
        <f t="shared" si="6"/>
        <v>191653</v>
      </c>
      <c r="D37" s="3">
        <f t="shared" si="7"/>
        <v>0</v>
      </c>
      <c r="E37" s="2">
        <f>August2026Primary_Tracking!E49</f>
        <v>105659</v>
      </c>
      <c r="F37" s="4" t="str">
        <f>August2026Primary_Tracking!F49</f>
        <v/>
      </c>
      <c r="G37" s="4">
        <f t="shared" si="0"/>
        <v>0.55130365817388716</v>
      </c>
      <c r="H37" s="27">
        <f t="shared" si="1"/>
        <v>85994</v>
      </c>
      <c r="I37" s="4"/>
      <c r="J37" s="5"/>
      <c r="K37" s="2">
        <f>August2026Primary_Tracking!G49</f>
        <v>119831</v>
      </c>
      <c r="L37" s="4" t="str">
        <f>August2026Primary_Tracking!H49</f>
        <v/>
      </c>
      <c r="M37" s="2" t="str">
        <f>August2026Primary_Tracking!I49</f>
        <v/>
      </c>
      <c r="N37" s="2">
        <f>August2026Primary_Tracking!J49</f>
        <v>14172</v>
      </c>
      <c r="O37" s="4" t="str">
        <f>August2026Primary_Tracking!K49</f>
        <v/>
      </c>
      <c r="P37" s="7">
        <f>August2026Primary_Tracking!L49</f>
        <v>136944</v>
      </c>
      <c r="Q37" s="4" t="str">
        <f>August2026Primary_Tracking!M49</f>
        <v/>
      </c>
      <c r="R37" s="9" t="str">
        <f>August2026Primary_Tracking!N49</f>
        <v/>
      </c>
      <c r="S37" s="7">
        <f>August2026Primary_Tracking!O49</f>
        <v>17113</v>
      </c>
      <c r="T37" s="4" t="str">
        <f>August2026Primary_Tracking!P49</f>
        <v/>
      </c>
      <c r="U37" s="7">
        <f>August2026Primary_Tracking!Q49</f>
        <v>142533</v>
      </c>
      <c r="V37" s="4" t="str">
        <f>August2026Primary_Tracking!R49</f>
        <v/>
      </c>
      <c r="W37" s="9" t="str">
        <f>August2026Primary_Tracking!S49</f>
        <v/>
      </c>
      <c r="X37" s="7">
        <f>August2026Primary_Tracking!T49</f>
        <v>5589</v>
      </c>
      <c r="Y37" s="4" t="str">
        <f>August2026Primary_Tracking!U49</f>
        <v/>
      </c>
      <c r="Z37" s="7">
        <f>August2026Primary_Tracking!V49</f>
        <v>176966</v>
      </c>
      <c r="AA37" s="4">
        <f>August2026Primary_Tracking!W49</f>
        <v>0</v>
      </c>
      <c r="AB37" s="30">
        <f>August2026Primary_Tracking!X49</f>
        <v>0</v>
      </c>
      <c r="AC37" s="7">
        <f>August2026Primary_Tracking!Y49</f>
        <v>34433</v>
      </c>
      <c r="AD37" s="4">
        <f>August2026Primary_Tracking!Z49</f>
        <v>0</v>
      </c>
      <c r="AE37" s="7">
        <f>August2026Primary_Tracking!AA49</f>
        <v>183719</v>
      </c>
      <c r="AF37" s="4">
        <f>August2026Primary_Tracking!AB49</f>
        <v>0</v>
      </c>
      <c r="AG37" s="30">
        <f>August2026Primary_Tracking!AC49</f>
        <v>0</v>
      </c>
      <c r="AH37" s="7">
        <f>August2026Primary_Tracking!AD49</f>
        <v>6753</v>
      </c>
      <c r="AI37" s="4">
        <f>August2026Primary_Tracking!AE49</f>
        <v>0</v>
      </c>
      <c r="AJ37" s="7">
        <f>August2026Primary_Tracking!AF49</f>
        <v>191653</v>
      </c>
      <c r="AK37" s="4">
        <f>August2026Primary_Tracking!AG49</f>
        <v>0</v>
      </c>
      <c r="AL37" s="30">
        <f>August2026Primary_Tracking!AH49</f>
        <v>0</v>
      </c>
      <c r="AM37" s="7">
        <f>August2026Primary_Tracking!AI49</f>
        <v>7934</v>
      </c>
      <c r="AN37" s="4">
        <f>August2026Primary_Tracking!AJ49</f>
        <v>0</v>
      </c>
    </row>
    <row r="38" spans="1:40" x14ac:dyDescent="0.3">
      <c r="A38" t="s">
        <v>334</v>
      </c>
      <c r="B38" t="s">
        <v>11</v>
      </c>
      <c r="C38" s="26">
        <f t="shared" si="6"/>
        <v>33443</v>
      </c>
      <c r="D38" s="1">
        <f t="shared" si="7"/>
        <v>0.16376849208409031</v>
      </c>
      <c r="E38">
        <f>August2026Primary_Tracking!E50</f>
        <v>16216</v>
      </c>
      <c r="F38" s="5">
        <f>August2026Primary_Tracking!F50</f>
        <v>0.14349999999999999</v>
      </c>
      <c r="G38" s="13">
        <f t="shared" si="0"/>
        <v>0.48488472924079778</v>
      </c>
      <c r="H38" s="28">
        <f t="shared" si="1"/>
        <v>17227</v>
      </c>
      <c r="I38" s="5">
        <f>H38/H$37</f>
        <v>0.20032792985557132</v>
      </c>
      <c r="J38" s="5">
        <f t="shared" si="12"/>
        <v>5.6827929855571335E-2</v>
      </c>
      <c r="K38">
        <f>August2026Primary_Tracking!G50</f>
        <v>18858</v>
      </c>
      <c r="L38" s="5">
        <f>August2026Primary_Tracking!H50</f>
        <v>0.14849999999999999</v>
      </c>
      <c r="M38">
        <f>August2026Primary_Tracking!I50</f>
        <v>0.5</v>
      </c>
      <c r="N38">
        <f>August2026Primary_Tracking!J50</f>
        <v>2642</v>
      </c>
      <c r="O38" s="5">
        <f>August2026Primary_Tracking!K50</f>
        <v>0.18890000000000001</v>
      </c>
      <c r="P38" s="11">
        <f>August2026Primary_Tracking!L50</f>
        <v>22213</v>
      </c>
      <c r="Q38" s="13">
        <f>August2026Primary_Tracking!M50</f>
        <v>0.15441242918216258</v>
      </c>
      <c r="R38" s="10">
        <f>August2026Primary_Tracking!N50</f>
        <v>1.0900000000000001</v>
      </c>
      <c r="S38" s="11">
        <f>August2026Primary_Tracking!O50</f>
        <v>3355</v>
      </c>
      <c r="T38" s="13">
        <f>August2026Primary_Tracking!P50</f>
        <v>0.19885016595542912</v>
      </c>
      <c r="U38" s="11">
        <f>August2026Primary_Tracking!Q50</f>
        <v>23588</v>
      </c>
      <c r="V38" s="13">
        <f>August2026Primary_Tracking!R50</f>
        <v>0.15532216112995095</v>
      </c>
      <c r="W38" s="10">
        <f>August2026Primary_Tracking!S50</f>
        <v>1.18</v>
      </c>
      <c r="X38" s="11">
        <f>August2026Primary_Tracking!T50</f>
        <v>1375</v>
      </c>
      <c r="Y38" s="13">
        <f>August2026Primary_Tracking!U50</f>
        <v>0.17166042446941324</v>
      </c>
      <c r="Z38" s="11">
        <f>August2026Primary_Tracking!V50</f>
        <v>30648</v>
      </c>
      <c r="AA38" s="13">
        <f>August2026Primary_Tracking!W50</f>
        <v>0.16493291931482448</v>
      </c>
      <c r="AB38" s="16">
        <f>August2026Primary_Tracking!X50</f>
        <v>2.14</v>
      </c>
      <c r="AC38" s="11">
        <f>August2026Primary_Tracking!Y50</f>
        <v>7060</v>
      </c>
      <c r="AD38" s="13">
        <f>August2026Primary_Tracking!Z50</f>
        <v>0.20791612675226764</v>
      </c>
      <c r="AE38" s="11">
        <f>August2026Primary_Tracking!AA50</f>
        <v>31769</v>
      </c>
      <c r="AF38" s="13">
        <f>August2026Primary_Tracking!AB50</f>
        <v>0.16508865285081795</v>
      </c>
      <c r="AG38" s="16">
        <f>August2026Primary_Tracking!AC50</f>
        <v>2.16</v>
      </c>
      <c r="AH38" s="11">
        <f>August2026Primary_Tracking!AD50</f>
        <v>1121</v>
      </c>
      <c r="AI38" s="13">
        <f>August2026Primary_Tracking!AE50</f>
        <v>0.16946334089191231</v>
      </c>
      <c r="AJ38" s="11">
        <f>August2026Primary_Tracking!AF50</f>
        <v>33443</v>
      </c>
      <c r="AK38" s="13">
        <f>August2026Primary_Tracking!AG50</f>
        <v>0.16376849208409031</v>
      </c>
      <c r="AL38" s="16">
        <f>August2026Primary_Tracking!AH50</f>
        <v>2.0299999999999998</v>
      </c>
      <c r="AM38" s="11">
        <f>August2026Primary_Tracking!AI50</f>
        <v>1674</v>
      </c>
      <c r="AN38" s="13">
        <f>August2026Primary_Tracking!AJ50</f>
        <v>0.14218975622186358</v>
      </c>
    </row>
    <row r="39" spans="1:40" x14ac:dyDescent="0.3">
      <c r="A39" t="s">
        <v>335</v>
      </c>
      <c r="B39" t="s">
        <v>8</v>
      </c>
      <c r="C39" s="26">
        <f t="shared" si="6"/>
        <v>38487</v>
      </c>
      <c r="D39" s="1">
        <f t="shared" si="7"/>
        <v>0.18846867669887224</v>
      </c>
      <c r="E39">
        <f>August2026Primary_Tracking!E51</f>
        <v>23536</v>
      </c>
      <c r="F39" s="5">
        <f>August2026Primary_Tracking!F51</f>
        <v>0.20829999999999999</v>
      </c>
      <c r="G39" s="13">
        <f t="shared" si="0"/>
        <v>0.61153116636786442</v>
      </c>
      <c r="H39" s="28">
        <f t="shared" si="1"/>
        <v>14951</v>
      </c>
      <c r="I39" s="5">
        <f t="shared" ref="I39:I49" si="14">H39/H$37</f>
        <v>0.17386096704421239</v>
      </c>
      <c r="J39" s="5">
        <f t="shared" si="12"/>
        <v>-3.4439032955787596E-2</v>
      </c>
      <c r="K39">
        <f>August2026Primary_Tracking!G51</f>
        <v>26389</v>
      </c>
      <c r="L39" s="5">
        <f>August2026Primary_Tracking!H51</f>
        <v>0.20780000000000001</v>
      </c>
      <c r="M39">
        <f>August2026Primary_Tracking!I51</f>
        <v>-0.05</v>
      </c>
      <c r="N39">
        <f>August2026Primary_Tracking!J51</f>
        <v>2853</v>
      </c>
      <c r="O39" s="5">
        <f>August2026Primary_Tracking!K51</f>
        <v>0.20399999999999999</v>
      </c>
      <c r="P39" s="11">
        <f>August2026Primary_Tracking!L51</f>
        <v>29197</v>
      </c>
      <c r="Q39" s="13">
        <f>August2026Primary_Tracking!M51</f>
        <v>0.20296131521323554</v>
      </c>
      <c r="R39" s="10">
        <f>August2026Primary_Tracking!N51</f>
        <v>-0.53</v>
      </c>
      <c r="S39" s="11">
        <f>August2026Primary_Tracking!O51</f>
        <v>2808</v>
      </c>
      <c r="T39" s="13">
        <f>August2026Primary_Tracking!P51</f>
        <v>0.16642958748221906</v>
      </c>
      <c r="U39" s="11">
        <f>August2026Primary_Tracking!Q51</f>
        <v>30372</v>
      </c>
      <c r="V39" s="13">
        <f>August2026Primary_Tracking!R51</f>
        <v>0.19999341520429328</v>
      </c>
      <c r="W39" s="10">
        <f>August2026Primary_Tracking!S51</f>
        <v>-0.83</v>
      </c>
      <c r="X39" s="11">
        <f>August2026Primary_Tracking!T51</f>
        <v>1175</v>
      </c>
      <c r="Y39" s="13">
        <f>August2026Primary_Tracking!U51</f>
        <v>0.1466916354556804</v>
      </c>
      <c r="Z39" s="11">
        <f>August2026Primary_Tracking!V51</f>
        <v>36024</v>
      </c>
      <c r="AA39" s="13">
        <f>August2026Primary_Tracking!W51</f>
        <v>0.1938639873857099</v>
      </c>
      <c r="AB39" s="16">
        <f>August2026Primary_Tracking!X51</f>
        <v>-1.44</v>
      </c>
      <c r="AC39" s="11">
        <f>August2026Primary_Tracking!Y51</f>
        <v>5652</v>
      </c>
      <c r="AD39" s="13">
        <f>August2026Primary_Tracking!Z51</f>
        <v>0.16645070090705619</v>
      </c>
      <c r="AE39" s="11">
        <f>August2026Primary_Tracking!AA51</f>
        <v>37001</v>
      </c>
      <c r="AF39" s="13">
        <f>August2026Primary_Tracking!AB51</f>
        <v>0.19227691284375065</v>
      </c>
      <c r="AG39" s="16">
        <f>August2026Primary_Tracking!AC51</f>
        <v>-1.6</v>
      </c>
      <c r="AH39" s="11">
        <f>August2026Primary_Tracking!AD51</f>
        <v>977</v>
      </c>
      <c r="AI39" s="13">
        <f>August2026Primary_Tracking!AE51</f>
        <v>0.14769463340891911</v>
      </c>
      <c r="AJ39" s="11">
        <f>August2026Primary_Tracking!AF51</f>
        <v>38487</v>
      </c>
      <c r="AK39" s="13">
        <f>August2026Primary_Tracking!AG51</f>
        <v>0.18846867669887224</v>
      </c>
      <c r="AL39" s="16">
        <f>August2026Primary_Tracking!AH51</f>
        <v>-1.98</v>
      </c>
      <c r="AM39" s="11">
        <f>August2026Primary_Tracking!AI51</f>
        <v>1486</v>
      </c>
      <c r="AN39" s="13">
        <f>August2026Primary_Tracking!AJ51</f>
        <v>0.12622101418499956</v>
      </c>
    </row>
    <row r="40" spans="1:40" x14ac:dyDescent="0.3">
      <c r="A40" t="s">
        <v>336</v>
      </c>
      <c r="B40" t="s">
        <v>11</v>
      </c>
      <c r="C40" s="26">
        <f t="shared" si="6"/>
        <v>2417</v>
      </c>
      <c r="D40" s="1">
        <f t="shared" si="7"/>
        <v>1.183591320656778E-2</v>
      </c>
      <c r="E40">
        <f>August2026Primary_Tracking!E52</f>
        <v>1455</v>
      </c>
      <c r="F40" s="5">
        <f>August2026Primary_Tracking!F52</f>
        <v>1.29E-2</v>
      </c>
      <c r="G40" s="13">
        <f t="shared" si="0"/>
        <v>0.60198593297476211</v>
      </c>
      <c r="H40" s="28">
        <f t="shared" si="1"/>
        <v>962</v>
      </c>
      <c r="I40" s="5">
        <f t="shared" si="14"/>
        <v>1.118682698792939E-2</v>
      </c>
      <c r="J40" s="5">
        <f t="shared" si="12"/>
        <v>-1.7131730120706103E-3</v>
      </c>
      <c r="K40">
        <f>August2026Primary_Tracking!G52</f>
        <v>1584</v>
      </c>
      <c r="L40" s="5">
        <f>August2026Primary_Tracking!H52</f>
        <v>1.2500000000000001E-2</v>
      </c>
      <c r="M40">
        <f>August2026Primary_Tracking!I52</f>
        <v>-0.04</v>
      </c>
      <c r="N40">
        <f>August2026Primary_Tracking!J52</f>
        <v>129</v>
      </c>
      <c r="O40" s="5">
        <f>August2026Primary_Tracking!K52</f>
        <v>9.1999999999999998E-3</v>
      </c>
      <c r="P40" s="11">
        <f>August2026Primary_Tracking!L52</f>
        <v>1741</v>
      </c>
      <c r="Q40" s="13">
        <f>August2026Primary_Tracking!M52</f>
        <v>1.2102464286955616E-2</v>
      </c>
      <c r="R40" s="10">
        <f>August2026Primary_Tracking!N52</f>
        <v>-0.08</v>
      </c>
      <c r="S40" s="11">
        <f>August2026Primary_Tracking!O52</f>
        <v>157</v>
      </c>
      <c r="T40" s="13">
        <f>August2026Primary_Tracking!P52</f>
        <v>9.3053579895685159E-3</v>
      </c>
      <c r="U40" s="11">
        <f>August2026Primary_Tracking!Q52</f>
        <v>1829</v>
      </c>
      <c r="V40" s="13">
        <f>August2026Primary_Tracking!R52</f>
        <v>1.2043591347578441E-2</v>
      </c>
      <c r="W40" s="10">
        <f>August2026Primary_Tracking!S52</f>
        <v>-0.09</v>
      </c>
      <c r="X40" s="11">
        <f>August2026Primary_Tracking!T52</f>
        <v>88</v>
      </c>
      <c r="Y40" s="13">
        <f>August2026Primary_Tracking!U52</f>
        <v>1.0986267166042446E-2</v>
      </c>
      <c r="Z40" s="11">
        <f>August2026Primary_Tracking!V52</f>
        <v>2179</v>
      </c>
      <c r="AA40" s="13">
        <f>August2026Primary_Tracking!W52</f>
        <v>1.1726338788403894E-2</v>
      </c>
      <c r="AB40" s="16">
        <f>August2026Primary_Tracking!X52</f>
        <v>-0.12</v>
      </c>
      <c r="AC40" s="11">
        <f>August2026Primary_Tracking!Y52</f>
        <v>350</v>
      </c>
      <c r="AD40" s="13">
        <f>August2026Primary_Tracking!Z52</f>
        <v>1.0307456708681823E-2</v>
      </c>
      <c r="AE40" s="11">
        <f>August2026Primary_Tracking!AA52</f>
        <v>2269</v>
      </c>
      <c r="AF40" s="13">
        <f>August2026Primary_Tracking!AB52</f>
        <v>1.1790933089442724E-2</v>
      </c>
      <c r="AG40" s="16">
        <f>August2026Primary_Tracking!AC52</f>
        <v>-0.11</v>
      </c>
      <c r="AH40" s="11">
        <f>August2026Primary_Tracking!AD52</f>
        <v>90</v>
      </c>
      <c r="AI40" s="13">
        <f>August2026Primary_Tracking!AE52</f>
        <v>1.3605442176870748E-2</v>
      </c>
      <c r="AJ40" s="11">
        <f>August2026Primary_Tracking!AF52</f>
        <v>2417</v>
      </c>
      <c r="AK40" s="13">
        <f>August2026Primary_Tracking!AG52</f>
        <v>1.183591320656778E-2</v>
      </c>
      <c r="AL40" s="16">
        <f>August2026Primary_Tracking!AH52</f>
        <v>-0.11</v>
      </c>
      <c r="AM40" s="11">
        <f>August2026Primary_Tracking!AI52</f>
        <v>148</v>
      </c>
      <c r="AN40" s="13">
        <f>August2026Primary_Tracking!AJ52</f>
        <v>1.257113734816954E-2</v>
      </c>
    </row>
    <row r="41" spans="1:40" x14ac:dyDescent="0.3">
      <c r="A41" t="s">
        <v>337</v>
      </c>
      <c r="B41" t="s">
        <v>8</v>
      </c>
      <c r="C41" s="26">
        <f t="shared" si="6"/>
        <v>6482</v>
      </c>
      <c r="D41" s="1">
        <f t="shared" si="7"/>
        <v>3.1741989824150746E-2</v>
      </c>
      <c r="E41">
        <f>August2026Primary_Tracking!E53</f>
        <v>3290</v>
      </c>
      <c r="F41" s="5">
        <f>August2026Primary_Tracking!F53</f>
        <v>2.9100000000000001E-2</v>
      </c>
      <c r="G41" s="13">
        <f t="shared" si="0"/>
        <v>0.50755939524838012</v>
      </c>
      <c r="H41" s="28">
        <f t="shared" si="1"/>
        <v>3192</v>
      </c>
      <c r="I41" s="5">
        <f t="shared" si="14"/>
        <v>3.7118868758285462E-2</v>
      </c>
      <c r="J41" s="5">
        <f t="shared" si="12"/>
        <v>8.0188687582854606E-3</v>
      </c>
      <c r="K41">
        <f>August2026Primary_Tracking!G53</f>
        <v>3809</v>
      </c>
      <c r="L41" s="5">
        <f>August2026Primary_Tracking!H53</f>
        <v>0.03</v>
      </c>
      <c r="M41">
        <f>August2026Primary_Tracking!I53</f>
        <v>0.09</v>
      </c>
      <c r="N41">
        <f>August2026Primary_Tracking!J53</f>
        <v>519</v>
      </c>
      <c r="O41" s="5">
        <f>August2026Primary_Tracking!K53</f>
        <v>3.7100000000000001E-2</v>
      </c>
      <c r="P41" s="11">
        <f>August2026Primary_Tracking!L53</f>
        <v>4405</v>
      </c>
      <c r="Q41" s="13">
        <f>August2026Primary_Tracking!M53</f>
        <v>3.0621111535921588E-2</v>
      </c>
      <c r="R41" s="10">
        <f>August2026Primary_Tracking!N53</f>
        <v>0.15</v>
      </c>
      <c r="S41" s="11">
        <f>August2026Primary_Tracking!O53</f>
        <v>596</v>
      </c>
      <c r="T41" s="13">
        <f>August2026Primary_Tracking!P53</f>
        <v>3.5324798482693216E-2</v>
      </c>
      <c r="U41" s="11">
        <f>August2026Primary_Tracking!Q53</f>
        <v>4668</v>
      </c>
      <c r="V41" s="13">
        <f>August2026Primary_Tracking!R53</f>
        <v>3.0737826358937213E-2</v>
      </c>
      <c r="W41" s="10">
        <f>August2026Primary_Tracking!S53</f>
        <v>0.16</v>
      </c>
      <c r="X41" s="11">
        <f>August2026Primary_Tracking!T53</f>
        <v>263</v>
      </c>
      <c r="Y41" s="13">
        <f>August2026Primary_Tracking!U53</f>
        <v>3.2833957553058679E-2</v>
      </c>
      <c r="Z41" s="11">
        <f>August2026Primary_Tracking!V53</f>
        <v>5942</v>
      </c>
      <c r="AA41" s="13">
        <f>August2026Primary_Tracking!W53</f>
        <v>3.1977010133407958E-2</v>
      </c>
      <c r="AB41" s="16">
        <f>August2026Primary_Tracking!X53</f>
        <v>0.28999999999999998</v>
      </c>
      <c r="AC41" s="11">
        <f>August2026Primary_Tracking!Y53</f>
        <v>1274</v>
      </c>
      <c r="AD41" s="13">
        <f>August2026Primary_Tracking!Z53</f>
        <v>3.7519142419601838E-2</v>
      </c>
      <c r="AE41" s="11">
        <f>August2026Primary_Tracking!AA53</f>
        <v>6129</v>
      </c>
      <c r="AF41" s="13">
        <f>August2026Primary_Tracking!AB53</f>
        <v>3.1849549980253175E-2</v>
      </c>
      <c r="AG41" s="16">
        <f>August2026Primary_Tracking!AC53</f>
        <v>0.27</v>
      </c>
      <c r="AH41" s="11">
        <f>August2026Primary_Tracking!AD53</f>
        <v>187</v>
      </c>
      <c r="AI41" s="13">
        <f>August2026Primary_Tracking!AE53</f>
        <v>2.8269085411942556E-2</v>
      </c>
      <c r="AJ41" s="11">
        <f>August2026Primary_Tracking!AF53</f>
        <v>6482</v>
      </c>
      <c r="AK41" s="13">
        <f>August2026Primary_Tracking!AG53</f>
        <v>3.1741989824150746E-2</v>
      </c>
      <c r="AL41" s="16">
        <f>August2026Primary_Tracking!AH53</f>
        <v>0.26</v>
      </c>
      <c r="AM41" s="11">
        <f>August2026Primary_Tracking!AI53</f>
        <v>353</v>
      </c>
      <c r="AN41" s="13">
        <f>August2026Primary_Tracking!AJ53</f>
        <v>2.99838613777287E-2</v>
      </c>
    </row>
    <row r="42" spans="1:40" x14ac:dyDescent="0.3">
      <c r="A42" t="s">
        <v>338</v>
      </c>
      <c r="B42" t="s">
        <v>8</v>
      </c>
      <c r="C42" s="26">
        <f t="shared" si="6"/>
        <v>1152</v>
      </c>
      <c r="D42" s="1">
        <f t="shared" si="7"/>
        <v>5.6412792776028477E-3</v>
      </c>
      <c r="E42">
        <f>August2026Primary_Tracking!E54</f>
        <v>757</v>
      </c>
      <c r="F42" s="5">
        <f>August2026Primary_Tracking!F54</f>
        <v>6.7000000000000002E-3</v>
      </c>
      <c r="G42" s="13">
        <f t="shared" si="0"/>
        <v>0.65711805555555558</v>
      </c>
      <c r="H42" s="28">
        <f t="shared" si="1"/>
        <v>395</v>
      </c>
      <c r="I42" s="5">
        <f t="shared" si="14"/>
        <v>4.5933437216549994E-3</v>
      </c>
      <c r="J42" s="5">
        <f t="shared" si="12"/>
        <v>-2.1066562783450008E-3</v>
      </c>
      <c r="K42">
        <f>August2026Primary_Tracking!G54</f>
        <v>808</v>
      </c>
      <c r="L42" s="5">
        <f>August2026Primary_Tracking!H54</f>
        <v>6.4000000000000003E-3</v>
      </c>
      <c r="M42">
        <f>August2026Primary_Tracking!I54</f>
        <v>-0.03</v>
      </c>
      <c r="N42">
        <f>August2026Primary_Tracking!J54</f>
        <v>51</v>
      </c>
      <c r="O42" s="5">
        <f>August2026Primary_Tracking!K54</f>
        <v>3.5999999999999999E-3</v>
      </c>
      <c r="P42" s="11">
        <f>August2026Primary_Tracking!L54</f>
        <v>872</v>
      </c>
      <c r="Q42" s="13">
        <f>August2026Primary_Tracking!M54</f>
        <v>6.0616593097215943E-3</v>
      </c>
      <c r="R42" s="10">
        <f>August2026Primary_Tracking!N54</f>
        <v>-0.06</v>
      </c>
      <c r="S42" s="11">
        <f>August2026Primary_Tracking!O54</f>
        <v>64</v>
      </c>
      <c r="T42" s="13">
        <f>August2026Primary_Tracking!P54</f>
        <v>3.793266951161688E-3</v>
      </c>
      <c r="U42" s="11">
        <f>August2026Primary_Tracking!Q54</f>
        <v>906</v>
      </c>
      <c r="V42" s="13">
        <f>August2026Primary_Tracking!R54</f>
        <v>5.9658249102821585E-3</v>
      </c>
      <c r="W42" s="10">
        <f>August2026Primary_Tracking!S54</f>
        <v>-7.0000000000000007E-2</v>
      </c>
      <c r="X42" s="11">
        <f>August2026Primary_Tracking!T54</f>
        <v>34</v>
      </c>
      <c r="Y42" s="13">
        <f>August2026Primary_Tracking!U54</f>
        <v>4.2446941323345819E-3</v>
      </c>
      <c r="Z42" s="11">
        <f>August2026Primary_Tracking!V54</f>
        <v>1066</v>
      </c>
      <c r="AA42" s="13">
        <f>August2026Primary_Tracking!W54</f>
        <v>5.7367036018533962E-3</v>
      </c>
      <c r="AB42" s="16">
        <f>August2026Primary_Tracking!X54</f>
        <v>-0.1</v>
      </c>
      <c r="AC42" s="11">
        <f>August2026Primary_Tracking!Y54</f>
        <v>160</v>
      </c>
      <c r="AD42" s="13">
        <f>August2026Primary_Tracking!Z54</f>
        <v>4.7119802096831191E-3</v>
      </c>
      <c r="AE42" s="11">
        <f>August2026Primary_Tracking!AA54</f>
        <v>1097</v>
      </c>
      <c r="AF42" s="13">
        <f>August2026Primary_Tracking!AB54</f>
        <v>5.7005965619738507E-3</v>
      </c>
      <c r="AG42" s="16">
        <f>August2026Primary_Tracking!AC54</f>
        <v>-0.1</v>
      </c>
      <c r="AH42" s="11">
        <f>August2026Primary_Tracking!AD54</f>
        <v>31</v>
      </c>
      <c r="AI42" s="13">
        <f>August2026Primary_Tracking!AE54</f>
        <v>4.6863189720332578E-3</v>
      </c>
      <c r="AJ42" s="11">
        <f>August2026Primary_Tracking!AF54</f>
        <v>1152</v>
      </c>
      <c r="AK42" s="13">
        <f>August2026Primary_Tracking!AG54</f>
        <v>5.6412792776028477E-3</v>
      </c>
      <c r="AL42" s="16">
        <f>August2026Primary_Tracking!AH54</f>
        <v>-0.11</v>
      </c>
      <c r="AM42" s="11">
        <f>August2026Primary_Tracking!AI54</f>
        <v>55</v>
      </c>
      <c r="AN42" s="13">
        <f>August2026Primary_Tracking!AJ54</f>
        <v>4.671706446954897E-3</v>
      </c>
    </row>
    <row r="43" spans="1:40" x14ac:dyDescent="0.3">
      <c r="A43" t="s">
        <v>339</v>
      </c>
      <c r="B43" t="s">
        <v>282</v>
      </c>
      <c r="C43" s="26">
        <f t="shared" si="6"/>
        <v>9048</v>
      </c>
      <c r="D43" s="1">
        <f t="shared" si="7"/>
        <v>4.4307547659505703E-2</v>
      </c>
      <c r="E43">
        <f>August2026Primary_Tracking!E55</f>
        <v>4089</v>
      </c>
      <c r="F43" s="5">
        <f>August2026Primary_Tracking!F55</f>
        <v>3.6200000000000003E-2</v>
      </c>
      <c r="G43" s="13">
        <f t="shared" si="0"/>
        <v>0.45192307692307693</v>
      </c>
      <c r="H43" s="28">
        <f t="shared" si="1"/>
        <v>4959</v>
      </c>
      <c r="I43" s="5">
        <f t="shared" si="14"/>
        <v>5.7666813963764912E-2</v>
      </c>
      <c r="J43" s="5">
        <f t="shared" si="12"/>
        <v>2.1466813963764909E-2</v>
      </c>
      <c r="K43">
        <f>August2026Primary_Tracking!G55</f>
        <v>4851</v>
      </c>
      <c r="L43" s="5">
        <f>August2026Primary_Tracking!H55</f>
        <v>3.8199999999999998E-2</v>
      </c>
      <c r="M43">
        <f>August2026Primary_Tracking!I55</f>
        <v>0.2</v>
      </c>
      <c r="N43">
        <f>August2026Primary_Tracking!J55</f>
        <v>762</v>
      </c>
      <c r="O43" s="5">
        <f>August2026Primary_Tracking!K55</f>
        <v>5.45E-2</v>
      </c>
      <c r="P43" s="11">
        <f>August2026Primary_Tracking!L55</f>
        <v>5863</v>
      </c>
      <c r="Q43" s="13">
        <f>August2026Primary_Tracking!M55</f>
        <v>4.0756317124882695E-2</v>
      </c>
      <c r="R43" s="10">
        <f>August2026Primary_Tracking!N55</f>
        <v>0.46</v>
      </c>
      <c r="S43" s="11">
        <f>August2026Primary_Tracking!O55</f>
        <v>1012</v>
      </c>
      <c r="T43" s="13">
        <f>August2026Primary_Tracking!P55</f>
        <v>5.9981033665244189E-2</v>
      </c>
      <c r="U43" s="11">
        <f>August2026Primary_Tracking!Q55</f>
        <v>6192</v>
      </c>
      <c r="V43" s="13">
        <f>August2026Primary_Tracking!R55</f>
        <v>4.0773055015968132E-2</v>
      </c>
      <c r="W43" s="10">
        <f>August2026Primary_Tracking!S55</f>
        <v>0.46</v>
      </c>
      <c r="X43" s="11">
        <f>August2026Primary_Tracking!T55</f>
        <v>329</v>
      </c>
      <c r="Y43" s="13">
        <f>August2026Primary_Tracking!U55</f>
        <v>4.1073657927590511E-2</v>
      </c>
      <c r="Z43" s="11">
        <f>August2026Primary_Tracking!V55</f>
        <v>8419</v>
      </c>
      <c r="AA43" s="13">
        <f>August2026Primary_Tracking!W55</f>
        <v>4.5307042799253044E-2</v>
      </c>
      <c r="AB43" s="16">
        <f>August2026Primary_Tracking!X55</f>
        <v>0.91</v>
      </c>
      <c r="AC43" s="11">
        <f>August2026Primary_Tracking!Y55</f>
        <v>2227</v>
      </c>
      <c r="AD43" s="13">
        <f>August2026Primary_Tracking!Z55</f>
        <v>6.5584874543526919E-2</v>
      </c>
      <c r="AE43" s="11">
        <f>August2026Primary_Tracking!AA55</f>
        <v>8711</v>
      </c>
      <c r="AF43" s="13">
        <f>August2026Primary_Tracking!AB55</f>
        <v>4.5266997859028456E-2</v>
      </c>
      <c r="AG43" s="16">
        <f>August2026Primary_Tracking!AC55</f>
        <v>0.91</v>
      </c>
      <c r="AH43" s="11">
        <f>August2026Primary_Tracking!AD55</f>
        <v>292</v>
      </c>
      <c r="AI43" s="13">
        <f>August2026Primary_Tracking!AE55</f>
        <v>4.4142101284958428E-2</v>
      </c>
      <c r="AJ43" s="11">
        <f>August2026Primary_Tracking!AF55</f>
        <v>9048</v>
      </c>
      <c r="AK43" s="13">
        <f>August2026Primary_Tracking!AG55</f>
        <v>4.4307547659505703E-2</v>
      </c>
      <c r="AL43" s="16">
        <f>August2026Primary_Tracking!AH55</f>
        <v>0.81</v>
      </c>
      <c r="AM43" s="11">
        <f>August2026Primary_Tracking!AI55</f>
        <v>337</v>
      </c>
      <c r="AN43" s="13">
        <f>August2026Primary_Tracking!AJ55</f>
        <v>2.8624819502250914E-2</v>
      </c>
    </row>
    <row r="44" spans="1:40" x14ac:dyDescent="0.3">
      <c r="A44" t="s">
        <v>340</v>
      </c>
      <c r="B44" t="s">
        <v>9</v>
      </c>
      <c r="C44" s="26">
        <f t="shared" si="6"/>
        <v>96791</v>
      </c>
      <c r="D44" s="1">
        <f t="shared" si="7"/>
        <v>0.47398008902643862</v>
      </c>
      <c r="E44">
        <f>August2026Primary_Tracking!E56</f>
        <v>54205</v>
      </c>
      <c r="F44" s="5">
        <f>August2026Primary_Tracking!F56</f>
        <v>0.47970000000000002</v>
      </c>
      <c r="G44" s="13">
        <f t="shared" si="0"/>
        <v>0.5600210763397423</v>
      </c>
      <c r="H44" s="28">
        <f t="shared" si="1"/>
        <v>42586</v>
      </c>
      <c r="I44" s="5">
        <f t="shared" si="14"/>
        <v>0.49522059678582225</v>
      </c>
      <c r="J44" s="5">
        <f t="shared" si="12"/>
        <v>1.5520596785822238E-2</v>
      </c>
      <c r="K44">
        <f>August2026Primary_Tracking!G56</f>
        <v>60162</v>
      </c>
      <c r="L44" s="5">
        <f>August2026Primary_Tracking!H56</f>
        <v>0.4738</v>
      </c>
      <c r="M44">
        <f>August2026Primary_Tracking!I56</f>
        <v>-0.59</v>
      </c>
      <c r="N44">
        <f>August2026Primary_Tracking!J56</f>
        <v>5957</v>
      </c>
      <c r="O44" s="5">
        <f>August2026Primary_Tracking!K56</f>
        <v>0.42590000000000006</v>
      </c>
      <c r="P44" s="11">
        <f>August2026Primary_Tracking!L56</f>
        <v>67958</v>
      </c>
      <c r="Q44" s="13">
        <f>August2026Primary_Tracking!M56</f>
        <v>0.47240624239685797</v>
      </c>
      <c r="R44" s="10">
        <f>August2026Primary_Tracking!N56</f>
        <v>-0.73</v>
      </c>
      <c r="S44" s="11">
        <f>August2026Primary_Tracking!O56</f>
        <v>7796</v>
      </c>
      <c r="T44" s="13">
        <f>August2026Primary_Tracking!P56</f>
        <v>0.46206733048838311</v>
      </c>
      <c r="U44" s="11">
        <f>August2026Primary_Tracking!Q56</f>
        <v>71884</v>
      </c>
      <c r="V44" s="13">
        <f>August2026Primary_Tracking!R56</f>
        <v>0.47334145458137161</v>
      </c>
      <c r="W44" s="10">
        <f>August2026Primary_Tracking!S56</f>
        <v>-0.64</v>
      </c>
      <c r="X44" s="11">
        <f>August2026Primary_Tracking!T56</f>
        <v>3926</v>
      </c>
      <c r="Y44" s="13">
        <f>August2026Primary_Tracking!U56</f>
        <v>0.49013732833957552</v>
      </c>
      <c r="Z44" s="11">
        <f>August2026Primary_Tracking!V56</f>
        <v>86733</v>
      </c>
      <c r="AA44" s="13">
        <f>August2026Primary_Tracking!W56</f>
        <v>0.4667556411815672</v>
      </c>
      <c r="AB44" s="16">
        <f>August2026Primary_Tracking!X56</f>
        <v>-1.29</v>
      </c>
      <c r="AC44" s="11">
        <f>August2026Primary_Tracking!Y56</f>
        <v>14849</v>
      </c>
      <c r="AD44" s="13">
        <f>August2026Primary_Tracking!Z56</f>
        <v>0.43730121333490402</v>
      </c>
      <c r="AE44" s="11">
        <f>August2026Primary_Tracking!AA56</f>
        <v>90246</v>
      </c>
      <c r="AF44" s="13">
        <f>August2026Primary_Tracking!AB56</f>
        <v>0.46896630568084974</v>
      </c>
      <c r="AG44" s="16">
        <f>August2026Primary_Tracking!AC56</f>
        <v>-1.07</v>
      </c>
      <c r="AH44" s="11">
        <f>August2026Primary_Tracking!AD56</f>
        <v>3513</v>
      </c>
      <c r="AI44" s="13">
        <f>August2026Primary_Tracking!AE56</f>
        <v>0.53106575963718816</v>
      </c>
      <c r="AJ44" s="11">
        <f>August2026Primary_Tracking!AF56</f>
        <v>96791</v>
      </c>
      <c r="AK44" s="13">
        <f>August2026Primary_Tracking!AG56</f>
        <v>0.47398008902643862</v>
      </c>
      <c r="AL44" s="16">
        <f>August2026Primary_Tracking!AH56</f>
        <v>-0.56999999999999995</v>
      </c>
      <c r="AM44" s="11">
        <f>August2026Primary_Tracking!AI56</f>
        <v>6545</v>
      </c>
      <c r="AN44" s="13">
        <f>August2026Primary_Tracking!AJ56</f>
        <v>0.55593306718763269</v>
      </c>
    </row>
    <row r="45" spans="1:40" x14ac:dyDescent="0.3">
      <c r="A45" t="s">
        <v>341</v>
      </c>
      <c r="B45" t="s">
        <v>11</v>
      </c>
      <c r="C45" s="26">
        <f t="shared" si="6"/>
        <v>2274</v>
      </c>
      <c r="D45" s="1">
        <f t="shared" si="7"/>
        <v>1.1135650240684788E-2</v>
      </c>
      <c r="E45">
        <f>August2026Primary_Tracking!E57</f>
        <v>1289</v>
      </c>
      <c r="F45" s="5">
        <f>August2026Primary_Tracking!F57</f>
        <v>1.1399999999999999E-2</v>
      </c>
      <c r="G45" s="13">
        <f t="shared" si="0"/>
        <v>0.56684256816182943</v>
      </c>
      <c r="H45" s="28">
        <f t="shared" si="1"/>
        <v>985</v>
      </c>
      <c r="I45" s="5">
        <f t="shared" si="14"/>
        <v>1.1454287508430821E-2</v>
      </c>
      <c r="J45" s="5">
        <f t="shared" si="12"/>
        <v>5.4287508430821835E-5</v>
      </c>
      <c r="K45">
        <f>August2026Primary_Tracking!G57</f>
        <v>1452</v>
      </c>
      <c r="L45" s="5">
        <f>August2026Primary_Tracking!H57</f>
        <v>1.1399999999999999E-2</v>
      </c>
      <c r="M45">
        <f>August2026Primary_Tracking!I57</f>
        <v>0</v>
      </c>
      <c r="N45">
        <f>August2026Primary_Tracking!J57</f>
        <v>163</v>
      </c>
      <c r="O45" s="5">
        <f>August2026Primary_Tracking!K57</f>
        <v>1.1699999999999999E-2</v>
      </c>
      <c r="P45" s="11">
        <f>August2026Primary_Tracking!L57</f>
        <v>1600</v>
      </c>
      <c r="Q45" s="13">
        <f>August2026Primary_Tracking!M57</f>
        <v>1.1122310660039623E-2</v>
      </c>
      <c r="R45" s="10">
        <f>August2026Primary_Tracking!N57</f>
        <v>-0.03</v>
      </c>
      <c r="S45" s="11">
        <f>August2026Primary_Tracking!O57</f>
        <v>148</v>
      </c>
      <c r="T45" s="13">
        <f>August2026Primary_Tracking!P57</f>
        <v>8.771929824561403E-3</v>
      </c>
      <c r="U45" s="11">
        <f>August2026Primary_Tracking!Q57</f>
        <v>1666</v>
      </c>
      <c r="V45" s="13">
        <f>August2026Primary_Tracking!R57</f>
        <v>1.0970269647384189E-2</v>
      </c>
      <c r="W45" s="10">
        <f>August2026Primary_Tracking!S57</f>
        <v>-0.04</v>
      </c>
      <c r="X45" s="11">
        <f>August2026Primary_Tracking!T57</f>
        <v>66</v>
      </c>
      <c r="Y45" s="13">
        <f>August2026Primary_Tracking!U57</f>
        <v>8.2397003745318352E-3</v>
      </c>
      <c r="Z45" s="11">
        <f>August2026Primary_Tracking!V57</f>
        <v>2101</v>
      </c>
      <c r="AA45" s="13">
        <f>August2026Primary_Tracking!W57</f>
        <v>1.130657998826828E-2</v>
      </c>
      <c r="AB45" s="16">
        <f>August2026Primary_Tracking!X57</f>
        <v>-0.01</v>
      </c>
      <c r="AC45" s="11">
        <f>August2026Primary_Tracking!Y57</f>
        <v>435</v>
      </c>
      <c r="AD45" s="13">
        <f>August2026Primary_Tracking!Z57</f>
        <v>1.2810696195075981E-2</v>
      </c>
      <c r="AE45" s="11">
        <f>August2026Primary_Tracking!AA57</f>
        <v>2164</v>
      </c>
      <c r="AF45" s="13">
        <f>August2026Primary_Tracking!AB57</f>
        <v>1.1245297137749693E-2</v>
      </c>
      <c r="AG45" s="16">
        <f>August2026Primary_Tracking!AC57</f>
        <v>-0.02</v>
      </c>
      <c r="AH45" s="11">
        <f>August2026Primary_Tracking!AD57</f>
        <v>63</v>
      </c>
      <c r="AI45" s="13">
        <f>August2026Primary_Tracking!AE57</f>
        <v>9.5238095238095247E-3</v>
      </c>
      <c r="AJ45" s="11">
        <f>August2026Primary_Tracking!AF57</f>
        <v>2274</v>
      </c>
      <c r="AK45" s="13">
        <f>August2026Primary_Tracking!AG57</f>
        <v>1.1135650240684788E-2</v>
      </c>
      <c r="AL45" s="16">
        <f>August2026Primary_Tracking!AH57</f>
        <v>-0.03</v>
      </c>
      <c r="AM45" s="11">
        <f>August2026Primary_Tracking!AI57</f>
        <v>110</v>
      </c>
      <c r="AN45" s="13">
        <f>August2026Primary_Tracking!AJ57</f>
        <v>9.343412893909794E-3</v>
      </c>
    </row>
    <row r="46" spans="1:40" x14ac:dyDescent="0.3">
      <c r="A46" t="s">
        <v>342</v>
      </c>
      <c r="B46" t="s">
        <v>11</v>
      </c>
      <c r="C46" s="26">
        <f t="shared" si="6"/>
        <v>915</v>
      </c>
      <c r="D46" s="1">
        <f t="shared" si="7"/>
        <v>4.480703592887679E-3</v>
      </c>
      <c r="E46">
        <f>August2026Primary_Tracking!E58</f>
        <v>425</v>
      </c>
      <c r="F46" s="5">
        <f>August2026Primary_Tracking!F58</f>
        <v>3.8E-3</v>
      </c>
      <c r="G46" s="13">
        <f t="shared" si="0"/>
        <v>0.46448087431693991</v>
      </c>
      <c r="H46" s="28">
        <f t="shared" si="1"/>
        <v>490</v>
      </c>
      <c r="I46" s="5">
        <f t="shared" si="14"/>
        <v>5.6980719585087332E-3</v>
      </c>
      <c r="J46" s="5">
        <f t="shared" si="12"/>
        <v>1.8980719585087332E-3</v>
      </c>
      <c r="K46">
        <f>August2026Primary_Tracking!G58</f>
        <v>486</v>
      </c>
      <c r="L46" s="5">
        <f>August2026Primary_Tracking!H58</f>
        <v>3.8E-3</v>
      </c>
      <c r="M46">
        <f>August2026Primary_Tracking!I58</f>
        <v>0</v>
      </c>
      <c r="N46">
        <f>August2026Primary_Tracking!J58</f>
        <v>61</v>
      </c>
      <c r="O46" s="5">
        <f>August2026Primary_Tracking!K58</f>
        <v>4.4000000000000003E-3</v>
      </c>
      <c r="P46" s="11">
        <f>August2026Primary_Tracking!L58</f>
        <v>583</v>
      </c>
      <c r="Q46" s="13">
        <f>August2026Primary_Tracking!M58</f>
        <v>4.0526919467519379E-3</v>
      </c>
      <c r="R46" s="10">
        <f>August2026Primary_Tracking!N58</f>
        <v>0.03</v>
      </c>
      <c r="S46" s="11">
        <f>August2026Primary_Tracking!O58</f>
        <v>97</v>
      </c>
      <c r="T46" s="13">
        <f>August2026Primary_Tracking!P58</f>
        <v>5.7491702228544333E-3</v>
      </c>
      <c r="U46" s="11">
        <f>August2026Primary_Tracking!Q58</f>
        <v>632</v>
      </c>
      <c r="V46" s="13">
        <f>August2026Primary_Tracking!R58</f>
        <v>4.1615908866427416E-3</v>
      </c>
      <c r="W46" s="10">
        <f>August2026Primary_Tracking!S58</f>
        <v>0.04</v>
      </c>
      <c r="X46" s="11">
        <f>August2026Primary_Tracking!T58</f>
        <v>49</v>
      </c>
      <c r="Y46" s="13">
        <f>August2026Primary_Tracking!U58</f>
        <v>6.1173533083645447E-3</v>
      </c>
      <c r="Z46" s="11">
        <f>August2026Primary_Tracking!V58</f>
        <v>835</v>
      </c>
      <c r="AA46" s="13">
        <f>August2026Primary_Tracking!W58</f>
        <v>4.4935717706825386E-3</v>
      </c>
      <c r="AB46" s="16">
        <f>August2026Primary_Tracking!X58</f>
        <v>7.0000000000000007E-2</v>
      </c>
      <c r="AC46" s="11">
        <f>August2026Primary_Tracking!Y58</f>
        <v>203</v>
      </c>
      <c r="AD46" s="13">
        <f>August2026Primary_Tracking!Z58</f>
        <v>5.9783248910354574E-3</v>
      </c>
      <c r="AE46" s="11">
        <f>August2026Primary_Tracking!AA58</f>
        <v>860</v>
      </c>
      <c r="AF46" s="13">
        <f>August2026Primary_Tracking!AB58</f>
        <v>4.4690182710095828E-3</v>
      </c>
      <c r="AG46" s="16">
        <f>August2026Primary_Tracking!AC58</f>
        <v>7.0000000000000007E-2</v>
      </c>
      <c r="AH46" s="11">
        <f>August2026Primary_Tracking!AD58</f>
        <v>25</v>
      </c>
      <c r="AI46" s="13">
        <f>August2026Primary_Tracking!AE58</f>
        <v>3.779289493575208E-3</v>
      </c>
      <c r="AJ46" s="11">
        <f>August2026Primary_Tracking!AF58</f>
        <v>915</v>
      </c>
      <c r="AK46" s="13">
        <f>August2026Primary_Tracking!AG58</f>
        <v>4.480703592887679E-3</v>
      </c>
      <c r="AL46" s="16">
        <f>August2026Primary_Tracking!AH58</f>
        <v>7.0000000000000007E-2</v>
      </c>
      <c r="AM46" s="11">
        <f>August2026Primary_Tracking!AI58</f>
        <v>55</v>
      </c>
      <c r="AN46" s="13">
        <f>August2026Primary_Tracking!AJ58</f>
        <v>4.671706446954897E-3</v>
      </c>
    </row>
    <row r="47" spans="1:40" x14ac:dyDescent="0.3">
      <c r="A47" t="s">
        <v>343</v>
      </c>
      <c r="B47" t="s">
        <v>11</v>
      </c>
      <c r="C47" s="26">
        <f t="shared" si="6"/>
        <v>2920</v>
      </c>
      <c r="D47" s="1">
        <f t="shared" si="7"/>
        <v>1.4299075946701663E-2</v>
      </c>
      <c r="E47">
        <f>August2026Primary_Tracking!E59</f>
        <v>1599</v>
      </c>
      <c r="F47" s="5">
        <f>August2026Primary_Tracking!F59</f>
        <v>1.4199999999999999E-2</v>
      </c>
      <c r="G47" s="13">
        <f t="shared" si="0"/>
        <v>0.54760273972602735</v>
      </c>
      <c r="H47" s="28">
        <f t="shared" si="1"/>
        <v>1321</v>
      </c>
      <c r="I47" s="5">
        <f t="shared" si="14"/>
        <v>1.5361536851408238E-2</v>
      </c>
      <c r="J47" s="5">
        <f t="shared" si="12"/>
        <v>1.1615368514082385E-3</v>
      </c>
      <c r="K47">
        <f>August2026Primary_Tracking!G59</f>
        <v>1753</v>
      </c>
      <c r="L47" s="5">
        <f>August2026Primary_Tracking!H59</f>
        <v>1.38E-2</v>
      </c>
      <c r="M47">
        <f>August2026Primary_Tracking!I59</f>
        <v>-0.04</v>
      </c>
      <c r="N47">
        <f>August2026Primary_Tracking!J59</f>
        <v>154</v>
      </c>
      <c r="O47" s="5">
        <f>August2026Primary_Tracking!K59</f>
        <v>1.1000000000000001E-2</v>
      </c>
      <c r="P47" s="11">
        <f>August2026Primary_Tracking!L59</f>
        <v>1988</v>
      </c>
      <c r="Q47" s="13">
        <f>August2026Primary_Tracking!M59</f>
        <v>1.3819470995099233E-2</v>
      </c>
      <c r="R47" s="10">
        <f>August2026Primary_Tracking!N59</f>
        <v>-0.04</v>
      </c>
      <c r="S47" s="11">
        <f>August2026Primary_Tracking!O59</f>
        <v>235</v>
      </c>
      <c r="T47" s="13">
        <f>August2026Primary_Tracking!P59</f>
        <v>1.3928402086296823E-2</v>
      </c>
      <c r="U47" s="11">
        <f>August2026Primary_Tracking!Q59</f>
        <v>2087</v>
      </c>
      <c r="V47" s="13">
        <f>August2026Primary_Tracking!R59</f>
        <v>1.3742468639910447E-2</v>
      </c>
      <c r="W47" s="10">
        <f>August2026Primary_Tracking!S59</f>
        <v>-0.05</v>
      </c>
      <c r="X47" s="11">
        <f>August2026Primary_Tracking!T59</f>
        <v>99</v>
      </c>
      <c r="Y47" s="13">
        <f>August2026Primary_Tracking!U59</f>
        <v>1.2359550561797753E-2</v>
      </c>
      <c r="Z47" s="11">
        <f>August2026Primary_Tracking!V59</f>
        <v>2615</v>
      </c>
      <c r="AA47" s="13">
        <f>August2026Primary_Tracking!W59</f>
        <v>1.4072682850700406E-2</v>
      </c>
      <c r="AB47" s="16">
        <f>August2026Primary_Tracking!X59</f>
        <v>-0.01</v>
      </c>
      <c r="AC47" s="11">
        <f>August2026Primary_Tracking!Y59</f>
        <v>528</v>
      </c>
      <c r="AD47" s="13">
        <f>August2026Primary_Tracking!Z59</f>
        <v>1.5549534691954294E-2</v>
      </c>
      <c r="AE47" s="11">
        <f>August2026Primary_Tracking!AA59</f>
        <v>2727</v>
      </c>
      <c r="AF47" s="13">
        <f>August2026Primary_Tracking!AB59</f>
        <v>1.417094514539899E-2</v>
      </c>
      <c r="AG47" s="16">
        <f>August2026Primary_Tracking!AC59</f>
        <v>0</v>
      </c>
      <c r="AH47" s="11">
        <f>August2026Primary_Tracking!AD59</f>
        <v>112</v>
      </c>
      <c r="AI47" s="13">
        <f>August2026Primary_Tracking!AE59</f>
        <v>1.6931216931216932E-2</v>
      </c>
      <c r="AJ47" s="11">
        <f>August2026Primary_Tracking!AF59</f>
        <v>2920</v>
      </c>
      <c r="AK47" s="13">
        <f>August2026Primary_Tracking!AG59</f>
        <v>1.4299075946701663E-2</v>
      </c>
      <c r="AL47" s="16">
        <f>August2026Primary_Tracking!AH59</f>
        <v>0.01</v>
      </c>
      <c r="AM47" s="11">
        <f>August2026Primary_Tracking!AI59</f>
        <v>193</v>
      </c>
      <c r="AN47" s="13">
        <f>August2026Primary_Tracking!AJ59</f>
        <v>1.6393442622950821E-2</v>
      </c>
    </row>
    <row r="48" spans="1:40" x14ac:dyDescent="0.3">
      <c r="A48" t="s">
        <v>344</v>
      </c>
      <c r="B48" t="s">
        <v>8</v>
      </c>
      <c r="C48" s="26">
        <f t="shared" si="6"/>
        <v>2866</v>
      </c>
      <c r="D48" s="1">
        <f t="shared" si="7"/>
        <v>1.403464098056403E-2</v>
      </c>
      <c r="E48">
        <f>August2026Primary_Tracking!E60</f>
        <v>1490</v>
      </c>
      <c r="F48" s="5">
        <f>August2026Primary_Tracking!F60</f>
        <v>1.32E-2</v>
      </c>
      <c r="G48" s="13">
        <f t="shared" si="0"/>
        <v>0.5198883461270063</v>
      </c>
      <c r="H48" s="28">
        <f t="shared" si="1"/>
        <v>1376</v>
      </c>
      <c r="I48" s="5">
        <f t="shared" si="14"/>
        <v>1.6001116356955135E-2</v>
      </c>
      <c r="J48" s="5">
        <f t="shared" si="12"/>
        <v>2.8011163569551349E-3</v>
      </c>
      <c r="K48">
        <f>August2026Primary_Tracking!G60</f>
        <v>1792</v>
      </c>
      <c r="L48" s="5">
        <f>August2026Primary_Tracking!H60</f>
        <v>1.41E-2</v>
      </c>
      <c r="M48">
        <f>August2026Primary_Tracking!I60</f>
        <v>0.09</v>
      </c>
      <c r="N48">
        <f>August2026Primary_Tracking!J60</f>
        <v>302</v>
      </c>
      <c r="O48" s="5">
        <f>August2026Primary_Tracking!K60</f>
        <v>2.1600000000000001E-2</v>
      </c>
      <c r="P48" s="11">
        <f>August2026Primary_Tracking!L60</f>
        <v>2035</v>
      </c>
      <c r="Q48" s="13">
        <f>August2026Primary_Tracking!M60</f>
        <v>1.4146188870737895E-2</v>
      </c>
      <c r="R48" s="10">
        <f>August2026Primary_Tracking!N60</f>
        <v>0.09</v>
      </c>
      <c r="S48" s="11">
        <f>August2026Primary_Tracking!O60</f>
        <v>243</v>
      </c>
      <c r="T48" s="13">
        <f>August2026Primary_Tracking!P60</f>
        <v>1.4402560455192033E-2</v>
      </c>
      <c r="U48" s="11">
        <f>August2026Primary_Tracking!Q60</f>
        <v>2126</v>
      </c>
      <c r="V48" s="13">
        <f>August2026Primary_Tracking!R60</f>
        <v>1.3999275672472262E-2</v>
      </c>
      <c r="W48" s="10">
        <f>August2026Primary_Tracking!S60</f>
        <v>0.08</v>
      </c>
      <c r="X48" s="11">
        <f>August2026Primary_Tracking!T60</f>
        <v>91</v>
      </c>
      <c r="Y48" s="13">
        <f>August2026Primary_Tracking!U60</f>
        <v>1.136079900124844E-2</v>
      </c>
      <c r="Z48" s="11">
        <f>August2026Primary_Tracking!V60</f>
        <v>2672</v>
      </c>
      <c r="AA48" s="13">
        <f>August2026Primary_Tracking!W60</f>
        <v>1.4379429666184123E-2</v>
      </c>
      <c r="AB48" s="16">
        <f>August2026Primary_Tracking!X60</f>
        <v>0.12</v>
      </c>
      <c r="AC48" s="11">
        <f>August2026Primary_Tracking!Y60</f>
        <v>546</v>
      </c>
      <c r="AD48" s="13">
        <f>August2026Primary_Tracking!Z60</f>
        <v>1.6079632465543645E-2</v>
      </c>
      <c r="AE48" s="11">
        <f>August2026Primary_Tracking!AA60</f>
        <v>2748</v>
      </c>
      <c r="AF48" s="13">
        <f>August2026Primary_Tracking!AB60</f>
        <v>1.4280072335737595E-2</v>
      </c>
      <c r="AG48" s="16">
        <f>August2026Primary_Tracking!AC60</f>
        <v>0.11</v>
      </c>
      <c r="AH48" s="11">
        <f>August2026Primary_Tracking!AD60</f>
        <v>76</v>
      </c>
      <c r="AI48" s="13">
        <f>August2026Primary_Tracking!AE60</f>
        <v>1.1489040060468633E-2</v>
      </c>
      <c r="AJ48" s="11">
        <f>August2026Primary_Tracking!AF60</f>
        <v>2866</v>
      </c>
      <c r="AK48" s="13">
        <f>August2026Primary_Tracking!AG60</f>
        <v>1.403464098056403E-2</v>
      </c>
      <c r="AL48" s="16">
        <f>August2026Primary_Tracking!AH60</f>
        <v>0.08</v>
      </c>
      <c r="AM48" s="11">
        <f>August2026Primary_Tracking!AI60</f>
        <v>118</v>
      </c>
      <c r="AN48" s="13">
        <f>August2026Primary_Tracking!AJ60</f>
        <v>1.0022933831648687E-2</v>
      </c>
    </row>
    <row r="49" spans="1:40" x14ac:dyDescent="0.3">
      <c r="A49" t="s">
        <v>345</v>
      </c>
      <c r="B49" t="s">
        <v>8</v>
      </c>
      <c r="C49" s="26">
        <f t="shared" si="6"/>
        <v>7242</v>
      </c>
      <c r="D49" s="1">
        <f t="shared" si="7"/>
        <v>3.546366712534707E-2</v>
      </c>
      <c r="E49">
        <f>August2026Primary_Tracking!E61</f>
        <v>4542</v>
      </c>
      <c r="F49" s="5">
        <f>August2026Primary_Tracking!F61</f>
        <v>4.0199999999999993E-2</v>
      </c>
      <c r="G49" s="13">
        <f t="shared" si="0"/>
        <v>0.62717481358740679</v>
      </c>
      <c r="H49" s="28">
        <f t="shared" si="1"/>
        <v>2700</v>
      </c>
      <c r="I49" s="5">
        <f t="shared" si="14"/>
        <v>3.1397539363211387E-2</v>
      </c>
      <c r="J49" s="5">
        <f t="shared" si="12"/>
        <v>-8.802460636788606E-3</v>
      </c>
      <c r="K49">
        <f>August2026Primary_Tracking!G61</f>
        <v>4922</v>
      </c>
      <c r="L49" s="5">
        <f>August2026Primary_Tracking!H61</f>
        <v>3.8800000000000001E-2</v>
      </c>
      <c r="M49">
        <f>August2026Primary_Tracking!I61</f>
        <v>-0.14000000000000001</v>
      </c>
      <c r="N49">
        <f>August2026Primary_Tracking!J61</f>
        <v>380</v>
      </c>
      <c r="O49" s="5">
        <f>August2026Primary_Tracking!K61</f>
        <v>2.7200000000000002E-2</v>
      </c>
      <c r="P49" s="11">
        <f>August2026Primary_Tracking!L61</f>
        <v>5270</v>
      </c>
      <c r="Q49" s="13">
        <f>August2026Primary_Tracking!M61</f>
        <v>3.6634110736505507E-2</v>
      </c>
      <c r="R49" s="10">
        <f>August2026Primary_Tracking!N61</f>
        <v>-0.36</v>
      </c>
      <c r="S49" s="11">
        <f>August2026Primary_Tracking!O61</f>
        <v>348</v>
      </c>
      <c r="T49" s="13">
        <f>August2026Primary_Tracking!P61</f>
        <v>2.0625889046941678E-2</v>
      </c>
      <c r="U49" s="11">
        <f>August2026Primary_Tracking!Q61</f>
        <v>5781</v>
      </c>
      <c r="V49" s="13">
        <f>August2026Primary_Tracking!R61</f>
        <v>3.8066703980509008E-2</v>
      </c>
      <c r="W49" s="10">
        <f>August2026Primary_Tracking!S61</f>
        <v>-0.21</v>
      </c>
      <c r="X49" s="11">
        <f>August2026Primary_Tracking!T61</f>
        <v>511</v>
      </c>
      <c r="Y49" s="13">
        <f>August2026Primary_Tracking!U61</f>
        <v>6.3795255930087391E-2</v>
      </c>
      <c r="Z49" s="11">
        <f>August2026Primary_Tracking!V61</f>
        <v>6434</v>
      </c>
      <c r="AA49" s="13">
        <f>August2026Primary_Tracking!W61</f>
        <v>3.4624719488109523E-2</v>
      </c>
      <c r="AB49" s="16">
        <f>August2026Primary_Tracking!X61</f>
        <v>-0.56000000000000005</v>
      </c>
      <c r="AC49" s="11">
        <f>August2026Primary_Tracking!Y61</f>
        <v>653</v>
      </c>
      <c r="AD49" s="13">
        <f>August2026Primary_Tracking!Z61</f>
        <v>1.9230769230769232E-2</v>
      </c>
      <c r="AE49" s="11">
        <f>August2026Primary_Tracking!AA61</f>
        <v>6555</v>
      </c>
      <c r="AF49" s="13">
        <f>August2026Primary_Tracking!AB61</f>
        <v>3.4063272984264897E-2</v>
      </c>
      <c r="AG49" s="16">
        <f>August2026Primary_Tracking!AC61</f>
        <v>-0.61</v>
      </c>
      <c r="AH49" s="11">
        <f>August2026Primary_Tracking!AD61</f>
        <v>121</v>
      </c>
      <c r="AI49" s="13">
        <f>August2026Primary_Tracking!AE61</f>
        <v>1.8291761148904007E-2</v>
      </c>
      <c r="AJ49" s="11">
        <f>August2026Primary_Tracking!AF61</f>
        <v>7242</v>
      </c>
      <c r="AK49" s="13">
        <f>August2026Primary_Tracking!AG61</f>
        <v>3.546366712534707E-2</v>
      </c>
      <c r="AL49" s="16">
        <f>August2026Primary_Tracking!AH61</f>
        <v>-0.47</v>
      </c>
      <c r="AM49" s="11">
        <f>August2026Primary_Tracking!AI61</f>
        <v>687</v>
      </c>
      <c r="AN49" s="13">
        <f>August2026Primary_Tracking!AJ61</f>
        <v>5.8353860528327528E-2</v>
      </c>
    </row>
    <row r="50" spans="1:40" s="2" customFormat="1" x14ac:dyDescent="0.3">
      <c r="A50" s="2" t="s">
        <v>346</v>
      </c>
      <c r="B50" s="2" t="s">
        <v>298</v>
      </c>
      <c r="C50" s="25">
        <f t="shared" si="6"/>
        <v>213145</v>
      </c>
      <c r="D50" s="3">
        <f t="shared" si="7"/>
        <v>0</v>
      </c>
      <c r="E50" s="2">
        <f>August2026Primary_Tracking!E65</f>
        <v>115692</v>
      </c>
      <c r="F50" s="4" t="str">
        <f>August2026Primary_Tracking!F65</f>
        <v/>
      </c>
      <c r="G50" s="4">
        <f t="shared" si="0"/>
        <v>0.54278542776044481</v>
      </c>
      <c r="H50" s="27">
        <f t="shared" si="1"/>
        <v>97453</v>
      </c>
      <c r="I50" s="4"/>
      <c r="J50" s="5"/>
      <c r="K50" s="2">
        <f>August2026Primary_Tracking!G65</f>
        <v>135916</v>
      </c>
      <c r="L50" s="4" t="str">
        <f>August2026Primary_Tracking!H65</f>
        <v/>
      </c>
      <c r="M50" s="2" t="str">
        <f>August2026Primary_Tracking!I65</f>
        <v/>
      </c>
      <c r="N50" s="2">
        <f>August2026Primary_Tracking!J65</f>
        <v>20224</v>
      </c>
      <c r="O50" s="4" t="str">
        <f>August2026Primary_Tracking!K65</f>
        <v/>
      </c>
      <c r="P50" s="7">
        <f>August2026Primary_Tracking!L65</f>
        <v>161351</v>
      </c>
      <c r="Q50" s="4" t="str">
        <f>August2026Primary_Tracking!M65</f>
        <v/>
      </c>
      <c r="R50" s="9" t="str">
        <f>August2026Primary_Tracking!N65</f>
        <v/>
      </c>
      <c r="S50" s="7">
        <f>August2026Primary_Tracking!O65</f>
        <v>25435</v>
      </c>
      <c r="T50" s="4" t="str">
        <f>August2026Primary_Tracking!P65</f>
        <v/>
      </c>
      <c r="U50" s="7">
        <f>August2026Primary_Tracking!Q65</f>
        <v>180355</v>
      </c>
      <c r="V50" s="4" t="str">
        <f>August2026Primary_Tracking!R65</f>
        <v/>
      </c>
      <c r="W50" s="9" t="str">
        <f>August2026Primary_Tracking!S65</f>
        <v/>
      </c>
      <c r="X50" s="7">
        <f>August2026Primary_Tracking!T65</f>
        <v>19004</v>
      </c>
      <c r="Y50" s="4" t="str">
        <f>August2026Primary_Tracking!U65</f>
        <v/>
      </c>
      <c r="Z50" s="7">
        <f>August2026Primary_Tracking!V65</f>
        <v>192660</v>
      </c>
      <c r="AA50" s="4">
        <f>August2026Primary_Tracking!W65</f>
        <v>0</v>
      </c>
      <c r="AB50" s="30">
        <f>August2026Primary_Tracking!X65</f>
        <v>0</v>
      </c>
      <c r="AC50" s="7">
        <f>August2026Primary_Tracking!Y65</f>
        <v>12305</v>
      </c>
      <c r="AD50" s="4">
        <f>August2026Primary_Tracking!Z65</f>
        <v>0</v>
      </c>
      <c r="AE50" s="7">
        <f>August2026Primary_Tracking!AA65</f>
        <v>205029</v>
      </c>
      <c r="AF50" s="4">
        <f>August2026Primary_Tracking!AB65</f>
        <v>0</v>
      </c>
      <c r="AG50" s="30">
        <f>August2026Primary_Tracking!AC65</f>
        <v>0</v>
      </c>
      <c r="AH50" s="7">
        <f>August2026Primary_Tracking!AD65</f>
        <v>12369</v>
      </c>
      <c r="AI50" s="4">
        <f>August2026Primary_Tracking!AE65</f>
        <v>0</v>
      </c>
      <c r="AJ50" s="7">
        <f>August2026Primary_Tracking!AF65</f>
        <v>213145</v>
      </c>
      <c r="AK50" s="4">
        <f>August2026Primary_Tracking!AG65</f>
        <v>0</v>
      </c>
      <c r="AL50" s="30">
        <f>August2026Primary_Tracking!AH65</f>
        <v>0</v>
      </c>
      <c r="AM50" s="7">
        <f>August2026Primary_Tracking!AI65</f>
        <v>8116</v>
      </c>
      <c r="AN50" s="4">
        <f>August2026Primary_Tracking!AJ65</f>
        <v>0</v>
      </c>
    </row>
    <row r="51" spans="1:40" x14ac:dyDescent="0.3">
      <c r="A51" t="s">
        <v>347</v>
      </c>
      <c r="B51" t="s">
        <v>8</v>
      </c>
      <c r="C51" s="26">
        <f t="shared" si="6"/>
        <v>132805</v>
      </c>
      <c r="D51" s="1">
        <f t="shared" si="7"/>
        <v>0.58773156548446204</v>
      </c>
      <c r="E51">
        <f>August2026Primary_Tracking!E66</f>
        <v>74078</v>
      </c>
      <c r="F51" s="5">
        <f>August2026Primary_Tracking!F66</f>
        <v>0.60240000000000005</v>
      </c>
      <c r="G51" s="13">
        <f t="shared" si="0"/>
        <v>0.55779526373254018</v>
      </c>
      <c r="H51" s="28">
        <f t="shared" si="1"/>
        <v>58727</v>
      </c>
      <c r="I51" s="5">
        <f>H51/H$50</f>
        <v>0.60261869824428183</v>
      </c>
      <c r="J51" s="5">
        <f t="shared" si="12"/>
        <v>2.1869824428177864E-4</v>
      </c>
      <c r="K51">
        <f>August2026Primary_Tracking!G66</f>
        <v>86774</v>
      </c>
      <c r="L51" s="5">
        <f>August2026Primary_Tracking!H66</f>
        <v>0.60709999999999997</v>
      </c>
      <c r="M51">
        <f>August2026Primary_Tracking!I66</f>
        <v>0.47</v>
      </c>
      <c r="N51">
        <f>August2026Primary_Tracking!J66</f>
        <v>12696</v>
      </c>
      <c r="O51" s="5">
        <f>August2026Primary_Tracking!K66</f>
        <v>0.63580000000000003</v>
      </c>
      <c r="P51" s="11">
        <f>August2026Primary_Tracking!L66</f>
        <v>105695</v>
      </c>
      <c r="Q51" s="13">
        <f>August2026Primary_Tracking!M66</f>
        <v>0.61031874350386883</v>
      </c>
      <c r="R51" s="10">
        <f>August2026Primary_Tracking!N66</f>
        <v>0.79</v>
      </c>
      <c r="S51" s="11">
        <f>August2026Primary_Tracking!O66</f>
        <v>18921</v>
      </c>
      <c r="T51" s="13">
        <f>August2026Primary_Tracking!P66</f>
        <v>0.62565306527346076</v>
      </c>
      <c r="U51" s="11">
        <f>August2026Primary_Tracking!Q66</f>
        <v>116632</v>
      </c>
      <c r="V51" s="13">
        <f>August2026Primary_Tracking!R66</f>
        <v>0.60774954665777348</v>
      </c>
      <c r="W51" s="10">
        <f>August2026Primary_Tracking!S66</f>
        <v>0.53</v>
      </c>
      <c r="X51" s="11">
        <f>August2026Primary_Tracking!T66</f>
        <v>10937</v>
      </c>
      <c r="Y51" s="13">
        <f>August2026Primary_Tracking!U66</f>
        <v>0.58399188381033751</v>
      </c>
      <c r="Z51" s="11">
        <f>August2026Primary_Tracking!V66</f>
        <v>123571</v>
      </c>
      <c r="AA51" s="13">
        <f>August2026Primary_Tracking!W66</f>
        <v>0.60176090460630438</v>
      </c>
      <c r="AB51" s="16">
        <f>August2026Primary_Tracking!X66</f>
        <v>-0.06</v>
      </c>
      <c r="AC51" s="11">
        <f>August2026Primary_Tracking!Y66</f>
        <v>6939</v>
      </c>
      <c r="AD51" s="13">
        <f>August2026Primary_Tracking!Z66</f>
        <v>0.51625623093519823</v>
      </c>
      <c r="AE51" s="11">
        <f>August2026Primary_Tracking!AA66</f>
        <v>128704</v>
      </c>
      <c r="AF51" s="13">
        <f>August2026Primary_Tracking!AB66</f>
        <v>0.59164188161094433</v>
      </c>
      <c r="AG51" s="16">
        <f>August2026Primary_Tracking!AC66</f>
        <v>-1.08</v>
      </c>
      <c r="AH51" s="11">
        <f>August2026Primary_Tracking!AD66</f>
        <v>5133</v>
      </c>
      <c r="AI51" s="13">
        <f>August2026Primary_Tracking!AE66</f>
        <v>0.4211519527404004</v>
      </c>
      <c r="AJ51" s="11">
        <f>August2026Primary_Tracking!AF66</f>
        <v>132805</v>
      </c>
      <c r="AK51" s="13">
        <f>August2026Primary_Tracking!AG66</f>
        <v>0.58773156548446204</v>
      </c>
      <c r="AL51" s="16">
        <f>August2026Primary_Tracking!AH66</f>
        <v>-1.47</v>
      </c>
      <c r="AM51" s="11">
        <f>August2026Primary_Tracking!AI66</f>
        <v>4101</v>
      </c>
      <c r="AN51" s="13">
        <f>August2026Primary_Tracking!AJ66</f>
        <v>0.48676557863501485</v>
      </c>
    </row>
    <row r="52" spans="1:40" x14ac:dyDescent="0.3">
      <c r="A52" t="s">
        <v>348</v>
      </c>
      <c r="B52" t="s">
        <v>11</v>
      </c>
      <c r="C52" s="26">
        <f t="shared" si="6"/>
        <v>7307</v>
      </c>
      <c r="D52" s="1">
        <f t="shared" si="7"/>
        <v>3.2337295651481225E-2</v>
      </c>
      <c r="E52">
        <f>August2026Primary_Tracking!E67</f>
        <v>3762</v>
      </c>
      <c r="F52" s="5">
        <f>August2026Primary_Tracking!F67</f>
        <v>3.0600000000000002E-2</v>
      </c>
      <c r="G52" s="13">
        <f t="shared" si="0"/>
        <v>0.51484877514711924</v>
      </c>
      <c r="H52" s="28">
        <f t="shared" si="1"/>
        <v>3545</v>
      </c>
      <c r="I52" s="5">
        <f t="shared" ref="I52:I55" si="15">H52/H$50</f>
        <v>3.6376509702112814E-2</v>
      </c>
      <c r="J52" s="5">
        <f t="shared" si="12"/>
        <v>5.7765097021128115E-3</v>
      </c>
      <c r="K52">
        <f>August2026Primary_Tracking!G67</f>
        <v>4359</v>
      </c>
      <c r="L52" s="5">
        <f>August2026Primary_Tracking!H67</f>
        <v>3.0499999999999999E-2</v>
      </c>
      <c r="M52">
        <f>August2026Primary_Tracking!I67</f>
        <v>-0.01</v>
      </c>
      <c r="N52">
        <f>August2026Primary_Tracking!J67</f>
        <v>597</v>
      </c>
      <c r="O52" s="5">
        <f>August2026Primary_Tracking!K67</f>
        <v>2.9900000000000003E-2</v>
      </c>
      <c r="P52" s="11">
        <f>August2026Primary_Tracking!L67</f>
        <v>5362</v>
      </c>
      <c r="Q52" s="13">
        <f>August2026Primary_Tracking!M67</f>
        <v>3.0962004850444626E-2</v>
      </c>
      <c r="R52" s="10">
        <f>August2026Primary_Tracking!N67</f>
        <v>0.04</v>
      </c>
      <c r="S52" s="11">
        <f>August2026Primary_Tracking!O67</f>
        <v>1003</v>
      </c>
      <c r="T52" s="13">
        <f>August2026Primary_Tracking!P67</f>
        <v>3.3165795912968719E-2</v>
      </c>
      <c r="U52" s="11">
        <f>August2026Primary_Tracking!Q67</f>
        <v>6020</v>
      </c>
      <c r="V52" s="13">
        <f>August2026Primary_Tracking!R67</f>
        <v>3.1369197740584033E-2</v>
      </c>
      <c r="W52" s="10">
        <f>August2026Primary_Tracking!S67</f>
        <v>0.08</v>
      </c>
      <c r="X52" s="11">
        <f>August2026Primary_Tracking!T67</f>
        <v>658</v>
      </c>
      <c r="Y52" s="13">
        <f>August2026Primary_Tracking!U67</f>
        <v>3.5134557881247329E-2</v>
      </c>
      <c r="Z52" s="11">
        <f>August2026Primary_Tracking!V67</f>
        <v>6482</v>
      </c>
      <c r="AA52" s="13">
        <f>August2026Primary_Tracking!W67</f>
        <v>3.1565773390666622E-2</v>
      </c>
      <c r="AB52" s="16">
        <f>August2026Primary_Tracking!X67</f>
        <v>0.1</v>
      </c>
      <c r="AC52" s="11">
        <f>August2026Primary_Tracking!Y67</f>
        <v>462</v>
      </c>
      <c r="AD52" s="13">
        <f>August2026Primary_Tracking!Z67</f>
        <v>3.4372442526597727E-2</v>
      </c>
      <c r="AE52" s="11">
        <f>August2026Primary_Tracking!AA67</f>
        <v>6953</v>
      </c>
      <c r="AF52" s="13">
        <f>August2026Primary_Tracking!AB67</f>
        <v>3.1962378813719043E-2</v>
      </c>
      <c r="AG52" s="16">
        <f>August2026Primary_Tracking!AC67</f>
        <v>0.14000000000000001</v>
      </c>
      <c r="AH52" s="11">
        <f>August2026Primary_Tracking!AD67</f>
        <v>471</v>
      </c>
      <c r="AI52" s="13">
        <f>August2026Primary_Tracking!AE67</f>
        <v>3.8644568427961927E-2</v>
      </c>
      <c r="AJ52" s="11">
        <f>August2026Primary_Tracking!AF67</f>
        <v>7307</v>
      </c>
      <c r="AK52" s="13">
        <f>August2026Primary_Tracking!AG67</f>
        <v>3.2337295651481225E-2</v>
      </c>
      <c r="AL52" s="16">
        <f>August2026Primary_Tracking!AH67</f>
        <v>0.17</v>
      </c>
      <c r="AM52" s="11">
        <f>August2026Primary_Tracking!AI67</f>
        <v>354</v>
      </c>
      <c r="AN52" s="13">
        <f>August2026Primary_Tracking!AJ67</f>
        <v>4.2017804154302674E-2</v>
      </c>
    </row>
    <row r="53" spans="1:40" x14ac:dyDescent="0.3">
      <c r="A53" t="s">
        <v>349</v>
      </c>
      <c r="B53" t="s">
        <v>9</v>
      </c>
      <c r="C53" s="26">
        <f t="shared" si="6"/>
        <v>57700</v>
      </c>
      <c r="D53" s="1">
        <f t="shared" si="7"/>
        <v>0.2553526699179508</v>
      </c>
      <c r="E53">
        <f>August2026Primary_Tracking!E68</f>
        <v>30892</v>
      </c>
      <c r="F53" s="5">
        <f>August2026Primary_Tracking!F68</f>
        <v>0.25120000000000003</v>
      </c>
      <c r="G53" s="13">
        <f t="shared" si="0"/>
        <v>0.5353899480069324</v>
      </c>
      <c r="H53" s="28">
        <f t="shared" si="1"/>
        <v>26808</v>
      </c>
      <c r="I53" s="5">
        <f t="shared" si="15"/>
        <v>0.27508645193067427</v>
      </c>
      <c r="J53" s="5">
        <f t="shared" si="12"/>
        <v>2.3886451930674235E-2</v>
      </c>
      <c r="K53">
        <f>August2026Primary_Tracking!G68</f>
        <v>35369</v>
      </c>
      <c r="L53" s="5">
        <f>August2026Primary_Tracking!H68</f>
        <v>0.24739999999999998</v>
      </c>
      <c r="M53">
        <f>August2026Primary_Tracking!I68</f>
        <v>-0.38</v>
      </c>
      <c r="N53">
        <f>August2026Primary_Tracking!J68</f>
        <v>4477</v>
      </c>
      <c r="O53" s="5">
        <f>August2026Primary_Tracking!K68</f>
        <v>0.22420000000000001</v>
      </c>
      <c r="P53" s="11">
        <f>August2026Primary_Tracking!L68</f>
        <v>42062</v>
      </c>
      <c r="Q53" s="13">
        <f>August2026Primary_Tracking!M68</f>
        <v>0.24288024021249566</v>
      </c>
      <c r="R53" s="10">
        <f>August2026Primary_Tracking!N68</f>
        <v>-0.83</v>
      </c>
      <c r="S53" s="11">
        <f>August2026Primary_Tracking!O68</f>
        <v>6693</v>
      </c>
      <c r="T53" s="13">
        <f>August2026Primary_Tracking!P68</f>
        <v>0.22131472786191389</v>
      </c>
      <c r="U53" s="11">
        <f>August2026Primary_Tracking!Q68</f>
        <v>46766</v>
      </c>
      <c r="V53" s="13">
        <f>August2026Primary_Tracking!R68</f>
        <v>0.24368968464055693</v>
      </c>
      <c r="W53" s="10">
        <f>August2026Primary_Tracking!S68</f>
        <v>-0.75</v>
      </c>
      <c r="X53" s="11">
        <f>August2026Primary_Tracking!T68</f>
        <v>4704</v>
      </c>
      <c r="Y53" s="13">
        <f>August2026Primary_Tracking!U68</f>
        <v>0.25117471166168304</v>
      </c>
      <c r="Z53" s="11">
        <f>August2026Primary_Tracking!V68</f>
        <v>51079</v>
      </c>
      <c r="AA53" s="13">
        <f>August2026Primary_Tracking!W68</f>
        <v>0.24874238491543665</v>
      </c>
      <c r="AB53" s="16">
        <f>August2026Primary_Tracking!X68</f>
        <v>-0.25</v>
      </c>
      <c r="AC53" s="11">
        <f>August2026Primary_Tracking!Y68</f>
        <v>4313</v>
      </c>
      <c r="AD53" s="13">
        <f>August2026Primary_Tracking!Z68</f>
        <v>0.32088386280782683</v>
      </c>
      <c r="AE53" s="11">
        <f>August2026Primary_Tracking!AA68</f>
        <v>55449</v>
      </c>
      <c r="AF53" s="13">
        <f>August2026Primary_Tracking!AB68</f>
        <v>0.25489456965941426</v>
      </c>
      <c r="AG53" s="16">
        <f>August2026Primary_Tracking!AC68</f>
        <v>0.37</v>
      </c>
      <c r="AH53" s="11">
        <f>August2026Primary_Tracking!AD68</f>
        <v>4370</v>
      </c>
      <c r="AI53" s="13">
        <f>August2026Primary_Tracking!AE68</f>
        <v>0.3585493928454217</v>
      </c>
      <c r="AJ53" s="11">
        <f>August2026Primary_Tracking!AF68</f>
        <v>57700</v>
      </c>
      <c r="AK53" s="13">
        <f>August2026Primary_Tracking!AG68</f>
        <v>0.2553526699179508</v>
      </c>
      <c r="AL53" s="16">
        <f>August2026Primary_Tracking!AH68</f>
        <v>0.42</v>
      </c>
      <c r="AM53" s="11">
        <f>August2026Primary_Tracking!AI68</f>
        <v>2251</v>
      </c>
      <c r="AN53" s="13">
        <f>August2026Primary_Tracking!AJ68</f>
        <v>0.26718100890207713</v>
      </c>
    </row>
    <row r="54" spans="1:40" x14ac:dyDescent="0.3">
      <c r="A54" t="s">
        <v>350</v>
      </c>
      <c r="B54" t="s">
        <v>11</v>
      </c>
      <c r="C54" s="26">
        <f t="shared" si="6"/>
        <v>6044</v>
      </c>
      <c r="D54" s="1">
        <f t="shared" si="7"/>
        <v>2.6747860259689681E-2</v>
      </c>
      <c r="E54">
        <f>August2026Primary_Tracking!E69</f>
        <v>2707</v>
      </c>
      <c r="F54" s="5">
        <f>August2026Primary_Tracking!F69</f>
        <v>2.2000000000000002E-2</v>
      </c>
      <c r="G54" s="13">
        <f t="shared" si="0"/>
        <v>0.44788219722038386</v>
      </c>
      <c r="H54" s="28">
        <f t="shared" si="1"/>
        <v>3337</v>
      </c>
      <c r="I54" s="5">
        <f t="shared" si="15"/>
        <v>3.4242147496742016E-2</v>
      </c>
      <c r="J54" s="5">
        <f t="shared" si="12"/>
        <v>1.2242147496742014E-2</v>
      </c>
      <c r="K54">
        <f>August2026Primary_Tracking!G69</f>
        <v>3353</v>
      </c>
      <c r="L54" s="5">
        <f>August2026Primary_Tracking!H69</f>
        <v>2.35E-2</v>
      </c>
      <c r="M54">
        <f>August2026Primary_Tracking!I69</f>
        <v>0.15</v>
      </c>
      <c r="N54">
        <f>August2026Primary_Tracking!J69</f>
        <v>646</v>
      </c>
      <c r="O54" s="5">
        <f>August2026Primary_Tracking!K69</f>
        <v>3.2400000000000005E-2</v>
      </c>
      <c r="P54" s="11">
        <f>August2026Primary_Tracking!L69</f>
        <v>4444</v>
      </c>
      <c r="Q54" s="13">
        <f>August2026Primary_Tracking!M69</f>
        <v>2.5661161796974245E-2</v>
      </c>
      <c r="R54" s="10">
        <f>August2026Primary_Tracking!N69</f>
        <v>0.37</v>
      </c>
      <c r="S54" s="11">
        <f>August2026Primary_Tracking!O69</f>
        <v>1091</v>
      </c>
      <c r="T54" s="13">
        <f>August2026Primary_Tracking!P69</f>
        <v>3.6075656371933072E-2</v>
      </c>
      <c r="U54" s="11">
        <f>August2026Primary_Tracking!Q69</f>
        <v>5021</v>
      </c>
      <c r="V54" s="13">
        <f>August2026Primary_Tracking!R69</f>
        <v>2.6163578381307711E-2</v>
      </c>
      <c r="W54" s="10">
        <f>August2026Primary_Tracking!S69</f>
        <v>0.42</v>
      </c>
      <c r="X54" s="11">
        <f>August2026Primary_Tracking!T69</f>
        <v>577</v>
      </c>
      <c r="Y54" s="13">
        <f>August2026Primary_Tracking!U69</f>
        <v>3.0809483126868858E-2</v>
      </c>
      <c r="Z54" s="11">
        <f>August2026Primary_Tracking!V69</f>
        <v>5432</v>
      </c>
      <c r="AA54" s="13">
        <f>August2026Primary_Tracking!W69</f>
        <v>2.6452527161076995E-2</v>
      </c>
      <c r="AB54" s="16">
        <f>August2026Primary_Tracking!X69</f>
        <v>0.45</v>
      </c>
      <c r="AC54" s="11">
        <f>August2026Primary_Tracking!Y69</f>
        <v>411</v>
      </c>
      <c r="AD54" s="13">
        <f>August2026Primary_Tracking!Z69</f>
        <v>3.0578081987947325E-2</v>
      </c>
      <c r="AE54" s="11">
        <f>August2026Primary_Tracking!AA69</f>
        <v>5779</v>
      </c>
      <c r="AF54" s="13">
        <f>August2026Primary_Tracking!AB69</f>
        <v>2.6565595737736571E-2</v>
      </c>
      <c r="AG54" s="16">
        <f>August2026Primary_Tracking!AC69</f>
        <v>0.46</v>
      </c>
      <c r="AH54" s="11">
        <f>August2026Primary_Tracking!AD69</f>
        <v>347</v>
      </c>
      <c r="AI54" s="13">
        <f>August2026Primary_Tracking!AE69</f>
        <v>2.8470626846078109E-2</v>
      </c>
      <c r="AJ54" s="11">
        <f>August2026Primary_Tracking!AF69</f>
        <v>6044</v>
      </c>
      <c r="AK54" s="13">
        <f>August2026Primary_Tracking!AG69</f>
        <v>2.6747860259689681E-2</v>
      </c>
      <c r="AL54" s="16">
        <f>August2026Primary_Tracking!AH69</f>
        <v>0.47</v>
      </c>
      <c r="AM54" s="11">
        <f>August2026Primary_Tracking!AI69</f>
        <v>265</v>
      </c>
      <c r="AN54" s="13">
        <f>August2026Primary_Tracking!AJ69</f>
        <v>3.1454005934718102E-2</v>
      </c>
    </row>
    <row r="55" spans="1:40" x14ac:dyDescent="0.3">
      <c r="A55" t="s">
        <v>351</v>
      </c>
      <c r="B55" t="s">
        <v>9</v>
      </c>
      <c r="C55" s="26">
        <f t="shared" si="6"/>
        <v>21965</v>
      </c>
      <c r="D55" s="1">
        <f t="shared" si="7"/>
        <v>9.7206609960966889E-2</v>
      </c>
      <c r="E55">
        <f>August2026Primary_Tracking!E70</f>
        <v>11462</v>
      </c>
      <c r="F55" s="5">
        <f>August2026Primary_Tracking!F70</f>
        <v>9.3200000000000005E-2</v>
      </c>
      <c r="G55" s="13">
        <f t="shared" si="0"/>
        <v>0.52183018438424766</v>
      </c>
      <c r="H55" s="28">
        <f t="shared" si="1"/>
        <v>10503</v>
      </c>
      <c r="I55" s="5">
        <f t="shared" si="15"/>
        <v>0.10777503001446852</v>
      </c>
      <c r="J55" s="5">
        <f t="shared" si="12"/>
        <v>1.4575030014468512E-2</v>
      </c>
      <c r="K55">
        <f>August2026Primary_Tracking!G70</f>
        <v>13000</v>
      </c>
      <c r="L55" s="5">
        <f>August2026Primary_Tracking!H70</f>
        <v>9.0899999999999995E-2</v>
      </c>
      <c r="M55">
        <f>August2026Primary_Tracking!I70</f>
        <v>-0.23</v>
      </c>
      <c r="N55">
        <f>August2026Primary_Tracking!J70</f>
        <v>1538</v>
      </c>
      <c r="O55" s="5">
        <f>August2026Primary_Tracking!K70</f>
        <v>7.6999999999999999E-2</v>
      </c>
      <c r="P55" s="11">
        <f>August2026Primary_Tracking!L70</f>
        <v>15514</v>
      </c>
      <c r="Q55" s="13">
        <f>August2026Primary_Tracking!M70</f>
        <v>8.9583092735881747E-2</v>
      </c>
      <c r="R55" s="10">
        <f>August2026Primary_Tracking!N70</f>
        <v>-0.36</v>
      </c>
      <c r="S55" s="11">
        <f>August2026Primary_Tracking!O70</f>
        <v>2514</v>
      </c>
      <c r="T55" s="13">
        <f>August2026Primary_Tracking!P70</f>
        <v>8.3129422657231666E-2</v>
      </c>
      <c r="U55" s="11">
        <f>August2026Primary_Tracking!Q70</f>
        <v>17365</v>
      </c>
      <c r="V55" s="13">
        <f>August2026Primary_Tracking!R70</f>
        <v>9.0486066240073368E-2</v>
      </c>
      <c r="W55" s="10">
        <f>August2026Primary_Tracking!S70</f>
        <v>-0.27</v>
      </c>
      <c r="X55" s="11">
        <f>August2026Primary_Tracking!T70</f>
        <v>1851</v>
      </c>
      <c r="Y55" s="13">
        <f>August2026Primary_Tracking!U70</f>
        <v>9.8835967535241348E-2</v>
      </c>
      <c r="Z55" s="11">
        <f>August2026Primary_Tracking!V70</f>
        <v>18670</v>
      </c>
      <c r="AA55" s="13">
        <f>August2026Primary_Tracking!W70</f>
        <v>9.0918387720417437E-2</v>
      </c>
      <c r="AB55" s="16">
        <f>August2026Primary_Tracking!X70</f>
        <v>-0.23</v>
      </c>
      <c r="AC55" s="11">
        <f>August2026Primary_Tracking!Y70</f>
        <v>1305</v>
      </c>
      <c r="AD55" s="13">
        <f>August2026Primary_Tracking!Z70</f>
        <v>9.7090990253701367E-2</v>
      </c>
      <c r="AE55" s="11">
        <f>August2026Primary_Tracking!AA70</f>
        <v>20535</v>
      </c>
      <c r="AF55" s="13">
        <f>August2026Primary_Tracking!AB70</f>
        <v>9.4397734638245454E-2</v>
      </c>
      <c r="AG55" s="16">
        <f>August2026Primary_Tracking!AC70</f>
        <v>0.12</v>
      </c>
      <c r="AH55" s="11">
        <f>August2026Primary_Tracking!AD70</f>
        <v>1865</v>
      </c>
      <c r="AI55" s="13">
        <f>August2026Primary_Tracking!AE70</f>
        <v>0.15301936330817198</v>
      </c>
      <c r="AJ55" s="11">
        <f>August2026Primary_Tracking!AF70</f>
        <v>21965</v>
      </c>
      <c r="AK55" s="13">
        <f>August2026Primary_Tracking!AG70</f>
        <v>9.7206609960966889E-2</v>
      </c>
      <c r="AL55" s="16">
        <f>August2026Primary_Tracking!AH70</f>
        <v>0.4</v>
      </c>
      <c r="AM55" s="11">
        <f>August2026Primary_Tracking!AI70</f>
        <v>1430</v>
      </c>
      <c r="AN55" s="13">
        <f>August2026Primary_Tracking!AJ70</f>
        <v>0.16973293768545994</v>
      </c>
    </row>
    <row r="56" spans="1:40" s="2" customFormat="1" x14ac:dyDescent="0.3">
      <c r="A56" s="2" t="s">
        <v>352</v>
      </c>
      <c r="B56" s="2" t="s">
        <v>298</v>
      </c>
      <c r="C56" s="25">
        <f t="shared" si="6"/>
        <v>221294</v>
      </c>
      <c r="D56" s="3">
        <f t="shared" si="7"/>
        <v>0</v>
      </c>
      <c r="E56" s="2">
        <f>August2026Primary_Tracking!E74</f>
        <v>103074</v>
      </c>
      <c r="F56" s="4" t="str">
        <f>August2026Primary_Tracking!F74</f>
        <v/>
      </c>
      <c r="G56" s="4">
        <f t="shared" si="0"/>
        <v>0.46577855703272569</v>
      </c>
      <c r="H56" s="27">
        <f t="shared" si="1"/>
        <v>118220</v>
      </c>
      <c r="I56" s="4"/>
      <c r="J56" s="5"/>
      <c r="K56" s="2">
        <f>August2026Primary_Tracking!G74</f>
        <v>128406</v>
      </c>
      <c r="L56" s="4" t="str">
        <f>August2026Primary_Tracking!H74</f>
        <v/>
      </c>
      <c r="M56" s="2" t="str">
        <f>August2026Primary_Tracking!I74</f>
        <v/>
      </c>
      <c r="N56" s="2">
        <f>August2026Primary_Tracking!J74</f>
        <v>25332</v>
      </c>
      <c r="O56" s="4" t="str">
        <f>August2026Primary_Tracking!K74</f>
        <v/>
      </c>
      <c r="P56" s="7">
        <f>August2026Primary_Tracking!L74</f>
        <v>166558</v>
      </c>
      <c r="Q56" s="4" t="str">
        <f>August2026Primary_Tracking!M74</f>
        <v/>
      </c>
      <c r="R56" s="9" t="str">
        <f>August2026Primary_Tracking!N74</f>
        <v/>
      </c>
      <c r="S56" s="7">
        <f>August2026Primary_Tracking!O74</f>
        <v>38152</v>
      </c>
      <c r="T56" s="4" t="str">
        <f>August2026Primary_Tracking!P74</f>
        <v/>
      </c>
      <c r="U56" s="7">
        <f>August2026Primary_Tracking!Q74</f>
        <v>204458</v>
      </c>
      <c r="V56" s="4" t="str">
        <f>August2026Primary_Tracking!R74</f>
        <v/>
      </c>
      <c r="W56" s="9" t="str">
        <f>August2026Primary_Tracking!S74</f>
        <v/>
      </c>
      <c r="X56" s="7">
        <f>August2026Primary_Tracking!T74</f>
        <v>37900</v>
      </c>
      <c r="Y56" s="4" t="str">
        <f>August2026Primary_Tracking!U74</f>
        <v/>
      </c>
      <c r="Z56" s="7">
        <f>August2026Primary_Tracking!V74</f>
        <v>218354</v>
      </c>
      <c r="AA56" s="4">
        <f>August2026Primary_Tracking!W74</f>
        <v>0</v>
      </c>
      <c r="AB56" s="30">
        <f>August2026Primary_Tracking!X74</f>
        <v>0</v>
      </c>
      <c r="AC56" s="7">
        <f>August2026Primary_Tracking!Y74</f>
        <v>13896</v>
      </c>
      <c r="AD56" s="4">
        <f>August2026Primary_Tracking!Z74</f>
        <v>0</v>
      </c>
      <c r="AE56" s="7">
        <f>August2026Primary_Tracking!AA74</f>
        <v>219033</v>
      </c>
      <c r="AF56" s="4">
        <f>August2026Primary_Tracking!AB74</f>
        <v>0</v>
      </c>
      <c r="AG56" s="30">
        <f>August2026Primary_Tracking!AC74</f>
        <v>0</v>
      </c>
      <c r="AH56" s="7">
        <f>August2026Primary_Tracking!AD74</f>
        <v>679</v>
      </c>
      <c r="AI56" s="4">
        <f>August2026Primary_Tracking!AE74</f>
        <v>0</v>
      </c>
      <c r="AJ56" s="7">
        <f>August2026Primary_Tracking!AF74</f>
        <v>221294</v>
      </c>
      <c r="AK56" s="4">
        <f>August2026Primary_Tracking!AG74</f>
        <v>0</v>
      </c>
      <c r="AL56" s="30">
        <f>August2026Primary_Tracking!AH74</f>
        <v>0</v>
      </c>
      <c r="AM56" s="7">
        <f>August2026Primary_Tracking!AI74</f>
        <v>2261</v>
      </c>
      <c r="AN56" s="4">
        <f>August2026Primary_Tracking!AJ74</f>
        <v>0</v>
      </c>
    </row>
    <row r="57" spans="1:40" x14ac:dyDescent="0.3">
      <c r="A57" t="s">
        <v>353</v>
      </c>
      <c r="B57" t="s">
        <v>11</v>
      </c>
      <c r="C57" s="26">
        <f t="shared" si="6"/>
        <v>4294</v>
      </c>
      <c r="D57" s="1">
        <f t="shared" si="7"/>
        <v>1.9811664613524897E-2</v>
      </c>
      <c r="E57">
        <f>August2026Primary_Tracking!E75</f>
        <v>2446</v>
      </c>
      <c r="F57" s="5">
        <f>August2026Primary_Tracking!F75</f>
        <v>2.4300000000000002E-2</v>
      </c>
      <c r="G57" s="13">
        <f t="shared" si="0"/>
        <v>0.56963204471355378</v>
      </c>
      <c r="H57" s="28">
        <f t="shared" si="1"/>
        <v>1848</v>
      </c>
      <c r="I57" s="5">
        <f>H57/H$56</f>
        <v>1.5631872779563526E-2</v>
      </c>
      <c r="J57" s="5">
        <f t="shared" si="12"/>
        <v>-8.6681272204364758E-3</v>
      </c>
      <c r="K57">
        <f>August2026Primary_Tracking!G75</f>
        <v>2905</v>
      </c>
      <c r="L57" s="5">
        <f>August2026Primary_Tracking!H75</f>
        <v>2.3199999999999998E-2</v>
      </c>
      <c r="M57">
        <f>August2026Primary_Tracking!I75</f>
        <v>-0.11</v>
      </c>
      <c r="N57">
        <f>August2026Primary_Tracking!J75</f>
        <v>459</v>
      </c>
      <c r="O57" s="5">
        <f>August2026Primary_Tracking!K75</f>
        <v>1.8500000000000003E-2</v>
      </c>
      <c r="P57" s="11">
        <f>August2026Primary_Tracking!L75</f>
        <v>3516</v>
      </c>
      <c r="Q57" s="13">
        <f>August2026Primary_Tracking!M75</f>
        <v>2.1586841604400869E-2</v>
      </c>
      <c r="R57" s="10">
        <f>August2026Primary_Tracking!N75</f>
        <v>-0.27</v>
      </c>
      <c r="S57" s="11">
        <f>August2026Primary_Tracking!O75</f>
        <v>611</v>
      </c>
      <c r="T57" s="13">
        <f>August2026Primary_Tracking!P75</f>
        <v>1.6320752197024335E-2</v>
      </c>
      <c r="U57" s="11">
        <f>August2026Primary_Tracking!Q75</f>
        <v>3975</v>
      </c>
      <c r="V57" s="13">
        <f>August2026Primary_Tracking!R75</f>
        <v>1.9874105665245063E-2</v>
      </c>
      <c r="W57" s="10">
        <f>August2026Primary_Tracking!S75</f>
        <v>-0.44</v>
      </c>
      <c r="X57" s="11">
        <f>August2026Primary_Tracking!T75</f>
        <v>459</v>
      </c>
      <c r="Y57" s="13">
        <f>August2026Primary_Tracking!U75</f>
        <v>1.2361305612409782E-2</v>
      </c>
      <c r="Z57" s="11">
        <f>August2026Primary_Tracking!V75</f>
        <v>4249</v>
      </c>
      <c r="AA57" s="13">
        <f>August2026Primary_Tracking!W75</f>
        <v>1.989111149602318E-2</v>
      </c>
      <c r="AB57" s="16">
        <f>August2026Primary_Tracking!X75</f>
        <v>-0.44</v>
      </c>
      <c r="AC57" s="11">
        <f>August2026Primary_Tracking!Y75</f>
        <v>274</v>
      </c>
      <c r="AD57" s="13">
        <f>August2026Primary_Tracking!Z75</f>
        <v>2.0141134960305791E-2</v>
      </c>
      <c r="AE57" s="11">
        <f>August2026Primary_Tracking!AA75</f>
        <v>4266</v>
      </c>
      <c r="AF57" s="13">
        <f>August2026Primary_Tracking!AB75</f>
        <v>1.9890430120060615E-2</v>
      </c>
      <c r="AG57" s="16">
        <f>August2026Primary_Tracking!AC75</f>
        <v>-0.44</v>
      </c>
      <c r="AH57" s="11">
        <f>August2026Primary_Tracking!AD75</f>
        <v>17</v>
      </c>
      <c r="AI57" s="13">
        <f>August2026Primary_Tracking!AE75</f>
        <v>1.9721577726218097E-2</v>
      </c>
      <c r="AJ57" s="11">
        <f>August2026Primary_Tracking!AF75</f>
        <v>4294</v>
      </c>
      <c r="AK57" s="13">
        <f>August2026Primary_Tracking!AG75</f>
        <v>1.9811664613524897E-2</v>
      </c>
      <c r="AL57" s="16">
        <f>August2026Primary_Tracking!AH75</f>
        <v>-0.45</v>
      </c>
      <c r="AM57" s="11">
        <f>August2026Primary_Tracking!AI75</f>
        <v>28</v>
      </c>
      <c r="AN57" s="13">
        <f>August2026Primary_Tracking!AJ75</f>
        <v>1.2356575463371581E-2</v>
      </c>
    </row>
    <row r="58" spans="1:40" x14ac:dyDescent="0.3">
      <c r="A58" t="s">
        <v>354</v>
      </c>
      <c r="B58" t="s">
        <v>282</v>
      </c>
      <c r="C58" s="26">
        <f t="shared" si="6"/>
        <v>182844</v>
      </c>
      <c r="D58" s="1">
        <f t="shared" si="7"/>
        <v>0.84360596287735135</v>
      </c>
      <c r="E58">
        <f>August2026Primary_Tracking!E76</f>
        <v>83539</v>
      </c>
      <c r="F58" s="5">
        <f>August2026Primary_Tracking!F76</f>
        <v>0.82980000000000009</v>
      </c>
      <c r="G58" s="13">
        <f t="shared" si="0"/>
        <v>0.45688674498479576</v>
      </c>
      <c r="H58" s="28">
        <f t="shared" si="1"/>
        <v>99305</v>
      </c>
      <c r="I58" s="5">
        <f t="shared" ref="I58:I60" si="16">H58/H$56</f>
        <v>0.84000169176112338</v>
      </c>
      <c r="J58" s="5">
        <f t="shared" si="12"/>
        <v>1.0201691761123288E-2</v>
      </c>
      <c r="K58">
        <f>August2026Primary_Tracking!G76</f>
        <v>104661</v>
      </c>
      <c r="L58" s="5">
        <f>August2026Primary_Tracking!H76</f>
        <v>0.83440000000000003</v>
      </c>
      <c r="M58">
        <f>August2026Primary_Tracking!I76</f>
        <v>0.46</v>
      </c>
      <c r="N58">
        <f>August2026Primary_Tracking!J76</f>
        <v>21122</v>
      </c>
      <c r="O58" s="5">
        <f>August2026Primary_Tracking!K76</f>
        <v>0.8528</v>
      </c>
      <c r="P58" s="11">
        <f>August2026Primary_Tracking!L76</f>
        <v>136432</v>
      </c>
      <c r="Q58" s="13">
        <f>August2026Primary_Tracking!M76</f>
        <v>0.83763821779625114</v>
      </c>
      <c r="R58" s="10">
        <f>August2026Primary_Tracking!N76</f>
        <v>0.78</v>
      </c>
      <c r="S58" s="11">
        <f>August2026Primary_Tracking!O76</f>
        <v>31771</v>
      </c>
      <c r="T58" s="13">
        <f>August2026Primary_Tracking!P76</f>
        <v>0.84865240270320808</v>
      </c>
      <c r="U58" s="11">
        <f>August2026Primary_Tracking!Q76</f>
        <v>168907</v>
      </c>
      <c r="V58" s="13">
        <f>August2026Primary_Tracking!R76</f>
        <v>0.84449699763510644</v>
      </c>
      <c r="W58" s="10">
        <f>August2026Primary_Tracking!S76</f>
        <v>1.47</v>
      </c>
      <c r="X58" s="11">
        <f>August2026Primary_Tracking!T76</f>
        <v>32475</v>
      </c>
      <c r="Y58" s="13">
        <f>August2026Primary_Tracking!U76</f>
        <v>0.87458257028977704</v>
      </c>
      <c r="Z58" s="11">
        <f>August2026Primary_Tracking!V76</f>
        <v>180279</v>
      </c>
      <c r="AA58" s="13">
        <f>August2026Primary_Tracking!W76</f>
        <v>0.84395144490269791</v>
      </c>
      <c r="AB58" s="16">
        <f>August2026Primary_Tracking!X76</f>
        <v>1.42</v>
      </c>
      <c r="AC58" s="11">
        <f>August2026Primary_Tracking!Y76</f>
        <v>11372</v>
      </c>
      <c r="AD58" s="13">
        <f>August2026Primary_Tracking!Z76</f>
        <v>0.83593060864451629</v>
      </c>
      <c r="AE58" s="11">
        <f>August2026Primary_Tracking!AA76</f>
        <v>180901</v>
      </c>
      <c r="AF58" s="13">
        <f>August2026Primary_Tracking!AB76</f>
        <v>0.84345961067723507</v>
      </c>
      <c r="AG58" s="16">
        <f>August2026Primary_Tracking!AC76</f>
        <v>1.37</v>
      </c>
      <c r="AH58" s="11">
        <f>August2026Primary_Tracking!AD76</f>
        <v>622</v>
      </c>
      <c r="AI58" s="13">
        <f>August2026Primary_Tracking!AE76</f>
        <v>0.72157772621809746</v>
      </c>
      <c r="AJ58" s="11">
        <f>August2026Primary_Tracking!AF76</f>
        <v>182844</v>
      </c>
      <c r="AK58" s="13">
        <f>August2026Primary_Tracking!AG76</f>
        <v>0.84360596287735135</v>
      </c>
      <c r="AL58" s="16">
        <f>August2026Primary_Tracking!AH76</f>
        <v>1.38</v>
      </c>
      <c r="AM58" s="11">
        <f>August2026Primary_Tracking!AI76</f>
        <v>1943</v>
      </c>
      <c r="AN58" s="13">
        <f>August2026Primary_Tracking!AJ76</f>
        <v>0.85745807590467782</v>
      </c>
    </row>
    <row r="59" spans="1:40" x14ac:dyDescent="0.3">
      <c r="A59" t="s">
        <v>355</v>
      </c>
      <c r="B59" t="s">
        <v>9</v>
      </c>
      <c r="C59" s="26">
        <f t="shared" si="6"/>
        <v>21282</v>
      </c>
      <c r="D59" s="1">
        <f t="shared" si="7"/>
        <v>9.8190928343045381E-2</v>
      </c>
      <c r="E59">
        <f>August2026Primary_Tracking!E77</f>
        <v>10824</v>
      </c>
      <c r="F59" s="5">
        <f>August2026Primary_Tracking!F77</f>
        <v>0.1075</v>
      </c>
      <c r="G59" s="13">
        <f t="shared" si="0"/>
        <v>0.50859881590076117</v>
      </c>
      <c r="H59" s="28">
        <f t="shared" si="1"/>
        <v>10458</v>
      </c>
      <c r="I59" s="5">
        <f t="shared" si="16"/>
        <v>8.8462189138893588E-2</v>
      </c>
      <c r="J59" s="5">
        <f t="shared" si="12"/>
        <v>-1.9037810861106411E-2</v>
      </c>
      <c r="K59">
        <f>August2026Primary_Tracking!G77</f>
        <v>13261</v>
      </c>
      <c r="L59" s="5">
        <f>August2026Primary_Tracking!H77</f>
        <v>0.1057</v>
      </c>
      <c r="M59">
        <f>August2026Primary_Tracking!I77</f>
        <v>-0.18</v>
      </c>
      <c r="N59">
        <f>August2026Primary_Tracking!J77</f>
        <v>2437</v>
      </c>
      <c r="O59" s="5">
        <f>August2026Primary_Tracking!K77</f>
        <v>9.8400000000000001E-2</v>
      </c>
      <c r="P59" s="11">
        <f>August2026Primary_Tracking!L77</f>
        <v>16757</v>
      </c>
      <c r="Q59" s="13">
        <f>August2026Primary_Tracking!M77</f>
        <v>0.10288131534839173</v>
      </c>
      <c r="R59" s="10">
        <f>August2026Primary_Tracking!N77</f>
        <v>-0.46</v>
      </c>
      <c r="S59" s="11">
        <f>August2026Primary_Tracking!O77</f>
        <v>3496</v>
      </c>
      <c r="T59" s="13">
        <f>August2026Primary_Tracking!P77</f>
        <v>9.3383551032401105E-2</v>
      </c>
      <c r="U59" s="11">
        <f>August2026Primary_Tracking!Q77</f>
        <v>19593</v>
      </c>
      <c r="V59" s="13">
        <f>August2026Primary_Tracking!R77</f>
        <v>9.7960591773370201E-2</v>
      </c>
      <c r="W59" s="10">
        <f>August2026Primary_Tracking!S77</f>
        <v>-0.95</v>
      </c>
      <c r="X59" s="11">
        <f>August2026Primary_Tracking!T77</f>
        <v>2836</v>
      </c>
      <c r="Y59" s="13">
        <f>August2026Primary_Tracking!U77</f>
        <v>7.6376171496283535E-2</v>
      </c>
      <c r="Z59" s="11">
        <f>August2026Primary_Tracking!V77</f>
        <v>20968</v>
      </c>
      <c r="AA59" s="13">
        <f>August2026Primary_Tracking!W77</f>
        <v>9.8158819922008492E-2</v>
      </c>
      <c r="AB59" s="16">
        <f>August2026Primary_Tracking!X77</f>
        <v>-0.93</v>
      </c>
      <c r="AC59" s="11">
        <f>August2026Primary_Tracking!Y77</f>
        <v>1375</v>
      </c>
      <c r="AD59" s="13">
        <f>August2026Primary_Tracking!Z77</f>
        <v>0.10107321376065863</v>
      </c>
      <c r="AE59" s="11">
        <f>August2026Primary_Tracking!AA77</f>
        <v>21122</v>
      </c>
      <c r="AF59" s="13">
        <f>August2026Primary_Tracking!AB77</f>
        <v>9.8482340599137422E-2</v>
      </c>
      <c r="AG59" s="16">
        <f>August2026Primary_Tracking!AC77</f>
        <v>-0.9</v>
      </c>
      <c r="AH59" s="11">
        <f>August2026Primary_Tracking!AD77</f>
        <v>154</v>
      </c>
      <c r="AI59" s="13">
        <f>August2026Primary_Tracking!AE77</f>
        <v>0.17865429234338748</v>
      </c>
      <c r="AJ59" s="11">
        <f>August2026Primary_Tracking!AF77</f>
        <v>21282</v>
      </c>
      <c r="AK59" s="13">
        <f>August2026Primary_Tracking!AG77</f>
        <v>9.8190928343045381E-2</v>
      </c>
      <c r="AL59" s="16">
        <f>August2026Primary_Tracking!AH77</f>
        <v>-0.93</v>
      </c>
      <c r="AM59" s="11">
        <f>August2026Primary_Tracking!AI77</f>
        <v>160</v>
      </c>
      <c r="AN59" s="13">
        <f>August2026Primary_Tracking!AJ77</f>
        <v>7.0609002647837593E-2</v>
      </c>
    </row>
    <row r="60" spans="1:40" x14ac:dyDescent="0.3">
      <c r="A60" t="s">
        <v>356</v>
      </c>
      <c r="B60" t="s">
        <v>282</v>
      </c>
      <c r="C60" s="26">
        <f t="shared" si="6"/>
        <v>7519</v>
      </c>
      <c r="D60" s="1">
        <f t="shared" si="7"/>
        <v>3.4691175181437751E-2</v>
      </c>
      <c r="E60">
        <f>August2026Primary_Tracking!E78</f>
        <v>3440</v>
      </c>
      <c r="F60" s="5">
        <f>August2026Primary_Tracking!F78</f>
        <v>3.4200000000000001E-2</v>
      </c>
      <c r="G60" s="13">
        <f t="shared" si="0"/>
        <v>0.45750764729352306</v>
      </c>
      <c r="H60" s="28">
        <f t="shared" si="1"/>
        <v>4079</v>
      </c>
      <c r="I60" s="5">
        <f t="shared" si="16"/>
        <v>3.4503468110302825E-2</v>
      </c>
      <c r="J60" s="5">
        <f t="shared" si="12"/>
        <v>3.0346811030282361E-4</v>
      </c>
      <c r="K60">
        <f>August2026Primary_Tracking!G78</f>
        <v>4137</v>
      </c>
      <c r="L60" s="5">
        <f>August2026Primary_Tracking!H78</f>
        <v>3.3000000000000002E-2</v>
      </c>
      <c r="M60">
        <f>August2026Primary_Tracking!I78</f>
        <v>-0.12</v>
      </c>
      <c r="N60">
        <f>August2026Primary_Tracking!J78</f>
        <v>697</v>
      </c>
      <c r="O60" s="5">
        <f>August2026Primary_Tracking!K78</f>
        <v>2.81E-2</v>
      </c>
      <c r="P60" s="11">
        <f>August2026Primary_Tracking!L78</f>
        <v>5561</v>
      </c>
      <c r="Q60" s="13">
        <f>August2026Primary_Tracking!M78</f>
        <v>3.4142328259975319E-2</v>
      </c>
      <c r="R60" s="10">
        <f>August2026Primary_Tracking!N78</f>
        <v>-0.01</v>
      </c>
      <c r="S60" s="11">
        <f>August2026Primary_Tracking!O78</f>
        <v>1424</v>
      </c>
      <c r="T60" s="13">
        <f>August2026Primary_Tracking!P78</f>
        <v>3.8037235889627909E-2</v>
      </c>
      <c r="U60" s="11">
        <f>August2026Primary_Tracking!Q78</f>
        <v>6774</v>
      </c>
      <c r="V60" s="13">
        <f>August2026Primary_Tracking!R78</f>
        <v>3.3868475918583663E-2</v>
      </c>
      <c r="W60" s="10">
        <f>August2026Primary_Tracking!S78</f>
        <v>-0.03</v>
      </c>
      <c r="X60" s="11">
        <f>August2026Primary_Tracking!T78</f>
        <v>1213</v>
      </c>
      <c r="Y60" s="13">
        <f>August2026Primary_Tracking!U78</f>
        <v>3.2667241193579659E-2</v>
      </c>
      <c r="Z60" s="11">
        <f>August2026Primary_Tracking!V78</f>
        <v>7338</v>
      </c>
      <c r="AA60" s="13">
        <f>August2026Primary_Tracking!W78</f>
        <v>3.4351841882282443E-2</v>
      </c>
      <c r="AB60" s="16">
        <f>August2026Primary_Tracking!X78</f>
        <v>0.02</v>
      </c>
      <c r="AC60" s="11">
        <f>August2026Primary_Tracking!Y78</f>
        <v>564</v>
      </c>
      <c r="AD60" s="13">
        <f>August2026Primary_Tracking!Z78</f>
        <v>4.1458394589826524E-2</v>
      </c>
      <c r="AE60" s="11">
        <f>August2026Primary_Tracking!AA78</f>
        <v>7397</v>
      </c>
      <c r="AF60" s="13">
        <f>August2026Primary_Tracking!AB78</f>
        <v>3.4488868166452968E-2</v>
      </c>
      <c r="AG60" s="16">
        <f>August2026Primary_Tracking!AC78</f>
        <v>0.03</v>
      </c>
      <c r="AH60" s="11">
        <f>August2026Primary_Tracking!AD78</f>
        <v>59</v>
      </c>
      <c r="AI60" s="13">
        <f>August2026Primary_Tracking!AE78</f>
        <v>6.8445475638051048E-2</v>
      </c>
      <c r="AJ60" s="11">
        <f>August2026Primary_Tracking!AF78</f>
        <v>7519</v>
      </c>
      <c r="AK60" s="13">
        <f>August2026Primary_Tracking!AG78</f>
        <v>3.4691175181437751E-2</v>
      </c>
      <c r="AL60" s="16">
        <f>August2026Primary_Tracking!AH78</f>
        <v>0.05</v>
      </c>
      <c r="AM60" s="11">
        <f>August2026Primary_Tracking!AI78</f>
        <v>122</v>
      </c>
      <c r="AN60" s="13">
        <f>August2026Primary_Tracking!AJ78</f>
        <v>5.3839364518976168E-2</v>
      </c>
    </row>
    <row r="61" spans="1:40" s="2" customFormat="1" x14ac:dyDescent="0.3">
      <c r="A61" s="2" t="s">
        <v>357</v>
      </c>
      <c r="B61" s="2" t="s">
        <v>298</v>
      </c>
      <c r="C61" s="25">
        <f t="shared" si="6"/>
        <v>194321</v>
      </c>
      <c r="D61" s="3">
        <f t="shared" si="7"/>
        <v>0</v>
      </c>
      <c r="E61" s="2">
        <f>August2026Primary_Tracking!E82</f>
        <v>111573</v>
      </c>
      <c r="F61" s="4" t="str">
        <f>August2026Primary_Tracking!F82</f>
        <v/>
      </c>
      <c r="G61" s="4">
        <f t="shared" si="0"/>
        <v>0.57416851498294064</v>
      </c>
      <c r="H61" s="27">
        <f t="shared" si="1"/>
        <v>82748</v>
      </c>
      <c r="I61" s="4"/>
      <c r="J61" s="5"/>
      <c r="K61" s="2">
        <f>August2026Primary_Tracking!G82</f>
        <v>137605</v>
      </c>
      <c r="L61" s="4" t="str">
        <f>August2026Primary_Tracking!H82</f>
        <v/>
      </c>
      <c r="M61" s="2" t="str">
        <f>August2026Primary_Tracking!I82</f>
        <v/>
      </c>
      <c r="N61" s="2">
        <f>August2026Primary_Tracking!J82</f>
        <v>26032</v>
      </c>
      <c r="O61" s="4" t="str">
        <f>August2026Primary_Tracking!K82</f>
        <v/>
      </c>
      <c r="P61" s="7">
        <f>August2026Primary_Tracking!L82</f>
        <v>163288</v>
      </c>
      <c r="Q61" s="4" t="str">
        <f>August2026Primary_Tracking!M82</f>
        <v/>
      </c>
      <c r="R61" s="9" t="str">
        <f>August2026Primary_Tracking!N82</f>
        <v/>
      </c>
      <c r="S61" s="7">
        <f>August2026Primary_Tracking!O82</f>
        <v>25683</v>
      </c>
      <c r="T61" s="4" t="str">
        <f>August2026Primary_Tracking!P82</f>
        <v/>
      </c>
      <c r="U61" s="7">
        <f>August2026Primary_Tracking!Q82</f>
        <v>183242</v>
      </c>
      <c r="V61" s="4" t="str">
        <f>August2026Primary_Tracking!R82</f>
        <v/>
      </c>
      <c r="W61" s="9" t="str">
        <f>August2026Primary_Tracking!S82</f>
        <v/>
      </c>
      <c r="X61" s="7">
        <f>August2026Primary_Tracking!T82</f>
        <v>19954</v>
      </c>
      <c r="Y61" s="4" t="str">
        <f>August2026Primary_Tracking!U82</f>
        <v/>
      </c>
      <c r="Z61" s="7">
        <f>August2026Primary_Tracking!V82</f>
        <v>189509</v>
      </c>
      <c r="AA61" s="4">
        <f>August2026Primary_Tracking!W82</f>
        <v>0</v>
      </c>
      <c r="AB61" s="30">
        <f>August2026Primary_Tracking!X82</f>
        <v>0</v>
      </c>
      <c r="AC61" s="7">
        <f>August2026Primary_Tracking!Y82</f>
        <v>6267</v>
      </c>
      <c r="AD61" s="4">
        <f>August2026Primary_Tracking!Z82</f>
        <v>0</v>
      </c>
      <c r="AE61" s="7">
        <f>August2026Primary_Tracking!AA82</f>
        <v>193063</v>
      </c>
      <c r="AF61" s="4">
        <f>August2026Primary_Tracking!AB82</f>
        <v>0</v>
      </c>
      <c r="AG61" s="30">
        <f>August2026Primary_Tracking!AC82</f>
        <v>0</v>
      </c>
      <c r="AH61" s="7">
        <f>August2026Primary_Tracking!AD82</f>
        <v>3554</v>
      </c>
      <c r="AI61" s="4">
        <f>August2026Primary_Tracking!AE82</f>
        <v>0</v>
      </c>
      <c r="AJ61" s="7">
        <f>August2026Primary_Tracking!AF82</f>
        <v>194321</v>
      </c>
      <c r="AK61" s="4">
        <f>August2026Primary_Tracking!AG82</f>
        <v>0</v>
      </c>
      <c r="AL61" s="30">
        <f>August2026Primary_Tracking!AH82</f>
        <v>0</v>
      </c>
      <c r="AM61" s="7">
        <f>August2026Primary_Tracking!AI82</f>
        <v>1258</v>
      </c>
      <c r="AN61" s="4">
        <f>August2026Primary_Tracking!AJ82</f>
        <v>0</v>
      </c>
    </row>
    <row r="62" spans="1:40" x14ac:dyDescent="0.3">
      <c r="A62" t="s">
        <v>358</v>
      </c>
      <c r="B62" t="s">
        <v>8</v>
      </c>
      <c r="C62" s="26">
        <f t="shared" si="6"/>
        <v>102853</v>
      </c>
      <c r="D62" s="1">
        <f t="shared" si="7"/>
        <v>0.53685309392697755</v>
      </c>
      <c r="E62">
        <f>August2026Primary_Tracking!E83</f>
        <v>59340</v>
      </c>
      <c r="F62" s="5">
        <f>August2026Primary_Tracking!F83</f>
        <v>0.54</v>
      </c>
      <c r="G62" s="13">
        <f t="shared" si="0"/>
        <v>0.57693990452393218</v>
      </c>
      <c r="H62" s="28">
        <f t="shared" si="1"/>
        <v>43513</v>
      </c>
      <c r="I62" s="5">
        <f>H62/H$61</f>
        <v>0.52584956736114463</v>
      </c>
      <c r="J62" s="5">
        <f t="shared" si="12"/>
        <v>-1.4150432638855404E-2</v>
      </c>
      <c r="K62">
        <f>August2026Primary_Tracking!G83</f>
        <v>72652</v>
      </c>
      <c r="L62" s="5">
        <f>August2026Primary_Tracking!H83</f>
        <v>0.53610000000000002</v>
      </c>
      <c r="M62">
        <f>August2026Primary_Tracking!I83</f>
        <v>-0.39</v>
      </c>
      <c r="N62">
        <f>August2026Primary_Tracking!J83</f>
        <v>13312</v>
      </c>
      <c r="O62" s="5">
        <f>August2026Primary_Tracking!K83</f>
        <v>0.51929999999999998</v>
      </c>
      <c r="P62" s="11">
        <f>August2026Primary_Tracking!L83</f>
        <v>85071</v>
      </c>
      <c r="Q62" s="13">
        <f>August2026Primary_Tracking!M83</f>
        <v>0.52927232909439315</v>
      </c>
      <c r="R62" s="10">
        <f>August2026Primary_Tracking!N83</f>
        <v>-1.07</v>
      </c>
      <c r="S62" s="11">
        <f>August2026Primary_Tracking!O83</f>
        <v>12419</v>
      </c>
      <c r="T62" s="13">
        <f>August2026Primary_Tracking!P83</f>
        <v>0.49256336017134017</v>
      </c>
      <c r="U62" s="11">
        <f>August2026Primary_Tracking!Q83</f>
        <v>96559</v>
      </c>
      <c r="V62" s="13">
        <f>August2026Primary_Tracking!R83</f>
        <v>0.53519307833432173</v>
      </c>
      <c r="W62" s="10">
        <f>August2026Primary_Tracking!S83</f>
        <v>-0.48</v>
      </c>
      <c r="X62" s="11">
        <f>August2026Primary_Tracking!T83</f>
        <v>11488</v>
      </c>
      <c r="Y62" s="13">
        <f>August2026Primary_Tracking!U83</f>
        <v>0.58353228018489356</v>
      </c>
      <c r="Z62" s="11">
        <f>August2026Primary_Tracking!V83</f>
        <v>100586</v>
      </c>
      <c r="AA62" s="13">
        <f>August2026Primary_Tracking!W83</f>
        <v>0.53852372564661288</v>
      </c>
      <c r="AB62" s="16">
        <f>August2026Primary_Tracking!X83</f>
        <v>-0.15</v>
      </c>
      <c r="AC62" s="11">
        <f>August2026Primary_Tracking!Y83</f>
        <v>4027</v>
      </c>
      <c r="AD62" s="13">
        <f>August2026Primary_Tracking!Z83</f>
        <v>0.63297705124174786</v>
      </c>
      <c r="AE62" s="11">
        <f>August2026Primary_Tracking!AA83</f>
        <v>102155</v>
      </c>
      <c r="AF62" s="13">
        <f>August2026Primary_Tracking!AB83</f>
        <v>0.53678773356874121</v>
      </c>
      <c r="AG62" s="16">
        <f>August2026Primary_Tracking!AC83</f>
        <v>-0.32</v>
      </c>
      <c r="AH62" s="11">
        <f>August2026Primary_Tracking!AD83</f>
        <v>1569</v>
      </c>
      <c r="AI62" s="13">
        <f>August2026Primary_Tracking!AE83</f>
        <v>0.44485398355542954</v>
      </c>
      <c r="AJ62" s="11">
        <f>August2026Primary_Tracking!AF83</f>
        <v>102853</v>
      </c>
      <c r="AK62" s="13">
        <f>August2026Primary_Tracking!AG83</f>
        <v>0.53685309392697755</v>
      </c>
      <c r="AL62" s="16">
        <f>August2026Primary_Tracking!AH83</f>
        <v>-0.31</v>
      </c>
      <c r="AM62" s="11">
        <f>August2026Primary_Tracking!AI83</f>
        <v>698</v>
      </c>
      <c r="AN62" s="13">
        <f>August2026Primary_Tracking!AJ83</f>
        <v>0.5465935787000783</v>
      </c>
    </row>
    <row r="63" spans="1:40" x14ac:dyDescent="0.3">
      <c r="A63" t="s">
        <v>359</v>
      </c>
      <c r="B63" t="s">
        <v>9</v>
      </c>
      <c r="C63" s="26">
        <f t="shared" si="6"/>
        <v>28340</v>
      </c>
      <c r="D63" s="1">
        <f t="shared" si="7"/>
        <v>0.14792389800871675</v>
      </c>
      <c r="E63">
        <f>August2026Primary_Tracking!E84</f>
        <v>16199</v>
      </c>
      <c r="F63" s="5">
        <f>August2026Primary_Tracking!F84</f>
        <v>0.1474</v>
      </c>
      <c r="G63" s="13">
        <f t="shared" si="0"/>
        <v>0.57159491884262525</v>
      </c>
      <c r="H63" s="28">
        <f t="shared" si="1"/>
        <v>12141</v>
      </c>
      <c r="I63" s="5">
        <f t="shared" ref="I63:I67" si="17">H63/H$61</f>
        <v>0.14672257939768937</v>
      </c>
      <c r="J63" s="5">
        <f t="shared" si="12"/>
        <v>-6.7742060231062995E-4</v>
      </c>
      <c r="K63">
        <f>August2026Primary_Tracking!G84</f>
        <v>20538</v>
      </c>
      <c r="L63" s="5">
        <f>August2026Primary_Tracking!H84</f>
        <v>0.15160000000000001</v>
      </c>
      <c r="M63">
        <f>August2026Primary_Tracking!I84</f>
        <v>0.42</v>
      </c>
      <c r="N63">
        <f>August2026Primary_Tracking!J84</f>
        <v>4339</v>
      </c>
      <c r="O63" s="5">
        <f>August2026Primary_Tracking!K84</f>
        <v>0.16930000000000001</v>
      </c>
      <c r="P63" s="11">
        <f>August2026Primary_Tracking!L84</f>
        <v>24574</v>
      </c>
      <c r="Q63" s="13">
        <f>August2026Primary_Tracking!M84</f>
        <v>0.15288803722967423</v>
      </c>
      <c r="R63" s="10">
        <f>August2026Primary_Tracking!N84</f>
        <v>0.55000000000000004</v>
      </c>
      <c r="S63" s="11">
        <f>August2026Primary_Tracking!O84</f>
        <v>4036</v>
      </c>
      <c r="T63" s="13">
        <f>August2026Primary_Tracking!P84</f>
        <v>0.16007615119184548</v>
      </c>
      <c r="U63" s="11">
        <f>August2026Primary_Tracking!Q84</f>
        <v>26985</v>
      </c>
      <c r="V63" s="13">
        <f>August2026Primary_Tracking!R84</f>
        <v>0.14956850442580882</v>
      </c>
      <c r="W63" s="10">
        <f>August2026Primary_Tracking!S84</f>
        <v>0.22</v>
      </c>
      <c r="X63" s="11">
        <f>August2026Primary_Tracking!T84</f>
        <v>2411</v>
      </c>
      <c r="Y63" s="13">
        <f>August2026Primary_Tracking!U84</f>
        <v>0.12246660232640828</v>
      </c>
      <c r="Z63" s="11">
        <f>August2026Primary_Tracking!V84</f>
        <v>27653</v>
      </c>
      <c r="AA63" s="13">
        <f>August2026Primary_Tracking!W84</f>
        <v>0.14805039056435076</v>
      </c>
      <c r="AB63" s="16">
        <f>August2026Primary_Tracking!X84</f>
        <v>7.0000000000000007E-2</v>
      </c>
      <c r="AC63" s="11">
        <f>August2026Primary_Tracking!Y84</f>
        <v>668</v>
      </c>
      <c r="AD63" s="13">
        <f>August2026Primary_Tracking!Z84</f>
        <v>0.104998428167243</v>
      </c>
      <c r="AE63" s="11">
        <f>August2026Primary_Tracking!AA84</f>
        <v>28182</v>
      </c>
      <c r="AF63" s="13">
        <f>August2026Primary_Tracking!AB84</f>
        <v>0.14808626016772811</v>
      </c>
      <c r="AG63" s="16">
        <f>August2026Primary_Tracking!AC84</f>
        <v>7.0000000000000007E-2</v>
      </c>
      <c r="AH63" s="11">
        <f>August2026Primary_Tracking!AD84</f>
        <v>529</v>
      </c>
      <c r="AI63" s="13">
        <f>August2026Primary_Tracking!AE84</f>
        <v>0.1499858236461582</v>
      </c>
      <c r="AJ63" s="11">
        <f>August2026Primary_Tracking!AF84</f>
        <v>28340</v>
      </c>
      <c r="AK63" s="13">
        <f>August2026Primary_Tracking!AG84</f>
        <v>0.14792389800871675</v>
      </c>
      <c r="AL63" s="16">
        <f>August2026Primary_Tracking!AH84</f>
        <v>0.05</v>
      </c>
      <c r="AM63" s="11">
        <f>August2026Primary_Tracking!AI84</f>
        <v>158</v>
      </c>
      <c r="AN63" s="13">
        <f>August2026Primary_Tracking!AJ84</f>
        <v>0.12372748629600626</v>
      </c>
    </row>
    <row r="64" spans="1:40" x14ac:dyDescent="0.3">
      <c r="A64" t="s">
        <v>360</v>
      </c>
      <c r="B64" t="s">
        <v>9</v>
      </c>
      <c r="C64" s="26">
        <f t="shared" si="6"/>
        <v>30324</v>
      </c>
      <c r="D64" s="1">
        <f t="shared" si="7"/>
        <v>0.15827961479238981</v>
      </c>
      <c r="E64">
        <f>August2026Primary_Tracking!E85</f>
        <v>16206</v>
      </c>
      <c r="F64" s="5">
        <f>August2026Primary_Tracking!F85</f>
        <v>0.14749999999999999</v>
      </c>
      <c r="G64" s="13">
        <f t="shared" si="0"/>
        <v>0.53442817570241397</v>
      </c>
      <c r="H64" s="28">
        <f t="shared" si="1"/>
        <v>14118</v>
      </c>
      <c r="I64" s="5">
        <f t="shared" si="17"/>
        <v>0.17061439551409097</v>
      </c>
      <c r="J64" s="5">
        <f t="shared" si="12"/>
        <v>2.3114395514090974E-2</v>
      </c>
      <c r="K64">
        <f>August2026Primary_Tracking!G85</f>
        <v>20628</v>
      </c>
      <c r="L64" s="5">
        <f>August2026Primary_Tracking!H85</f>
        <v>0.1522</v>
      </c>
      <c r="M64">
        <f>August2026Primary_Tracking!I85</f>
        <v>0.47</v>
      </c>
      <c r="N64">
        <f>August2026Primary_Tracking!J85</f>
        <v>4422</v>
      </c>
      <c r="O64" s="5">
        <f>August2026Primary_Tracking!K85</f>
        <v>0.17249999999999999</v>
      </c>
      <c r="P64" s="11">
        <f>August2026Primary_Tracking!L85</f>
        <v>25192</v>
      </c>
      <c r="Q64" s="13">
        <f>August2026Primary_Tracking!M85</f>
        <v>0.15673294676853397</v>
      </c>
      <c r="R64" s="10">
        <f>August2026Primary_Tracking!N85</f>
        <v>0.92</v>
      </c>
      <c r="S64" s="11">
        <f>August2026Primary_Tracking!O85</f>
        <v>4564</v>
      </c>
      <c r="T64" s="13">
        <f>August2026Primary_Tracking!P85</f>
        <v>0.18101772894935153</v>
      </c>
      <c r="U64" s="11">
        <f>August2026Primary_Tracking!Q85</f>
        <v>28445</v>
      </c>
      <c r="V64" s="13">
        <f>August2026Primary_Tracking!R85</f>
        <v>0.15766077852110919</v>
      </c>
      <c r="W64" s="10">
        <f>August2026Primary_Tracking!S85</f>
        <v>1.02</v>
      </c>
      <c r="X64" s="11">
        <f>August2026Primary_Tracking!T85</f>
        <v>3253</v>
      </c>
      <c r="Y64" s="13">
        <f>August2026Primary_Tracking!U85</f>
        <v>0.16523594250012699</v>
      </c>
      <c r="Z64" s="11">
        <f>August2026Primary_Tracking!V85</f>
        <v>29427</v>
      </c>
      <c r="AA64" s="13">
        <f>August2026Primary_Tracking!W85</f>
        <v>0.15754814461856398</v>
      </c>
      <c r="AB64" s="16">
        <f>August2026Primary_Tracking!X85</f>
        <v>1</v>
      </c>
      <c r="AC64" s="11">
        <f>August2026Primary_Tracking!Y85</f>
        <v>982</v>
      </c>
      <c r="AD64" s="13">
        <f>August2026Primary_Tracking!Z85</f>
        <v>0.1543539767368752</v>
      </c>
      <c r="AE64" s="11">
        <f>August2026Primary_Tracking!AA85</f>
        <v>30119</v>
      </c>
      <c r="AF64" s="13">
        <f>August2026Primary_Tracking!AB85</f>
        <v>0.15826449755133784</v>
      </c>
      <c r="AG64" s="16">
        <f>August2026Primary_Tracking!AC85</f>
        <v>1.08</v>
      </c>
      <c r="AH64" s="11">
        <f>August2026Primary_Tracking!AD85</f>
        <v>692</v>
      </c>
      <c r="AI64" s="13">
        <f>August2026Primary_Tracking!AE85</f>
        <v>0.19620073717039976</v>
      </c>
      <c r="AJ64" s="11">
        <f>August2026Primary_Tracking!AF85</f>
        <v>30324</v>
      </c>
      <c r="AK64" s="13">
        <f>August2026Primary_Tracking!AG85</f>
        <v>0.15827961479238981</v>
      </c>
      <c r="AL64" s="16">
        <f>August2026Primary_Tracking!AH85</f>
        <v>1.08</v>
      </c>
      <c r="AM64" s="11">
        <f>August2026Primary_Tracking!AI85</f>
        <v>205</v>
      </c>
      <c r="AN64" s="13">
        <f>August2026Primary_Tracking!AJ85</f>
        <v>0.16053249804228661</v>
      </c>
    </row>
    <row r="65" spans="1:40" x14ac:dyDescent="0.3">
      <c r="A65" t="s">
        <v>361</v>
      </c>
      <c r="B65" t="s">
        <v>11</v>
      </c>
      <c r="C65" s="26">
        <f t="shared" si="6"/>
        <v>4777</v>
      </c>
      <c r="D65" s="1">
        <f t="shared" si="7"/>
        <v>2.4934102356656315E-2</v>
      </c>
      <c r="E65">
        <f>August2026Primary_Tracking!E86</f>
        <v>2417</v>
      </c>
      <c r="F65" s="5">
        <f>August2026Primary_Tracking!F86</f>
        <v>2.2000000000000002E-2</v>
      </c>
      <c r="G65" s="13">
        <f t="shared" si="0"/>
        <v>0.50596608750261673</v>
      </c>
      <c r="H65" s="28">
        <f t="shared" si="1"/>
        <v>2360</v>
      </c>
      <c r="I65" s="5">
        <f t="shared" si="17"/>
        <v>2.8520326775269493E-2</v>
      </c>
      <c r="J65" s="5">
        <f t="shared" si="12"/>
        <v>6.5203267752694909E-3</v>
      </c>
      <c r="K65">
        <f>August2026Primary_Tracking!G86</f>
        <v>3011</v>
      </c>
      <c r="L65" s="5">
        <f>August2026Primary_Tracking!H86</f>
        <v>2.2200000000000001E-2</v>
      </c>
      <c r="M65">
        <f>August2026Primary_Tracking!I86</f>
        <v>0.02</v>
      </c>
      <c r="N65">
        <f>August2026Primary_Tracking!J86</f>
        <v>594</v>
      </c>
      <c r="O65" s="5">
        <f>August2026Primary_Tracking!K86</f>
        <v>2.3199999999999998E-2</v>
      </c>
      <c r="P65" s="11">
        <f>August2026Primary_Tracking!L86</f>
        <v>3772</v>
      </c>
      <c r="Q65" s="13">
        <f>August2026Primary_Tracking!M86</f>
        <v>2.3467635567279696E-2</v>
      </c>
      <c r="R65" s="10">
        <f>August2026Primary_Tracking!N86</f>
        <v>0.15</v>
      </c>
      <c r="S65" s="11">
        <f>August2026Primary_Tracking!O86</f>
        <v>761</v>
      </c>
      <c r="T65" s="13">
        <f>August2026Primary_Tracking!P86</f>
        <v>3.0182842184587316E-2</v>
      </c>
      <c r="U65" s="11">
        <f>August2026Primary_Tracking!Q86</f>
        <v>4368</v>
      </c>
      <c r="V65" s="13">
        <f>August2026Primary_Tracking!R86</f>
        <v>2.4210310444021971E-2</v>
      </c>
      <c r="W65" s="10">
        <f>August2026Primary_Tracking!S86</f>
        <v>0.22</v>
      </c>
      <c r="X65" s="11">
        <f>August2026Primary_Tracking!T86</f>
        <v>596</v>
      </c>
      <c r="Y65" s="13">
        <f>August2026Primary_Tracking!U86</f>
        <v>3.0273784731040788E-2</v>
      </c>
      <c r="Z65" s="11">
        <f>August2026Primary_Tracking!V86</f>
        <v>4596</v>
      </c>
      <c r="AA65" s="13">
        <f>August2026Primary_Tracking!W86</f>
        <v>2.4606357177657256E-2</v>
      </c>
      <c r="AB65" s="16">
        <f>August2026Primary_Tracking!X86</f>
        <v>0.26</v>
      </c>
      <c r="AC65" s="11">
        <f>August2026Primary_Tracking!Y86</f>
        <v>228</v>
      </c>
      <c r="AD65" s="13">
        <f>August2026Primary_Tracking!Z86</f>
        <v>3.5837786859478152E-2</v>
      </c>
      <c r="AE65" s="11">
        <f>August2026Primary_Tracking!AA86</f>
        <v>4712</v>
      </c>
      <c r="AF65" s="13">
        <f>August2026Primary_Tracking!AB86</f>
        <v>2.4759862958992792E-2</v>
      </c>
      <c r="AG65" s="16">
        <f>August2026Primary_Tracking!AC86</f>
        <v>0.28000000000000003</v>
      </c>
      <c r="AH65" s="11">
        <f>August2026Primary_Tracking!AD86</f>
        <v>116</v>
      </c>
      <c r="AI65" s="13">
        <f>August2026Primary_Tracking!AE86</f>
        <v>3.2889140912957186E-2</v>
      </c>
      <c r="AJ65" s="11">
        <f>August2026Primary_Tracking!AF86</f>
        <v>4777</v>
      </c>
      <c r="AK65" s="13">
        <f>August2026Primary_Tracking!AG86</f>
        <v>2.4934102356656315E-2</v>
      </c>
      <c r="AL65" s="16">
        <f>August2026Primary_Tracking!AH86</f>
        <v>0.28999999999999998</v>
      </c>
      <c r="AM65" s="11">
        <f>August2026Primary_Tracking!AI86</f>
        <v>65</v>
      </c>
      <c r="AN65" s="13">
        <f>August2026Primary_Tracking!AJ86</f>
        <v>5.0900548159749412E-2</v>
      </c>
    </row>
    <row r="66" spans="1:40" x14ac:dyDescent="0.3">
      <c r="A66" t="s">
        <v>362</v>
      </c>
      <c r="B66" t="s">
        <v>9</v>
      </c>
      <c r="C66" s="26">
        <f t="shared" si="6"/>
        <v>4549</v>
      </c>
      <c r="D66" s="1">
        <f t="shared" si="7"/>
        <v>2.3744030064984212E-2</v>
      </c>
      <c r="E66">
        <f>August2026Primary_Tracking!E87</f>
        <v>2635</v>
      </c>
      <c r="F66" s="5">
        <f>August2026Primary_Tracking!F87</f>
        <v>2.4E-2</v>
      </c>
      <c r="G66" s="13">
        <f t="shared" si="0"/>
        <v>0.57924818641459663</v>
      </c>
      <c r="H66" s="28">
        <f t="shared" si="1"/>
        <v>1914</v>
      </c>
      <c r="I66" s="5">
        <f t="shared" si="17"/>
        <v>2.3130468410112633E-2</v>
      </c>
      <c r="J66" s="5">
        <f t="shared" si="12"/>
        <v>-8.695315898873679E-4</v>
      </c>
      <c r="K66">
        <f>August2026Primary_Tracking!G87</f>
        <v>3244</v>
      </c>
      <c r="L66" s="5">
        <f>August2026Primary_Tracking!H87</f>
        <v>2.3900000000000001E-2</v>
      </c>
      <c r="M66">
        <f>August2026Primary_Tracking!I87</f>
        <v>-0.01</v>
      </c>
      <c r="N66">
        <f>August2026Primary_Tracking!J87</f>
        <v>609</v>
      </c>
      <c r="O66" s="5">
        <f>August2026Primary_Tracking!K87</f>
        <v>2.3799999999999998E-2</v>
      </c>
      <c r="P66" s="11">
        <f>August2026Primary_Tracking!L87</f>
        <v>3935</v>
      </c>
      <c r="Q66" s="13">
        <f>August2026Primary_Tracking!M87</f>
        <v>2.4481746011995122E-2</v>
      </c>
      <c r="R66" s="10">
        <f>August2026Primary_Tracking!N87</f>
        <v>0.05</v>
      </c>
      <c r="S66" s="11">
        <f>August2026Primary_Tracking!O87</f>
        <v>691</v>
      </c>
      <c r="T66" s="13">
        <f>August2026Primary_Tracking!P87</f>
        <v>2.7406496648554317E-2</v>
      </c>
      <c r="U66" s="11">
        <f>August2026Primary_Tracking!Q87</f>
        <v>4284</v>
      </c>
      <c r="V66" s="13">
        <f>August2026Primary_Tracking!R87</f>
        <v>2.3744727550867702E-2</v>
      </c>
      <c r="W66" s="10">
        <f>August2026Primary_Tracking!S87</f>
        <v>-0.03</v>
      </c>
      <c r="X66" s="11">
        <f>August2026Primary_Tracking!T87</f>
        <v>349</v>
      </c>
      <c r="Y66" s="13">
        <f>August2026Primary_Tracking!U87</f>
        <v>1.7727434347538984E-2</v>
      </c>
      <c r="Z66" s="11">
        <f>August2026Primary_Tracking!V87</f>
        <v>4396</v>
      </c>
      <c r="AA66" s="13">
        <f>August2026Primary_Tracking!W87</f>
        <v>2.3535584454521606E-2</v>
      </c>
      <c r="AB66" s="16">
        <f>August2026Primary_Tracking!X87</f>
        <v>-0.05</v>
      </c>
      <c r="AC66" s="11">
        <f>August2026Primary_Tracking!Y87</f>
        <v>112</v>
      </c>
      <c r="AD66" s="13">
        <f>August2026Primary_Tracking!Z87</f>
        <v>1.7604526878340146E-2</v>
      </c>
      <c r="AE66" s="11">
        <f>August2026Primary_Tracking!AA87</f>
        <v>4514</v>
      </c>
      <c r="AF66" s="13">
        <f>August2026Primary_Tracking!AB87</f>
        <v>2.3719444269289784E-2</v>
      </c>
      <c r="AG66" s="16">
        <f>August2026Primary_Tracking!AC87</f>
        <v>-0.03</v>
      </c>
      <c r="AH66" s="11">
        <f>August2026Primary_Tracking!AD87</f>
        <v>118</v>
      </c>
      <c r="AI66" s="13">
        <f>August2026Primary_Tracking!AE87</f>
        <v>3.3456195066628863E-2</v>
      </c>
      <c r="AJ66" s="11">
        <f>August2026Primary_Tracking!AF87</f>
        <v>4549</v>
      </c>
      <c r="AK66" s="13">
        <f>August2026Primary_Tracking!AG87</f>
        <v>2.3744030064984212E-2</v>
      </c>
      <c r="AL66" s="16">
        <f>August2026Primary_Tracking!AH87</f>
        <v>-0.03</v>
      </c>
      <c r="AM66" s="11">
        <f>August2026Primary_Tracking!AI87</f>
        <v>35</v>
      </c>
      <c r="AN66" s="13">
        <f>August2026Primary_Tracking!AJ87</f>
        <v>2.7407987470634301E-2</v>
      </c>
    </row>
    <row r="67" spans="1:40" x14ac:dyDescent="0.3">
      <c r="A67" t="s">
        <v>363</v>
      </c>
      <c r="B67" t="s">
        <v>9</v>
      </c>
      <c r="C67" s="26">
        <f t="shared" si="6"/>
        <v>20382</v>
      </c>
      <c r="D67" s="1">
        <f t="shared" si="7"/>
        <v>0.10638619933710886</v>
      </c>
      <c r="E67">
        <f>August2026Primary_Tracking!E88</f>
        <v>12923</v>
      </c>
      <c r="F67" s="5">
        <f>August2026Primary_Tracking!F88</f>
        <v>0.1176</v>
      </c>
      <c r="G67" s="13">
        <f t="shared" ref="G67:G111" si="18">E67/C67</f>
        <v>0.63403983907369244</v>
      </c>
      <c r="H67" s="28">
        <f t="shared" ref="H67:H111" si="19">C67-E67</f>
        <v>7459</v>
      </c>
      <c r="I67" s="5">
        <f t="shared" si="17"/>
        <v>9.014115144776913E-2</v>
      </c>
      <c r="J67" s="5">
        <f t="shared" si="12"/>
        <v>-2.7458848552230866E-2</v>
      </c>
      <c r="K67">
        <f>August2026Primary_Tracking!G88</f>
        <v>15236</v>
      </c>
      <c r="L67" s="5">
        <f>August2026Primary_Tracking!H88</f>
        <v>0.1124</v>
      </c>
      <c r="M67">
        <f>August2026Primary_Tracking!I88</f>
        <v>-0.52</v>
      </c>
      <c r="N67">
        <f>August2026Primary_Tracking!J88</f>
        <v>2313</v>
      </c>
      <c r="O67" s="5">
        <f>August2026Primary_Tracking!K88</f>
        <v>9.0200000000000002E-2</v>
      </c>
      <c r="P67" s="11">
        <f>August2026Primary_Tracking!L88</f>
        <v>17918</v>
      </c>
      <c r="Q67" s="13">
        <f>August2026Primary_Tracking!M88</f>
        <v>0.1114774904810492</v>
      </c>
      <c r="R67" s="10">
        <f>August2026Primary_Tracking!N88</f>
        <v>-0.61</v>
      </c>
      <c r="S67" s="11">
        <f>August2026Primary_Tracking!O88</f>
        <v>2682</v>
      </c>
      <c r="T67" s="13">
        <f>August2026Primary_Tracking!P88</f>
        <v>0.10637369610915004</v>
      </c>
      <c r="U67" s="11">
        <f>August2026Primary_Tracking!Q88</f>
        <v>19463</v>
      </c>
      <c r="V67" s="13">
        <f>August2026Primary_Tracking!R88</f>
        <v>0.10787666487454203</v>
      </c>
      <c r="W67" s="10">
        <f>August2026Primary_Tracking!S88</f>
        <v>-0.97</v>
      </c>
      <c r="X67" s="11">
        <f>August2026Primary_Tracking!T88</f>
        <v>1545</v>
      </c>
      <c r="Y67" s="13">
        <f>August2026Primary_Tracking!U88</f>
        <v>7.8478183572916138E-2</v>
      </c>
      <c r="Z67" s="11">
        <f>August2026Primary_Tracking!V88</f>
        <v>19785</v>
      </c>
      <c r="AA67" s="13">
        <f>August2026Primary_Tracking!W88</f>
        <v>0.10592619163619425</v>
      </c>
      <c r="AB67" s="16">
        <f>August2026Primary_Tracking!X88</f>
        <v>-1.17</v>
      </c>
      <c r="AC67" s="11">
        <f>August2026Primary_Tracking!Y88</f>
        <v>322</v>
      </c>
      <c r="AD67" s="13">
        <f>August2026Primary_Tracking!Z88</f>
        <v>5.0613014775227914E-2</v>
      </c>
      <c r="AE67" s="11">
        <f>August2026Primary_Tracking!AA88</f>
        <v>20278</v>
      </c>
      <c r="AF67" s="13">
        <f>August2026Primary_Tracking!AB88</f>
        <v>0.10655358681715955</v>
      </c>
      <c r="AG67" s="16">
        <f>August2026Primary_Tracking!AC88</f>
        <v>-1.1000000000000001</v>
      </c>
      <c r="AH67" s="11">
        <f>August2026Primary_Tracking!AD88</f>
        <v>493</v>
      </c>
      <c r="AI67" s="13">
        <f>August2026Primary_Tracking!AE88</f>
        <v>0.13977884888006806</v>
      </c>
      <c r="AJ67" s="11">
        <f>August2026Primary_Tracking!AF88</f>
        <v>20382</v>
      </c>
      <c r="AK67" s="13">
        <f>August2026Primary_Tracking!AG88</f>
        <v>0.10638619933710886</v>
      </c>
      <c r="AL67" s="16">
        <f>August2026Primary_Tracking!AH88</f>
        <v>-1.1200000000000001</v>
      </c>
      <c r="AM67" s="11">
        <f>August2026Primary_Tracking!AI88</f>
        <v>104</v>
      </c>
      <c r="AN67" s="13">
        <f>August2026Primary_Tracking!AJ88</f>
        <v>8.1440877055599062E-2</v>
      </c>
    </row>
    <row r="68" spans="1:40" s="2" customFormat="1" x14ac:dyDescent="0.3">
      <c r="A68" s="2" t="s">
        <v>364</v>
      </c>
      <c r="B68" s="2" t="s">
        <v>298</v>
      </c>
      <c r="C68" s="25">
        <f t="shared" si="6"/>
        <v>143943</v>
      </c>
      <c r="D68" s="3">
        <f t="shared" si="7"/>
        <v>0</v>
      </c>
      <c r="E68" s="2">
        <f>August2026Primary_Tracking!E92</f>
        <v>71932</v>
      </c>
      <c r="F68" s="4" t="str">
        <f>August2026Primary_Tracking!F92</f>
        <v/>
      </c>
      <c r="G68" s="4">
        <f t="shared" si="18"/>
        <v>0.4997255858221657</v>
      </c>
      <c r="H68" s="27">
        <f t="shared" si="19"/>
        <v>72011</v>
      </c>
      <c r="I68" s="4"/>
      <c r="J68" s="5"/>
      <c r="K68" s="2">
        <f>August2026Primary_Tracking!G92</f>
        <v>89152</v>
      </c>
      <c r="L68" s="4" t="str">
        <f>August2026Primary_Tracking!H92</f>
        <v/>
      </c>
      <c r="M68" s="2" t="str">
        <f>August2026Primary_Tracking!I92</f>
        <v/>
      </c>
      <c r="N68" s="2">
        <f>August2026Primary_Tracking!J92</f>
        <v>17220</v>
      </c>
      <c r="O68" s="4" t="str">
        <f>August2026Primary_Tracking!K92</f>
        <v/>
      </c>
      <c r="P68" s="7">
        <f>August2026Primary_Tracking!L92</f>
        <v>110240</v>
      </c>
      <c r="Q68" s="4" t="str">
        <f>August2026Primary_Tracking!M92</f>
        <v/>
      </c>
      <c r="R68" s="9" t="str">
        <f>August2026Primary_Tracking!N92</f>
        <v/>
      </c>
      <c r="S68" s="7">
        <f>August2026Primary_Tracking!O92</f>
        <v>21088</v>
      </c>
      <c r="T68" s="4" t="str">
        <f>August2026Primary_Tracking!P92</f>
        <v/>
      </c>
      <c r="U68" s="7">
        <f>August2026Primary_Tracking!Q92</f>
        <v>134241</v>
      </c>
      <c r="V68" s="4" t="str">
        <f>August2026Primary_Tracking!R92</f>
        <v/>
      </c>
      <c r="W68" s="9" t="str">
        <f>August2026Primary_Tracking!S92</f>
        <v/>
      </c>
      <c r="X68" s="7">
        <f>August2026Primary_Tracking!T92</f>
        <v>24001</v>
      </c>
      <c r="Y68" s="4" t="str">
        <f>August2026Primary_Tracking!U92</f>
        <v/>
      </c>
      <c r="Z68" s="7">
        <f>August2026Primary_Tracking!V92</f>
        <v>142326</v>
      </c>
      <c r="AA68" s="4">
        <f>August2026Primary_Tracking!W92</f>
        <v>0</v>
      </c>
      <c r="AB68" s="30">
        <f>August2026Primary_Tracking!X92</f>
        <v>0</v>
      </c>
      <c r="AC68" s="7">
        <f>August2026Primary_Tracking!Y92</f>
        <v>8085</v>
      </c>
      <c r="AD68" s="4">
        <f>August2026Primary_Tracking!Z92</f>
        <v>0</v>
      </c>
      <c r="AE68" s="7">
        <f>August2026Primary_Tracking!AA92</f>
        <v>142821</v>
      </c>
      <c r="AF68" s="4">
        <f>August2026Primary_Tracking!AB92</f>
        <v>0</v>
      </c>
      <c r="AG68" s="30">
        <f>August2026Primary_Tracking!AC92</f>
        <v>0</v>
      </c>
      <c r="AH68" s="7">
        <f>August2026Primary_Tracking!AD92</f>
        <v>495</v>
      </c>
      <c r="AI68" s="4">
        <f>August2026Primary_Tracking!AE92</f>
        <v>0</v>
      </c>
      <c r="AJ68" s="7">
        <f>August2026Primary_Tracking!AF92</f>
        <v>143943</v>
      </c>
      <c r="AK68" s="4">
        <f>August2026Primary_Tracking!AG92</f>
        <v>0</v>
      </c>
      <c r="AL68" s="30">
        <f>August2026Primary_Tracking!AH92</f>
        <v>0</v>
      </c>
      <c r="AM68" s="7">
        <f>August2026Primary_Tracking!AI92</f>
        <v>1122</v>
      </c>
      <c r="AN68" s="4">
        <f>August2026Primary_Tracking!AJ92</f>
        <v>0</v>
      </c>
    </row>
    <row r="69" spans="1:40" x14ac:dyDescent="0.3">
      <c r="A69" t="s">
        <v>365</v>
      </c>
      <c r="B69" t="s">
        <v>11</v>
      </c>
      <c r="C69" s="26">
        <f t="shared" si="6"/>
        <v>1588</v>
      </c>
      <c r="D69" s="1">
        <f t="shared" si="7"/>
        <v>1.1155132203770828E-2</v>
      </c>
      <c r="E69">
        <f>August2026Primary_Tracking!E93</f>
        <v>802</v>
      </c>
      <c r="F69" s="5">
        <f>August2026Primary_Tracking!F93</f>
        <v>1.1299999999999999E-2</v>
      </c>
      <c r="G69" s="13">
        <f t="shared" si="18"/>
        <v>0.50503778337531491</v>
      </c>
      <c r="H69" s="28">
        <f t="shared" si="19"/>
        <v>786</v>
      </c>
      <c r="I69" s="5">
        <f>H69/H$68</f>
        <v>1.0914999097360125E-2</v>
      </c>
      <c r="J69" s="5">
        <f t="shared" si="12"/>
        <v>-3.8500090263987423E-4</v>
      </c>
      <c r="K69">
        <f>August2026Primary_Tracking!G93</f>
        <v>937</v>
      </c>
      <c r="L69" s="5">
        <f>August2026Primary_Tracking!H93</f>
        <v>1.0700000000000001E-2</v>
      </c>
      <c r="M69">
        <f>August2026Primary_Tracking!I93</f>
        <v>-0.06</v>
      </c>
      <c r="N69">
        <f>August2026Primary_Tracking!J93</f>
        <v>135</v>
      </c>
      <c r="O69" s="5">
        <f>August2026Primary_Tracking!K93</f>
        <v>8.0000000000000002E-3</v>
      </c>
      <c r="P69" s="11">
        <f>August2026Primary_Tracking!L93</f>
        <v>1148</v>
      </c>
      <c r="Q69" s="13">
        <f>August2026Primary_Tracking!M93</f>
        <v>1.0587866378912807E-2</v>
      </c>
      <c r="R69" s="10">
        <f>August2026Primary_Tracking!N93</f>
        <v>-7.0000000000000007E-2</v>
      </c>
      <c r="S69" s="11">
        <f>August2026Primary_Tracking!O93</f>
        <v>211</v>
      </c>
      <c r="T69" s="13">
        <f>August2026Primary_Tracking!P93</f>
        <v>1.0190283009755626E-2</v>
      </c>
      <c r="U69" s="11">
        <f>August2026Primary_Tracking!Q93</f>
        <v>1424</v>
      </c>
      <c r="V69" s="13">
        <f>August2026Primary_Tracking!R93</f>
        <v>1.078199769822521E-2</v>
      </c>
      <c r="W69" s="10">
        <f>August2026Primary_Tracking!S93</f>
        <v>-0.05</v>
      </c>
      <c r="X69" s="11">
        <f>August2026Primary_Tracking!T93</f>
        <v>276</v>
      </c>
      <c r="Y69" s="13">
        <f>August2026Primary_Tracking!U93</f>
        <v>1.1672164425272774E-2</v>
      </c>
      <c r="Z69" s="11">
        <f>August2026Primary_Tracking!V93</f>
        <v>1552</v>
      </c>
      <c r="AA69" s="13">
        <f>August2026Primary_Tracking!W93</f>
        <v>1.1062877346049939E-2</v>
      </c>
      <c r="AB69" s="16">
        <f>August2026Primary_Tracking!X93</f>
        <v>-0.02</v>
      </c>
      <c r="AC69" s="11">
        <f>August2026Primary_Tracking!Y93</f>
        <v>128</v>
      </c>
      <c r="AD69" s="13">
        <f>August2026Primary_Tracking!Z93</f>
        <v>1.5577461360593891E-2</v>
      </c>
      <c r="AE69" s="11">
        <f>August2026Primary_Tracking!AA93</f>
        <v>1565</v>
      </c>
      <c r="AF69" s="13">
        <f>August2026Primary_Tracking!AB93</f>
        <v>1.1088359702137609E-2</v>
      </c>
      <c r="AG69" s="16">
        <f>August2026Primary_Tracking!AC93</f>
        <v>-0.02</v>
      </c>
      <c r="AH69" s="11">
        <f>August2026Primary_Tracking!AD93</f>
        <v>13</v>
      </c>
      <c r="AI69" s="13">
        <f>August2026Primary_Tracking!AE93</f>
        <v>1.5294117647058824E-2</v>
      </c>
      <c r="AJ69" s="11">
        <f>August2026Primary_Tracking!AF93</f>
        <v>1588</v>
      </c>
      <c r="AK69" s="13">
        <f>August2026Primary_Tracking!AG93</f>
        <v>1.1155132203770828E-2</v>
      </c>
      <c r="AL69" s="16">
        <f>August2026Primary_Tracking!AH93</f>
        <v>-0.01</v>
      </c>
      <c r="AM69" s="11">
        <f>August2026Primary_Tracking!AI93</f>
        <v>23</v>
      </c>
      <c r="AN69" s="13">
        <f>August2026Primary_Tracking!AJ93</f>
        <v>1.8898931799506986E-2</v>
      </c>
    </row>
    <row r="70" spans="1:40" x14ac:dyDescent="0.3">
      <c r="A70" t="s">
        <v>366</v>
      </c>
      <c r="B70" t="s">
        <v>282</v>
      </c>
      <c r="C70" s="26">
        <f t="shared" si="6"/>
        <v>24583</v>
      </c>
      <c r="D70" s="1">
        <f t="shared" si="7"/>
        <v>0.17268678524263115</v>
      </c>
      <c r="E70">
        <f>August2026Primary_Tracking!E94</f>
        <v>8896</v>
      </c>
      <c r="F70" s="5">
        <f>August2026Primary_Tracking!F94</f>
        <v>0.12560000000000002</v>
      </c>
      <c r="G70" s="13">
        <f t="shared" si="18"/>
        <v>0.36187609323516251</v>
      </c>
      <c r="H70" s="28">
        <f t="shared" si="19"/>
        <v>15687</v>
      </c>
      <c r="I70" s="5">
        <f t="shared" ref="I70:I73" si="20">H70/H$68</f>
        <v>0.21784171862632098</v>
      </c>
      <c r="J70" s="5">
        <f t="shared" si="12"/>
        <v>9.2241718626320968E-2</v>
      </c>
      <c r="K70">
        <f>August2026Primary_Tracking!G94</f>
        <v>11405</v>
      </c>
      <c r="L70" s="5">
        <f>August2026Primary_Tracking!H94</f>
        <v>0.13</v>
      </c>
      <c r="M70">
        <f>August2026Primary_Tracking!I94</f>
        <v>0.44</v>
      </c>
      <c r="N70">
        <f>August2026Primary_Tracking!J94</f>
        <v>2509</v>
      </c>
      <c r="O70" s="5">
        <f>August2026Primary_Tracking!K94</f>
        <v>0.14829999999999999</v>
      </c>
      <c r="P70" s="11">
        <f>August2026Primary_Tracking!L94</f>
        <v>16408</v>
      </c>
      <c r="Q70" s="13">
        <f>August2026Primary_Tracking!M94</f>
        <v>0.15132901702543669</v>
      </c>
      <c r="R70" s="10">
        <f>August2026Primary_Tracking!N94</f>
        <v>2.57</v>
      </c>
      <c r="S70" s="11">
        <f>August2026Primary_Tracking!O94</f>
        <v>5003</v>
      </c>
      <c r="T70" s="13">
        <f>August2026Primary_Tracking!P94</f>
        <v>0.24162078624553271</v>
      </c>
      <c r="U70" s="11">
        <f>August2026Primary_Tracking!Q94</f>
        <v>22228</v>
      </c>
      <c r="V70" s="13">
        <f>August2026Primary_Tracking!R94</f>
        <v>0.1683021382276334</v>
      </c>
      <c r="W70" s="10">
        <f>August2026Primary_Tracking!S94</f>
        <v>4.2699999999999996</v>
      </c>
      <c r="X70" s="11">
        <f>August2026Primary_Tracking!T94</f>
        <v>5820</v>
      </c>
      <c r="Y70" s="13">
        <f>August2026Primary_Tracking!U94</f>
        <v>0.24613042375031718</v>
      </c>
      <c r="Z70" s="11">
        <f>August2026Primary_Tracking!V94</f>
        <v>23982</v>
      </c>
      <c r="AA70" s="13">
        <f>August2026Primary_Tracking!W94</f>
        <v>0.17094711630990314</v>
      </c>
      <c r="AB70" s="16">
        <f>August2026Primary_Tracking!X94</f>
        <v>4.53</v>
      </c>
      <c r="AC70" s="11">
        <f>August2026Primary_Tracking!Y94</f>
        <v>1754</v>
      </c>
      <c r="AD70" s="13">
        <f>August2026Primary_Tracking!Z94</f>
        <v>0.21345990020688815</v>
      </c>
      <c r="AE70" s="11">
        <f>August2026Primary_Tracking!AA94</f>
        <v>24186</v>
      </c>
      <c r="AF70" s="13">
        <f>August2026Primary_Tracking!AB94</f>
        <v>0.17136298259162952</v>
      </c>
      <c r="AG70" s="16">
        <f>August2026Primary_Tracking!AC94</f>
        <v>4.58</v>
      </c>
      <c r="AH70" s="11">
        <f>August2026Primary_Tracking!AD94</f>
        <v>204</v>
      </c>
      <c r="AI70" s="13">
        <f>August2026Primary_Tracking!AE94</f>
        <v>0.24</v>
      </c>
      <c r="AJ70" s="11">
        <f>August2026Primary_Tracking!AF94</f>
        <v>24583</v>
      </c>
      <c r="AK70" s="13">
        <f>August2026Primary_Tracking!AG94</f>
        <v>0.17268678524263115</v>
      </c>
      <c r="AL70" s="16">
        <f>August2026Primary_Tracking!AH94</f>
        <v>4.71</v>
      </c>
      <c r="AM70" s="11">
        <f>August2026Primary_Tracking!AI94</f>
        <v>397</v>
      </c>
      <c r="AN70" s="13">
        <f>August2026Primary_Tracking!AJ94</f>
        <v>0.32621199671322926</v>
      </c>
    </row>
    <row r="71" spans="1:40" x14ac:dyDescent="0.3">
      <c r="A71" t="s">
        <v>367</v>
      </c>
      <c r="B71" t="s">
        <v>282</v>
      </c>
      <c r="C71" s="26">
        <f t="shared" si="6"/>
        <v>17811</v>
      </c>
      <c r="D71" s="1">
        <f t="shared" si="7"/>
        <v>0.12511590660035404</v>
      </c>
      <c r="E71">
        <f>August2026Primary_Tracking!E95</f>
        <v>8083</v>
      </c>
      <c r="F71" s="5">
        <f>August2026Primary_Tracking!F95</f>
        <v>0.1142</v>
      </c>
      <c r="G71" s="13">
        <f t="shared" si="18"/>
        <v>0.45382067261804504</v>
      </c>
      <c r="H71" s="28">
        <f t="shared" si="19"/>
        <v>9728</v>
      </c>
      <c r="I71" s="5">
        <f t="shared" si="20"/>
        <v>0.13509047228895585</v>
      </c>
      <c r="J71" s="5">
        <f t="shared" si="12"/>
        <v>2.0890472288955853E-2</v>
      </c>
      <c r="K71">
        <f>August2026Primary_Tracking!G95</f>
        <v>10124</v>
      </c>
      <c r="L71" s="5">
        <f>August2026Primary_Tracking!H95</f>
        <v>0.11539999999999999</v>
      </c>
      <c r="M71">
        <f>August2026Primary_Tracking!I95</f>
        <v>0.12</v>
      </c>
      <c r="N71">
        <f>August2026Primary_Tracking!J95</f>
        <v>2041</v>
      </c>
      <c r="O71" s="5">
        <f>August2026Primary_Tracking!K95</f>
        <v>0.1207</v>
      </c>
      <c r="P71" s="11">
        <f>August2026Primary_Tracking!L95</f>
        <v>13016</v>
      </c>
      <c r="Q71" s="13">
        <f>August2026Primary_Tracking!M95</f>
        <v>0.1200450076549905</v>
      </c>
      <c r="R71" s="10">
        <f>August2026Primary_Tracking!N95</f>
        <v>0.57999999999999996</v>
      </c>
      <c r="S71" s="11">
        <f>August2026Primary_Tracking!O95</f>
        <v>2892</v>
      </c>
      <c r="T71" s="13">
        <f>August2026Primary_Tracking!P95</f>
        <v>0.1396696609678354</v>
      </c>
      <c r="U71" s="11">
        <f>August2026Primary_Tracking!Q95</f>
        <v>16204</v>
      </c>
      <c r="V71" s="13">
        <f>August2026Primary_Tracking!R95</f>
        <v>0.12269065358289417</v>
      </c>
      <c r="W71" s="10">
        <f>August2026Primary_Tracking!S95</f>
        <v>0.85</v>
      </c>
      <c r="X71" s="11">
        <f>August2026Primary_Tracking!T95</f>
        <v>3188</v>
      </c>
      <c r="Y71" s="13">
        <f>August2026Primary_Tracking!U95</f>
        <v>0.13482195720206377</v>
      </c>
      <c r="Z71" s="11">
        <f>August2026Primary_Tracking!V95</f>
        <v>17501</v>
      </c>
      <c r="AA71" s="13">
        <f>August2026Primary_Tracking!W95</f>
        <v>0.1247496239904768</v>
      </c>
      <c r="AB71" s="16">
        <f>August2026Primary_Tracking!X95</f>
        <v>1.05</v>
      </c>
      <c r="AC71" s="11">
        <f>August2026Primary_Tracking!Y95</f>
        <v>1297</v>
      </c>
      <c r="AD71" s="13">
        <f>August2026Primary_Tracking!Z95</f>
        <v>0.15784349519289279</v>
      </c>
      <c r="AE71" s="11">
        <f>August2026Primary_Tracking!AA95</f>
        <v>17621</v>
      </c>
      <c r="AF71" s="13">
        <f>August2026Primary_Tracking!AB95</f>
        <v>0.12484855355358901</v>
      </c>
      <c r="AG71" s="16">
        <f>August2026Primary_Tracking!AC95</f>
        <v>1.06</v>
      </c>
      <c r="AH71" s="11">
        <f>August2026Primary_Tracking!AD95</f>
        <v>120</v>
      </c>
      <c r="AI71" s="13">
        <f>August2026Primary_Tracking!AE95</f>
        <v>0.14117647058823529</v>
      </c>
      <c r="AJ71" s="11">
        <f>August2026Primary_Tracking!AF95</f>
        <v>17811</v>
      </c>
      <c r="AK71" s="13">
        <f>August2026Primary_Tracking!AG95</f>
        <v>0.12511590660035404</v>
      </c>
      <c r="AL71" s="16">
        <f>August2026Primary_Tracking!AH95</f>
        <v>1.0900000000000001</v>
      </c>
      <c r="AM71" s="11">
        <f>August2026Primary_Tracking!AI95</f>
        <v>190</v>
      </c>
      <c r="AN71" s="13">
        <f>August2026Primary_Tracking!AJ95</f>
        <v>0.1561216105176664</v>
      </c>
    </row>
    <row r="72" spans="1:40" x14ac:dyDescent="0.3">
      <c r="A72" t="s">
        <v>368</v>
      </c>
      <c r="B72" t="s">
        <v>9</v>
      </c>
      <c r="C72" s="26">
        <f t="shared" si="6"/>
        <v>31070</v>
      </c>
      <c r="D72" s="1">
        <f t="shared" si="7"/>
        <v>0.2182556407878839</v>
      </c>
      <c r="E72">
        <f>August2026Primary_Tracking!E96</f>
        <v>16842</v>
      </c>
      <c r="F72" s="5">
        <f>August2026Primary_Tracking!F96</f>
        <v>0.2379</v>
      </c>
      <c r="G72" s="13">
        <f t="shared" si="18"/>
        <v>0.5420663018989379</v>
      </c>
      <c r="H72" s="28">
        <f t="shared" si="19"/>
        <v>14228</v>
      </c>
      <c r="I72" s="5">
        <f t="shared" si="20"/>
        <v>0.19758092513643749</v>
      </c>
      <c r="J72" s="5">
        <f t="shared" si="12"/>
        <v>-4.031907486356251E-2</v>
      </c>
      <c r="K72">
        <f>August2026Primary_Tracking!G96</f>
        <v>21140</v>
      </c>
      <c r="L72" s="5">
        <f>August2026Primary_Tracking!H96</f>
        <v>0.24100000000000002</v>
      </c>
      <c r="M72">
        <f>August2026Primary_Tracking!I96</f>
        <v>0.31</v>
      </c>
      <c r="N72">
        <f>August2026Primary_Tracking!J96</f>
        <v>4298</v>
      </c>
      <c r="O72" s="5">
        <f>August2026Primary_Tracking!K96</f>
        <v>0.25409999999999999</v>
      </c>
      <c r="P72" s="11">
        <f>August2026Primary_Tracking!L96</f>
        <v>24667</v>
      </c>
      <c r="Q72" s="13">
        <f>August2026Primary_Tracking!M96</f>
        <v>0.2275007839448103</v>
      </c>
      <c r="R72" s="10">
        <f>August2026Primary_Tracking!N96</f>
        <v>-1.04</v>
      </c>
      <c r="S72" s="11">
        <f>August2026Primary_Tracking!O96</f>
        <v>3527</v>
      </c>
      <c r="T72" s="13">
        <f>August2026Primary_Tracking!P96</f>
        <v>0.17033710035738434</v>
      </c>
      <c r="U72" s="11">
        <f>August2026Primary_Tracking!Q96</f>
        <v>28909</v>
      </c>
      <c r="V72" s="13">
        <f>August2026Primary_Tracking!R96</f>
        <v>0.2188881822036465</v>
      </c>
      <c r="W72" s="10">
        <f>August2026Primary_Tracking!S96</f>
        <v>-1.9</v>
      </c>
      <c r="X72" s="11">
        <f>August2026Primary_Tracking!T96</f>
        <v>4242</v>
      </c>
      <c r="Y72" s="13">
        <f>August2026Primary_Tracking!U96</f>
        <v>0.17939609236234458</v>
      </c>
      <c r="Z72" s="11">
        <f>August2026Primary_Tracking!V96</f>
        <v>30726</v>
      </c>
      <c r="AA72" s="13">
        <f>August2026Primary_Tracking!W96</f>
        <v>0.21901931013835724</v>
      </c>
      <c r="AB72" s="16">
        <f>August2026Primary_Tracking!X96</f>
        <v>-1.89</v>
      </c>
      <c r="AC72" s="11">
        <f>August2026Primary_Tracking!Y96</f>
        <v>1817</v>
      </c>
      <c r="AD72" s="13">
        <f>August2026Primary_Tracking!Z96</f>
        <v>0.22112693197030547</v>
      </c>
      <c r="AE72" s="11">
        <f>August2026Primary_Tracking!AA96</f>
        <v>30906</v>
      </c>
      <c r="AF72" s="13">
        <f>August2026Primary_Tracking!AB96</f>
        <v>0.21897561977908303</v>
      </c>
      <c r="AG72" s="16">
        <f>August2026Primary_Tracking!AC96</f>
        <v>-1.89</v>
      </c>
      <c r="AH72" s="11">
        <f>August2026Primary_Tracking!AD96</f>
        <v>180</v>
      </c>
      <c r="AI72" s="13">
        <f>August2026Primary_Tracking!AE96</f>
        <v>0.21176470588235294</v>
      </c>
      <c r="AJ72" s="11">
        <f>August2026Primary_Tracking!AF96</f>
        <v>31070</v>
      </c>
      <c r="AK72" s="13">
        <f>August2026Primary_Tracking!AG96</f>
        <v>0.2182556407878839</v>
      </c>
      <c r="AL72" s="16">
        <f>August2026Primary_Tracking!AH96</f>
        <v>-1.96</v>
      </c>
      <c r="AM72" s="11">
        <f>August2026Primary_Tracking!AI96</f>
        <v>164</v>
      </c>
      <c r="AN72" s="13">
        <f>August2026Primary_Tracking!AJ96</f>
        <v>0.13475760065735415</v>
      </c>
    </row>
    <row r="73" spans="1:40" x14ac:dyDescent="0.3">
      <c r="A73" t="s">
        <v>369</v>
      </c>
      <c r="B73" t="s">
        <v>8</v>
      </c>
      <c r="C73" s="26">
        <f t="shared" si="6"/>
        <v>67095</v>
      </c>
      <c r="D73" s="1">
        <f t="shared" si="7"/>
        <v>0.47131838489420891</v>
      </c>
      <c r="E73">
        <f>August2026Primary_Tracking!E97</f>
        <v>36070</v>
      </c>
      <c r="F73" s="5">
        <f>August2026Primary_Tracking!F97</f>
        <v>0.50939999999999996</v>
      </c>
      <c r="G73" s="13">
        <f t="shared" si="18"/>
        <v>0.53759594604665029</v>
      </c>
      <c r="H73" s="28">
        <f t="shared" si="19"/>
        <v>31025</v>
      </c>
      <c r="I73" s="5">
        <f t="shared" si="20"/>
        <v>0.43083695546513728</v>
      </c>
      <c r="J73" s="5">
        <f t="shared" si="12"/>
        <v>-7.856304453486268E-2</v>
      </c>
      <c r="K73">
        <f>August2026Primary_Tracking!G97</f>
        <v>44010</v>
      </c>
      <c r="L73" s="5">
        <f>August2026Primary_Tracking!H97</f>
        <v>0.50170000000000003</v>
      </c>
      <c r="M73">
        <f>August2026Primary_Tracking!I97</f>
        <v>-0.77</v>
      </c>
      <c r="N73">
        <f>August2026Primary_Tracking!J97</f>
        <v>7940</v>
      </c>
      <c r="O73" s="5">
        <f>August2026Primary_Tracking!K97</f>
        <v>0.46939999999999998</v>
      </c>
      <c r="P73" s="11">
        <f>August2026Primary_Tracking!L97</f>
        <v>53036</v>
      </c>
      <c r="Q73" s="13">
        <f>August2026Primary_Tracking!M97</f>
        <v>0.48914467009757806</v>
      </c>
      <c r="R73" s="10">
        <f>August2026Primary_Tracking!N97</f>
        <v>-2.0299999999999998</v>
      </c>
      <c r="S73" s="11">
        <f>August2026Primary_Tracking!O97</f>
        <v>9026</v>
      </c>
      <c r="T73" s="13">
        <f>August2026Primary_Tracking!P97</f>
        <v>0.4359122959528639</v>
      </c>
      <c r="U73" s="11">
        <f>August2026Primary_Tracking!Q97</f>
        <v>63114</v>
      </c>
      <c r="V73" s="13">
        <f>August2026Primary_Tracking!R97</f>
        <v>0.47787570416136654</v>
      </c>
      <c r="W73" s="10">
        <f>August2026Primary_Tracking!S97</f>
        <v>-3.15</v>
      </c>
      <c r="X73" s="11">
        <f>August2026Primary_Tracking!T97</f>
        <v>10078</v>
      </c>
      <c r="Y73" s="13">
        <f>August2026Primary_Tracking!U97</f>
        <v>0.42620316332572106</v>
      </c>
      <c r="Z73" s="11">
        <f>August2026Primary_Tracking!V97</f>
        <v>66326</v>
      </c>
      <c r="AA73" s="13">
        <f>August2026Primary_Tracking!W97</f>
        <v>0.47278118740599762</v>
      </c>
      <c r="AB73" s="16">
        <f>August2026Primary_Tracking!X97</f>
        <v>-3.66</v>
      </c>
      <c r="AC73" s="11">
        <f>August2026Primary_Tracking!Y97</f>
        <v>3212</v>
      </c>
      <c r="AD73" s="13">
        <f>August2026Primary_Tracking!Z97</f>
        <v>0.39089692101740292</v>
      </c>
      <c r="AE73" s="11">
        <f>August2026Primary_Tracking!AA97</f>
        <v>66657</v>
      </c>
      <c r="AF73" s="13">
        <f>August2026Primary_Tracking!AB97</f>
        <v>0.47227910074465596</v>
      </c>
      <c r="AG73" s="16">
        <f>August2026Primary_Tracking!AC97</f>
        <v>-3.71</v>
      </c>
      <c r="AH73" s="11">
        <f>August2026Primary_Tracking!AD97</f>
        <v>331</v>
      </c>
      <c r="AI73" s="13">
        <f>August2026Primary_Tracking!AE97</f>
        <v>0.38941176470588235</v>
      </c>
      <c r="AJ73" s="11">
        <f>August2026Primary_Tracking!AF97</f>
        <v>67095</v>
      </c>
      <c r="AK73" s="13">
        <f>August2026Primary_Tracking!AG97</f>
        <v>0.47131838489420891</v>
      </c>
      <c r="AL73" s="16">
        <f>August2026Primary_Tracking!AH97</f>
        <v>-3.81</v>
      </c>
      <c r="AM73" s="11">
        <f>August2026Primary_Tracking!AI97</f>
        <v>438</v>
      </c>
      <c r="AN73" s="13">
        <f>August2026Primary_Tracking!AJ97</f>
        <v>0.35990139687756778</v>
      </c>
    </row>
    <row r="74" spans="1:40" s="2" customFormat="1" x14ac:dyDescent="0.3">
      <c r="A74" s="2" t="s">
        <v>370</v>
      </c>
      <c r="B74" s="2" t="s">
        <v>298</v>
      </c>
      <c r="C74" s="25">
        <f t="shared" ref="C74:C80" si="21">AJ74</f>
        <v>158386</v>
      </c>
      <c r="D74" s="3">
        <f t="shared" ref="D74:D80" si="22">AK74</f>
        <v>0</v>
      </c>
      <c r="E74" s="2">
        <f>August2026Primary_Tracking!E101</f>
        <v>81476</v>
      </c>
      <c r="F74" s="4" t="str">
        <f>August2026Primary_Tracking!F101</f>
        <v/>
      </c>
      <c r="G74" s="4">
        <f t="shared" si="18"/>
        <v>0.51441415276602731</v>
      </c>
      <c r="H74" s="27">
        <f t="shared" si="19"/>
        <v>76910</v>
      </c>
      <c r="I74" s="4"/>
      <c r="J74" s="5"/>
      <c r="K74" s="2">
        <f>August2026Primary_Tracking!G101</f>
        <v>110756</v>
      </c>
      <c r="L74" s="4" t="str">
        <f>August2026Primary_Tracking!H101</f>
        <v/>
      </c>
      <c r="M74" s="2" t="str">
        <f>August2026Primary_Tracking!I101</f>
        <v/>
      </c>
      <c r="N74" s="2">
        <f>August2026Primary_Tracking!J101</f>
        <v>29280</v>
      </c>
      <c r="O74" s="4" t="str">
        <f>August2026Primary_Tracking!K101</f>
        <v/>
      </c>
      <c r="P74" s="7">
        <f>August2026Primary_Tracking!L101</f>
        <v>121701</v>
      </c>
      <c r="Q74" s="4" t="str">
        <f>August2026Primary_Tracking!M101</f>
        <v/>
      </c>
      <c r="R74" s="9" t="str">
        <f>August2026Primary_Tracking!N101</f>
        <v/>
      </c>
      <c r="S74" s="7">
        <f>August2026Primary_Tracking!O101</f>
        <v>10945</v>
      </c>
      <c r="T74" s="4" t="str">
        <f>August2026Primary_Tracking!P101</f>
        <v/>
      </c>
      <c r="U74" s="7">
        <f>August2026Primary_Tracking!Q101</f>
        <v>139002</v>
      </c>
      <c r="V74" s="4" t="str">
        <f>August2026Primary_Tracking!R101</f>
        <v/>
      </c>
      <c r="W74" s="9" t="str">
        <f>August2026Primary_Tracking!S101</f>
        <v/>
      </c>
      <c r="X74" s="7">
        <f>August2026Primary_Tracking!T101</f>
        <v>17301</v>
      </c>
      <c r="Y74" s="4" t="str">
        <f>August2026Primary_Tracking!U101</f>
        <v/>
      </c>
      <c r="Z74" s="7">
        <f>August2026Primary_Tracking!V101</f>
        <v>154434</v>
      </c>
      <c r="AA74" s="4">
        <f>August2026Primary_Tracking!W101</f>
        <v>0</v>
      </c>
      <c r="AB74" s="30">
        <f>August2026Primary_Tracking!X101</f>
        <v>0</v>
      </c>
      <c r="AC74" s="7">
        <f>August2026Primary_Tracking!Y101</f>
        <v>15432</v>
      </c>
      <c r="AD74" s="4">
        <f>August2026Primary_Tracking!Z101</f>
        <v>0</v>
      </c>
      <c r="AE74" s="7">
        <f>August2026Primary_Tracking!AA101</f>
        <v>155368</v>
      </c>
      <c r="AF74" s="4">
        <f>August2026Primary_Tracking!AB101</f>
        <v>0</v>
      </c>
      <c r="AG74" s="30">
        <f>August2026Primary_Tracking!AC101</f>
        <v>0</v>
      </c>
      <c r="AH74" s="7">
        <f>August2026Primary_Tracking!AD101</f>
        <v>934</v>
      </c>
      <c r="AI74" s="4">
        <f>August2026Primary_Tracking!AE101</f>
        <v>0</v>
      </c>
      <c r="AJ74" s="7">
        <f>August2026Primary_Tracking!AF101</f>
        <v>158386</v>
      </c>
      <c r="AK74" s="4">
        <f>August2026Primary_Tracking!AG101</f>
        <v>0</v>
      </c>
      <c r="AL74" s="30">
        <f>August2026Primary_Tracking!AH101</f>
        <v>0</v>
      </c>
      <c r="AM74" s="7">
        <f>August2026Primary_Tracking!AI101</f>
        <v>3018</v>
      </c>
      <c r="AN74" s="4">
        <f>August2026Primary_Tracking!AJ101</f>
        <v>0</v>
      </c>
    </row>
    <row r="75" spans="1:40" x14ac:dyDescent="0.3">
      <c r="A75" t="s">
        <v>371</v>
      </c>
      <c r="B75" t="s">
        <v>282</v>
      </c>
      <c r="C75" s="26">
        <f t="shared" si="21"/>
        <v>14695</v>
      </c>
      <c r="D75" s="1">
        <f t="shared" si="22"/>
        <v>9.4245840869152525E-2</v>
      </c>
      <c r="E75">
        <f>August2026Primary_Tracking!E102</f>
        <v>7147</v>
      </c>
      <c r="F75" s="5">
        <f>August2026Primary_Tracking!F102</f>
        <v>8.8900000000000007E-2</v>
      </c>
      <c r="G75" s="13">
        <f t="shared" si="18"/>
        <v>0.48635590336849266</v>
      </c>
      <c r="H75" s="28">
        <f t="shared" si="19"/>
        <v>7548</v>
      </c>
      <c r="I75" s="5">
        <f>H75/H$74</f>
        <v>9.8140683916265764E-2</v>
      </c>
      <c r="J75" s="5">
        <f t="shared" si="12"/>
        <v>9.2406839162657572E-3</v>
      </c>
      <c r="K75">
        <f>August2026Primary_Tracking!G102</f>
        <v>9946</v>
      </c>
      <c r="L75" s="5">
        <f>August2026Primary_Tracking!H102</f>
        <v>9.0999999999999998E-2</v>
      </c>
      <c r="M75">
        <f>August2026Primary_Tracking!I102</f>
        <v>0.21</v>
      </c>
      <c r="N75">
        <f>August2026Primary_Tracking!J102</f>
        <v>2799</v>
      </c>
      <c r="O75" s="5">
        <f>August2026Primary_Tracking!K102</f>
        <v>9.6999999999999989E-2</v>
      </c>
      <c r="P75" s="11">
        <f>August2026Primary_Tracking!L102</f>
        <v>11025</v>
      </c>
      <c r="Q75" s="13">
        <f>August2026Primary_Tracking!M102</f>
        <v>9.1852802239458797E-2</v>
      </c>
      <c r="R75" s="10">
        <f>August2026Primary_Tracking!N102</f>
        <v>0.3</v>
      </c>
      <c r="S75" s="11">
        <f>August2026Primary_Tracking!O102</f>
        <v>1079</v>
      </c>
      <c r="T75" s="13">
        <f>August2026Primary_Tracking!P102</f>
        <v>0.10000926869960144</v>
      </c>
      <c r="U75" s="11">
        <f>August2026Primary_Tracking!Q102</f>
        <v>12695</v>
      </c>
      <c r="V75" s="13">
        <f>August2026Primary_Tracking!R102</f>
        <v>9.2693327102667256E-2</v>
      </c>
      <c r="W75" s="10">
        <f>August2026Primary_Tracking!S102</f>
        <v>0.38</v>
      </c>
      <c r="X75" s="11">
        <f>August2026Primary_Tracking!T102</f>
        <v>1670</v>
      </c>
      <c r="Y75" s="13">
        <f>August2026Primary_Tracking!U102</f>
        <v>9.8653119092627597E-2</v>
      </c>
      <c r="Z75" s="11">
        <f>August2026Primary_Tracking!V102</f>
        <v>14253</v>
      </c>
      <c r="AA75" s="13">
        <f>August2026Primary_Tracking!W102</f>
        <v>9.3716096707805396E-2</v>
      </c>
      <c r="AB75" s="16">
        <f>August2026Primary_Tracking!X102</f>
        <v>0.48</v>
      </c>
      <c r="AC75" s="11">
        <f>August2026Primary_Tracking!Y102</f>
        <v>1558</v>
      </c>
      <c r="AD75" s="13">
        <f>August2026Primary_Tracking!Z102</f>
        <v>0.10297422339722406</v>
      </c>
      <c r="AE75" s="11">
        <f>August2026Primary_Tracking!AA102</f>
        <v>14350</v>
      </c>
      <c r="AF75" s="13">
        <f>August2026Primary_Tracking!AB102</f>
        <v>9.3793301785667596E-2</v>
      </c>
      <c r="AG75" s="16">
        <f>August2026Primary_Tracking!AC102</f>
        <v>0.49</v>
      </c>
      <c r="AH75" s="11">
        <f>August2026Primary_Tracking!AD102</f>
        <v>97</v>
      </c>
      <c r="AI75" s="13">
        <f>August2026Primary_Tracking!AE102</f>
        <v>0.10671067106710672</v>
      </c>
      <c r="AJ75" s="11">
        <f>August2026Primary_Tracking!AF102</f>
        <v>14695</v>
      </c>
      <c r="AK75" s="13">
        <f>August2026Primary_Tracking!AG102</f>
        <v>9.4245840869152525E-2</v>
      </c>
      <c r="AL75" s="16">
        <f>August2026Primary_Tracking!AH102</f>
        <v>0.53</v>
      </c>
      <c r="AM75" s="11">
        <f>August2026Primary_Tracking!AI102</f>
        <v>345</v>
      </c>
      <c r="AN75" s="13">
        <f>August2026Primary_Tracking!AJ102</f>
        <v>0.11790840738209159</v>
      </c>
    </row>
    <row r="76" spans="1:40" x14ac:dyDescent="0.3">
      <c r="A76" t="s">
        <v>372</v>
      </c>
      <c r="B76" t="s">
        <v>8</v>
      </c>
      <c r="C76" s="26">
        <f t="shared" si="21"/>
        <v>73689</v>
      </c>
      <c r="D76" s="1">
        <f t="shared" si="22"/>
        <v>0.47260168545811365</v>
      </c>
      <c r="E76">
        <f>August2026Primary_Tracking!E103</f>
        <v>39501</v>
      </c>
      <c r="F76" s="5">
        <f>August2026Primary_Tracking!F103</f>
        <v>0.4914</v>
      </c>
      <c r="G76" s="13">
        <f t="shared" si="18"/>
        <v>0.53605015673981193</v>
      </c>
      <c r="H76" s="28">
        <f t="shared" si="19"/>
        <v>34188</v>
      </c>
      <c r="I76" s="5">
        <f t="shared" ref="I76:I80" si="23">H76/H$74</f>
        <v>0.44451956832661554</v>
      </c>
      <c r="J76" s="5">
        <f t="shared" si="12"/>
        <v>-4.6880431673384459E-2</v>
      </c>
      <c r="K76">
        <f>August2026Primary_Tracking!G103</f>
        <v>52908</v>
      </c>
      <c r="L76" s="5">
        <f>August2026Primary_Tracking!H103</f>
        <v>0.48430000000000001</v>
      </c>
      <c r="M76">
        <f>August2026Primary_Tracking!I103</f>
        <v>-0.71</v>
      </c>
      <c r="N76">
        <f>August2026Primary_Tracking!J103</f>
        <v>13407</v>
      </c>
      <c r="O76" s="5">
        <f>August2026Primary_Tracking!K103</f>
        <v>0.4647</v>
      </c>
      <c r="P76" s="11">
        <f>August2026Primary_Tracking!L103</f>
        <v>57682</v>
      </c>
      <c r="Q76" s="13">
        <f>August2026Primary_Tracking!M103</f>
        <v>0.48056719626090361</v>
      </c>
      <c r="R76" s="10">
        <f>August2026Primary_Tracking!N103</f>
        <v>-1.08</v>
      </c>
      <c r="S76" s="11">
        <f>August2026Primary_Tracking!O103</f>
        <v>4774</v>
      </c>
      <c r="T76" s="13">
        <f>August2026Primary_Tracking!P103</f>
        <v>0.44248771897302808</v>
      </c>
      <c r="U76" s="11">
        <f>August2026Primary_Tracking!Q103</f>
        <v>65297</v>
      </c>
      <c r="V76" s="13">
        <f>August2026Primary_Tracking!R103</f>
        <v>0.47677008112035163</v>
      </c>
      <c r="W76" s="10">
        <f>August2026Primary_Tracking!S103</f>
        <v>-1.46</v>
      </c>
      <c r="X76" s="11">
        <f>August2026Primary_Tracking!T103</f>
        <v>7615</v>
      </c>
      <c r="Y76" s="13">
        <f>August2026Primary_Tracking!U103</f>
        <v>0.44984640831758033</v>
      </c>
      <c r="Z76" s="11">
        <f>August2026Primary_Tracking!V103</f>
        <v>72062</v>
      </c>
      <c r="AA76" s="13">
        <f>August2026Primary_Tracking!W103</f>
        <v>0.47382090513982128</v>
      </c>
      <c r="AB76" s="16">
        <f>August2026Primary_Tracking!X103</f>
        <v>-1.76</v>
      </c>
      <c r="AC76" s="11">
        <f>August2026Primary_Tracking!Y103</f>
        <v>6765</v>
      </c>
      <c r="AD76" s="13">
        <f>August2026Primary_Tracking!Z103</f>
        <v>0.4471249173826834</v>
      </c>
      <c r="AE76" s="11">
        <f>August2026Primary_Tracking!AA103</f>
        <v>72444</v>
      </c>
      <c r="AF76" s="13">
        <f>August2026Primary_Tracking!AB103</f>
        <v>0.47350257523072498</v>
      </c>
      <c r="AG76" s="16">
        <f>August2026Primary_Tracking!AC103</f>
        <v>-1.79</v>
      </c>
      <c r="AH76" s="11">
        <f>August2026Primary_Tracking!AD103</f>
        <v>382</v>
      </c>
      <c r="AI76" s="13">
        <f>August2026Primary_Tracking!AE103</f>
        <v>0.42024202420242024</v>
      </c>
      <c r="AJ76" s="11">
        <f>August2026Primary_Tracking!AF103</f>
        <v>73689</v>
      </c>
      <c r="AK76" s="13">
        <f>August2026Primary_Tracking!AG103</f>
        <v>0.47260168545811365</v>
      </c>
      <c r="AL76" s="16">
        <f>August2026Primary_Tracking!AH103</f>
        <v>-1.88</v>
      </c>
      <c r="AM76" s="11">
        <f>August2026Primary_Tracking!AI103</f>
        <v>1245</v>
      </c>
      <c r="AN76" s="13">
        <f>August2026Primary_Tracking!AJ103</f>
        <v>0.42549555707450443</v>
      </c>
    </row>
    <row r="77" spans="1:40" x14ac:dyDescent="0.3">
      <c r="A77" t="s">
        <v>373</v>
      </c>
      <c r="B77" t="s">
        <v>11</v>
      </c>
      <c r="C77" s="26">
        <f t="shared" si="21"/>
        <v>713</v>
      </c>
      <c r="D77" s="1">
        <f t="shared" si="22"/>
        <v>4.5727992201228824E-3</v>
      </c>
      <c r="E77">
        <f>August2026Primary_Tracking!E104</f>
        <v>376</v>
      </c>
      <c r="F77" s="5">
        <f>August2026Primary_Tracking!F104</f>
        <v>4.6999999999999993E-3</v>
      </c>
      <c r="G77" s="13">
        <f t="shared" si="18"/>
        <v>0.52734922861150069</v>
      </c>
      <c r="H77" s="28">
        <f t="shared" si="19"/>
        <v>337</v>
      </c>
      <c r="I77" s="5">
        <f t="shared" si="23"/>
        <v>4.3817448966324279E-3</v>
      </c>
      <c r="J77" s="5">
        <f t="shared" si="12"/>
        <v>-3.1825510336757137E-4</v>
      </c>
      <c r="K77">
        <f>August2026Primary_Tracking!G104</f>
        <v>483</v>
      </c>
      <c r="L77" s="5">
        <f>August2026Primary_Tracking!H104</f>
        <v>4.4000000000000003E-3</v>
      </c>
      <c r="M77">
        <f>August2026Primary_Tracking!I104</f>
        <v>-0.03</v>
      </c>
      <c r="N77">
        <f>August2026Primary_Tracking!J104</f>
        <v>107</v>
      </c>
      <c r="O77" s="5">
        <f>August2026Primary_Tracking!K104</f>
        <v>3.7000000000000002E-3</v>
      </c>
      <c r="P77" s="11">
        <f>August2026Primary_Tracking!L104</f>
        <v>541</v>
      </c>
      <c r="Q77" s="13">
        <f>August2026Primary_Tracking!M104</f>
        <v>4.5072440826800187E-3</v>
      </c>
      <c r="R77" s="10">
        <f>August2026Primary_Tracking!N104</f>
        <v>-0.02</v>
      </c>
      <c r="S77" s="11">
        <f>August2026Primary_Tracking!O104</f>
        <v>58</v>
      </c>
      <c r="T77" s="13">
        <f>August2026Primary_Tracking!P104</f>
        <v>5.3758457688386323E-3</v>
      </c>
      <c r="U77" s="11">
        <f>August2026Primary_Tracking!Q104</f>
        <v>596</v>
      </c>
      <c r="V77" s="13">
        <f>August2026Primary_Tracking!R104</f>
        <v>4.351730835225655E-3</v>
      </c>
      <c r="W77" s="10">
        <f>August2026Primary_Tracking!S104</f>
        <v>-0.03</v>
      </c>
      <c r="X77" s="11">
        <f>August2026Primary_Tracking!T104</f>
        <v>55</v>
      </c>
      <c r="Y77" s="13">
        <f>August2026Primary_Tracking!U104</f>
        <v>3.2490548204158788E-3</v>
      </c>
      <c r="Z77" s="11">
        <f>August2026Primary_Tracking!V104</f>
        <v>687</v>
      </c>
      <c r="AA77" s="13">
        <f>August2026Primary_Tracking!W104</f>
        <v>4.5171513673095002E-3</v>
      </c>
      <c r="AB77" s="16">
        <f>August2026Primary_Tracking!X104</f>
        <v>-0.02</v>
      </c>
      <c r="AC77" s="11">
        <f>August2026Primary_Tracking!Y104</f>
        <v>91</v>
      </c>
      <c r="AD77" s="13">
        <f>August2026Primary_Tracking!Z104</f>
        <v>6.014540647719762E-3</v>
      </c>
      <c r="AE77" s="11">
        <f>August2026Primary_Tracking!AA104</f>
        <v>692</v>
      </c>
      <c r="AF77" s="13">
        <f>August2026Primary_Tracking!AB104</f>
        <v>4.5229940652043192E-3</v>
      </c>
      <c r="AG77" s="16">
        <f>August2026Primary_Tracking!AC104</f>
        <v>-0.02</v>
      </c>
      <c r="AH77" s="11">
        <f>August2026Primary_Tracking!AD104</f>
        <v>5</v>
      </c>
      <c r="AI77" s="13">
        <f>August2026Primary_Tracking!AE104</f>
        <v>5.5005500550055009E-3</v>
      </c>
      <c r="AJ77" s="11">
        <f>August2026Primary_Tracking!AF104</f>
        <v>713</v>
      </c>
      <c r="AK77" s="13">
        <f>August2026Primary_Tracking!AG104</f>
        <v>4.5727992201228824E-3</v>
      </c>
      <c r="AL77" s="16">
        <f>August2026Primary_Tracking!AH104</f>
        <v>-0.01</v>
      </c>
      <c r="AM77" s="11">
        <f>August2026Primary_Tracking!AI104</f>
        <v>21</v>
      </c>
      <c r="AN77" s="13">
        <f>August2026Primary_Tracking!AJ104</f>
        <v>7.1770334928229667E-3</v>
      </c>
    </row>
    <row r="78" spans="1:40" x14ac:dyDescent="0.3">
      <c r="A78" t="s">
        <v>374</v>
      </c>
      <c r="B78" t="s">
        <v>282</v>
      </c>
      <c r="C78" s="26">
        <f t="shared" si="21"/>
        <v>16074</v>
      </c>
      <c r="D78" s="1">
        <f t="shared" si="22"/>
        <v>0.10309000654173241</v>
      </c>
      <c r="E78">
        <f>August2026Primary_Tracking!E105</f>
        <v>5660</v>
      </c>
      <c r="F78" s="5">
        <f>August2026Primary_Tracking!F105</f>
        <v>7.0400000000000004E-2</v>
      </c>
      <c r="G78" s="13">
        <f t="shared" si="18"/>
        <v>0.35212143834764215</v>
      </c>
      <c r="H78" s="28">
        <f t="shared" si="19"/>
        <v>10414</v>
      </c>
      <c r="I78" s="5">
        <f t="shared" si="23"/>
        <v>0.13540501885320505</v>
      </c>
      <c r="J78" s="5">
        <f t="shared" si="12"/>
        <v>6.5005018853205046E-2</v>
      </c>
      <c r="K78">
        <f>August2026Primary_Tracking!G105</f>
        <v>9031</v>
      </c>
      <c r="L78" s="5">
        <f>August2026Primary_Tracking!H105</f>
        <v>8.2699999999999996E-2</v>
      </c>
      <c r="M78">
        <f>August2026Primary_Tracking!I105</f>
        <v>1.23</v>
      </c>
      <c r="N78">
        <f>August2026Primary_Tracking!J105</f>
        <v>3371</v>
      </c>
      <c r="O78" s="5">
        <f>August2026Primary_Tracking!K105</f>
        <v>0.11689999999999999</v>
      </c>
      <c r="P78" s="11">
        <f>August2026Primary_Tracking!L105</f>
        <v>10192</v>
      </c>
      <c r="Q78" s="13">
        <f>August2026Primary_Tracking!M105</f>
        <v>8.4912812736921917E-2</v>
      </c>
      <c r="R78" s="10">
        <f>August2026Primary_Tracking!N105</f>
        <v>1.45</v>
      </c>
      <c r="S78" s="11">
        <f>August2026Primary_Tracking!O105</f>
        <v>1161</v>
      </c>
      <c r="T78" s="13">
        <f>August2026Primary_Tracking!P105</f>
        <v>0.10760960237278709</v>
      </c>
      <c r="U78" s="11">
        <f>August2026Primary_Tracking!Q105</f>
        <v>12568</v>
      </c>
      <c r="V78" s="13">
        <f>August2026Primary_Tracking!R105</f>
        <v>9.1766028753550388E-2</v>
      </c>
      <c r="W78" s="10">
        <f>August2026Primary_Tracking!S105</f>
        <v>2.14</v>
      </c>
      <c r="X78" s="11">
        <f>August2026Primary_Tracking!T105</f>
        <v>2376</v>
      </c>
      <c r="Y78" s="13">
        <f>August2026Primary_Tracking!U105</f>
        <v>0.14035916824196598</v>
      </c>
      <c r="Z78" s="11">
        <f>August2026Primary_Tracking!V105</f>
        <v>15290</v>
      </c>
      <c r="AA78" s="13">
        <f>August2026Primary_Tracking!W105</f>
        <v>0.10053456245438466</v>
      </c>
      <c r="AB78" s="16">
        <f>August2026Primary_Tracking!X105</f>
        <v>3.01</v>
      </c>
      <c r="AC78" s="11">
        <f>August2026Primary_Tracking!Y105</f>
        <v>2722</v>
      </c>
      <c r="AD78" s="13">
        <f>August2026Primary_Tracking!Z105</f>
        <v>0.1799074686054197</v>
      </c>
      <c r="AE78" s="11">
        <f>August2026Primary_Tracking!AA105</f>
        <v>15476</v>
      </c>
      <c r="AF78" s="13">
        <f>August2026Primary_Tracking!AB105</f>
        <v>0.10115297131951162</v>
      </c>
      <c r="AG78" s="16">
        <f>August2026Primary_Tracking!AC105</f>
        <v>3.08</v>
      </c>
      <c r="AH78" s="11">
        <f>August2026Primary_Tracking!AD105</f>
        <v>186</v>
      </c>
      <c r="AI78" s="13">
        <f>August2026Primary_Tracking!AE105</f>
        <v>0.20462046204620463</v>
      </c>
      <c r="AJ78" s="11">
        <f>August2026Primary_Tracking!AF105</f>
        <v>16074</v>
      </c>
      <c r="AK78" s="13">
        <f>August2026Primary_Tracking!AG105</f>
        <v>0.10309000654173241</v>
      </c>
      <c r="AL78" s="16">
        <f>August2026Primary_Tracking!AH105</f>
        <v>3.27</v>
      </c>
      <c r="AM78" s="11">
        <f>August2026Primary_Tracking!AI105</f>
        <v>598</v>
      </c>
      <c r="AN78" s="13">
        <f>August2026Primary_Tracking!AJ105</f>
        <v>0.20437457279562543</v>
      </c>
    </row>
    <row r="79" spans="1:40" x14ac:dyDescent="0.3">
      <c r="A79" t="s">
        <v>375</v>
      </c>
      <c r="B79" t="s">
        <v>11</v>
      </c>
      <c r="C79" s="26">
        <f t="shared" si="21"/>
        <v>1431</v>
      </c>
      <c r="D79" s="1">
        <f t="shared" si="22"/>
        <v>9.1776657559549009E-3</v>
      </c>
      <c r="E79">
        <f>August2026Primary_Tracking!E106</f>
        <v>731</v>
      </c>
      <c r="F79" s="5">
        <f>August2026Primary_Tracking!F106</f>
        <v>9.1000000000000004E-3</v>
      </c>
      <c r="G79" s="13">
        <f t="shared" si="18"/>
        <v>0.5108315863032844</v>
      </c>
      <c r="H79" s="28">
        <f t="shared" si="19"/>
        <v>700</v>
      </c>
      <c r="I79" s="5">
        <f t="shared" si="23"/>
        <v>9.1015472630347153E-3</v>
      </c>
      <c r="J79" s="5">
        <f t="shared" si="12"/>
        <v>1.5472630347148492E-6</v>
      </c>
      <c r="K79">
        <f>August2026Primary_Tracking!G106</f>
        <v>970</v>
      </c>
      <c r="L79" s="5">
        <f>August2026Primary_Tracking!H106</f>
        <v>8.8999999999999999E-3</v>
      </c>
      <c r="M79">
        <f>August2026Primary_Tracking!I106</f>
        <v>-0.02</v>
      </c>
      <c r="N79">
        <f>August2026Primary_Tracking!J106</f>
        <v>239</v>
      </c>
      <c r="O79" s="5">
        <f>August2026Primary_Tracking!K106</f>
        <v>8.3000000000000001E-3</v>
      </c>
      <c r="P79" s="11">
        <f>August2026Primary_Tracking!L106</f>
        <v>1081</v>
      </c>
      <c r="Q79" s="13">
        <f>August2026Primary_Tracking!M106</f>
        <v>9.0061568454290215E-3</v>
      </c>
      <c r="R79" s="10">
        <f>August2026Primary_Tracking!N106</f>
        <v>-0.01</v>
      </c>
      <c r="S79" s="11">
        <f>August2026Primary_Tracking!O106</f>
        <v>111</v>
      </c>
      <c r="T79" s="13">
        <f>August2026Primary_Tracking!P106</f>
        <v>1.0288256557604968E-2</v>
      </c>
      <c r="U79" s="11">
        <f>August2026Primary_Tracking!Q106</f>
        <v>1248</v>
      </c>
      <c r="V79" s="13">
        <f>August2026Primary_Tracking!R106</f>
        <v>9.1123491314792238E-3</v>
      </c>
      <c r="W79" s="10">
        <f>August2026Primary_Tracking!S106</f>
        <v>0</v>
      </c>
      <c r="X79" s="11">
        <f>August2026Primary_Tracking!T106</f>
        <v>167</v>
      </c>
      <c r="Y79" s="13">
        <f>August2026Primary_Tracking!U106</f>
        <v>9.8653119092627604E-3</v>
      </c>
      <c r="Z79" s="11">
        <f>August2026Primary_Tracking!V106</f>
        <v>1390</v>
      </c>
      <c r="AA79" s="13">
        <f>August2026Primary_Tracking!W106</f>
        <v>9.1395056776713331E-3</v>
      </c>
      <c r="AB79" s="16">
        <f>August2026Primary_Tracking!X106</f>
        <v>0</v>
      </c>
      <c r="AC79" s="11">
        <f>August2026Primary_Tracking!Y106</f>
        <v>142</v>
      </c>
      <c r="AD79" s="13">
        <f>August2026Primary_Tracking!Z106</f>
        <v>9.3853271645736938E-3</v>
      </c>
      <c r="AE79" s="11">
        <f>August2026Primary_Tracking!AA106</f>
        <v>1396</v>
      </c>
      <c r="AF79" s="13">
        <f>August2026Primary_Tracking!AB106</f>
        <v>9.1244215535046663E-3</v>
      </c>
      <c r="AG79" s="16">
        <f>August2026Primary_Tracking!AC106</f>
        <v>0</v>
      </c>
      <c r="AH79" s="11">
        <f>August2026Primary_Tracking!AD106</f>
        <v>6</v>
      </c>
      <c r="AI79" s="13">
        <f>August2026Primary_Tracking!AE106</f>
        <v>6.6006600660066007E-3</v>
      </c>
      <c r="AJ79" s="11">
        <f>August2026Primary_Tracking!AF106</f>
        <v>1431</v>
      </c>
      <c r="AK79" s="13">
        <f>August2026Primary_Tracking!AG106</f>
        <v>9.1776657559549009E-3</v>
      </c>
      <c r="AL79" s="16">
        <f>August2026Primary_Tracking!AH106</f>
        <v>0.01</v>
      </c>
      <c r="AM79" s="11">
        <f>August2026Primary_Tracking!AI106</f>
        <v>35</v>
      </c>
      <c r="AN79" s="13">
        <f>August2026Primary_Tracking!AJ106</f>
        <v>1.1961722488038277E-2</v>
      </c>
    </row>
    <row r="80" spans="1:40" x14ac:dyDescent="0.3">
      <c r="A80" t="s">
        <v>376</v>
      </c>
      <c r="B80" t="s">
        <v>9</v>
      </c>
      <c r="C80" s="26">
        <f t="shared" si="21"/>
        <v>48953</v>
      </c>
      <c r="D80" s="1">
        <f t="shared" si="22"/>
        <v>0.31395826118187298</v>
      </c>
      <c r="E80">
        <f>August2026Primary_Tracking!E107</f>
        <v>26745</v>
      </c>
      <c r="F80" s="5">
        <f>August2026Primary_Tracking!F107</f>
        <v>0.33270000000000005</v>
      </c>
      <c r="G80" s="13">
        <f t="shared" si="18"/>
        <v>0.54634036729107516</v>
      </c>
      <c r="H80" s="28">
        <f t="shared" si="19"/>
        <v>22208</v>
      </c>
      <c r="I80" s="5">
        <f t="shared" si="23"/>
        <v>0.28875308802496424</v>
      </c>
      <c r="J80" s="5">
        <f t="shared" si="12"/>
        <v>-4.3946911975035807E-2</v>
      </c>
      <c r="K80">
        <f>August2026Primary_Tracking!G107</f>
        <v>35611</v>
      </c>
      <c r="L80" s="5">
        <f>August2026Primary_Tracking!H107</f>
        <v>0.32600000000000001</v>
      </c>
      <c r="M80">
        <f>August2026Primary_Tracking!I107</f>
        <v>-0.67</v>
      </c>
      <c r="N80">
        <f>August2026Primary_Tracking!J107</f>
        <v>8866</v>
      </c>
      <c r="O80" s="5">
        <f>August2026Primary_Tracking!K107</f>
        <v>0.30730000000000002</v>
      </c>
      <c r="P80" s="11">
        <f>August2026Primary_Tracking!L107</f>
        <v>39195</v>
      </c>
      <c r="Q80" s="13">
        <f>August2026Primary_Tracking!M107</f>
        <v>0.32654608469619845</v>
      </c>
      <c r="R80" s="10">
        <f>August2026Primary_Tracking!N107</f>
        <v>-0.62</v>
      </c>
      <c r="S80" s="11">
        <f>August2026Primary_Tracking!O107</f>
        <v>3584</v>
      </c>
      <c r="T80" s="13">
        <f>August2026Primary_Tracking!P107</f>
        <v>0.33219019371582165</v>
      </c>
      <c r="U80" s="11">
        <f>August2026Primary_Tracking!Q107</f>
        <v>44202</v>
      </c>
      <c r="V80" s="13">
        <f>August2026Primary_Tracking!R107</f>
        <v>0.32274363486349728</v>
      </c>
      <c r="W80" s="10">
        <f>August2026Primary_Tracking!S107</f>
        <v>-1</v>
      </c>
      <c r="X80" s="11">
        <f>August2026Primary_Tracking!T107</f>
        <v>5007</v>
      </c>
      <c r="Y80" s="13">
        <f>August2026Primary_Tracking!U107</f>
        <v>0.29578213610586013</v>
      </c>
      <c r="Z80" s="11">
        <f>August2026Primary_Tracking!V107</f>
        <v>48055</v>
      </c>
      <c r="AA80" s="13">
        <f>August2026Primary_Tracking!W107</f>
        <v>0.31597046427373804</v>
      </c>
      <c r="AB80" s="16">
        <f>August2026Primary_Tracking!X107</f>
        <v>-1.67</v>
      </c>
      <c r="AC80" s="11">
        <f>August2026Primary_Tracking!Y107</f>
        <v>3853</v>
      </c>
      <c r="AD80" s="13">
        <f>August2026Primary_Tracking!Z107</f>
        <v>0.25465961665565101</v>
      </c>
      <c r="AE80" s="11">
        <f>August2026Primary_Tracking!AA107</f>
        <v>48283</v>
      </c>
      <c r="AF80" s="13">
        <f>August2026Primary_Tracking!AB107</f>
        <v>0.31558341394546263</v>
      </c>
      <c r="AG80" s="16">
        <f>August2026Primary_Tracking!AC107</f>
        <v>-1.71</v>
      </c>
      <c r="AH80" s="11">
        <f>August2026Primary_Tracking!AD107</f>
        <v>228</v>
      </c>
      <c r="AI80" s="13">
        <f>August2026Primary_Tracking!AE107</f>
        <v>0.25082508250825081</v>
      </c>
      <c r="AJ80" s="11">
        <f>August2026Primary_Tracking!AF107</f>
        <v>48953</v>
      </c>
      <c r="AK80" s="13">
        <f>August2026Primary_Tracking!AG107</f>
        <v>0.31395826118187298</v>
      </c>
      <c r="AL80" s="16">
        <f>August2026Primary_Tracking!AH107</f>
        <v>-1.87</v>
      </c>
      <c r="AM80" s="11">
        <f>August2026Primary_Tracking!AI107</f>
        <v>670</v>
      </c>
      <c r="AN80" s="13">
        <f>August2026Primary_Tracking!AJ107</f>
        <v>0.22898154477101845</v>
      </c>
    </row>
    <row r="81" spans="1:40" s="2" customFormat="1" x14ac:dyDescent="0.3">
      <c r="A81" s="2" t="s">
        <v>377</v>
      </c>
      <c r="B81" s="2" t="s">
        <v>298</v>
      </c>
      <c r="C81" s="25">
        <f t="shared" ref="C81:C111" si="24">AJ81</f>
        <v>37970</v>
      </c>
      <c r="D81" s="3">
        <f t="shared" ref="D81:D111" si="25">AK81</f>
        <v>0</v>
      </c>
      <c r="E81" s="2">
        <f>August2026Primary_Tracking!E173</f>
        <v>19518</v>
      </c>
      <c r="F81" s="4" t="str">
        <f>August2026Primary_Tracking!F173</f>
        <v/>
      </c>
      <c r="G81" s="4">
        <f t="shared" si="18"/>
        <v>0.51403739794574665</v>
      </c>
      <c r="H81" s="27">
        <f t="shared" si="19"/>
        <v>18452</v>
      </c>
      <c r="I81" s="4"/>
      <c r="J81" s="5"/>
      <c r="K81" s="2">
        <f>August2026Primary_Tracking!G173</f>
        <v>22303</v>
      </c>
      <c r="L81" s="4" t="str">
        <f>August2026Primary_Tracking!H173</f>
        <v/>
      </c>
      <c r="M81" s="2" t="str">
        <f>August2026Primary_Tracking!I173</f>
        <v/>
      </c>
      <c r="N81" s="2">
        <f>August2026Primary_Tracking!J173</f>
        <v>2785</v>
      </c>
      <c r="O81" s="4" t="str">
        <f>August2026Primary_Tracking!K173</f>
        <v/>
      </c>
      <c r="P81" s="7">
        <f>August2026Primary_Tracking!L173</f>
        <v>25332</v>
      </c>
      <c r="Q81" s="4" t="str">
        <f>August2026Primary_Tracking!M173</f>
        <v/>
      </c>
      <c r="R81" s="29" t="str">
        <f>August2026Primary_Tracking!N173</f>
        <v/>
      </c>
      <c r="S81" s="7">
        <f>August2026Primary_Tracking!O173</f>
        <v>3029</v>
      </c>
      <c r="T81" s="4" t="str">
        <f>August2026Primary_Tracking!P173</f>
        <v/>
      </c>
      <c r="U81" s="7">
        <f>August2026Primary_Tracking!Q173</f>
        <v>28067</v>
      </c>
      <c r="V81" s="4" t="str">
        <f>August2026Primary_Tracking!R173</f>
        <v/>
      </c>
      <c r="W81" s="29" t="str">
        <f>August2026Primary_Tracking!S173</f>
        <v/>
      </c>
      <c r="X81" s="7">
        <f>August2026Primary_Tracking!T173</f>
        <v>2735</v>
      </c>
      <c r="Y81" s="4" t="str">
        <f>August2026Primary_Tracking!U173</f>
        <v/>
      </c>
      <c r="Z81" s="7">
        <f>August2026Primary_Tracking!V173</f>
        <v>33393</v>
      </c>
      <c r="AA81" s="4">
        <f>August2026Primary_Tracking!W173</f>
        <v>0</v>
      </c>
      <c r="AB81" s="30">
        <f>August2026Primary_Tracking!X173</f>
        <v>0</v>
      </c>
      <c r="AC81" s="7">
        <f>August2026Primary_Tracking!Y173</f>
        <v>5326</v>
      </c>
      <c r="AD81" s="4">
        <f>August2026Primary_Tracking!Z173</f>
        <v>0</v>
      </c>
      <c r="AE81" s="7">
        <f>August2026Primary_Tracking!AA173</f>
        <v>35892</v>
      </c>
      <c r="AF81" s="4">
        <f>August2026Primary_Tracking!AB173</f>
        <v>0</v>
      </c>
      <c r="AG81" s="30">
        <f>August2026Primary_Tracking!AC173</f>
        <v>0</v>
      </c>
      <c r="AH81" s="7">
        <f>August2026Primary_Tracking!AD173</f>
        <v>2499</v>
      </c>
      <c r="AI81" s="4">
        <f>August2026Primary_Tracking!AE173</f>
        <v>0</v>
      </c>
      <c r="AJ81" s="7">
        <f>August2026Primary_Tracking!AF173</f>
        <v>37970</v>
      </c>
      <c r="AK81" s="4">
        <f>August2026Primary_Tracking!AG173</f>
        <v>0</v>
      </c>
      <c r="AL81" s="30">
        <f>August2026Primary_Tracking!AH173</f>
        <v>0</v>
      </c>
      <c r="AM81" s="7">
        <f>August2026Primary_Tracking!AI173</f>
        <v>2078</v>
      </c>
      <c r="AN81" s="4">
        <f>August2026Primary_Tracking!AJ173</f>
        <v>0</v>
      </c>
    </row>
    <row r="82" spans="1:40" x14ac:dyDescent="0.3">
      <c r="A82" t="s">
        <v>378</v>
      </c>
      <c r="B82" t="s">
        <v>9</v>
      </c>
      <c r="C82" s="26">
        <f t="shared" si="24"/>
        <v>1732</v>
      </c>
      <c r="D82" s="1">
        <f t="shared" si="25"/>
        <v>4.7637383794488147E-2</v>
      </c>
      <c r="E82">
        <f>August2026Primary_Tracking!E174</f>
        <v>1021</v>
      </c>
      <c r="F82" s="5">
        <f>August2026Primary_Tracking!F174</f>
        <v>5.2300000000000006E-2</v>
      </c>
      <c r="G82" s="13">
        <f t="shared" si="18"/>
        <v>0.58949191685912239</v>
      </c>
      <c r="H82" s="28">
        <f t="shared" si="19"/>
        <v>711</v>
      </c>
      <c r="I82" s="5">
        <f>H82/H$81</f>
        <v>3.8532408411012353E-2</v>
      </c>
      <c r="J82" s="5">
        <f t="shared" si="12"/>
        <v>-1.3767591588987653E-2</v>
      </c>
      <c r="K82">
        <f>August2026Primary_Tracking!G174</f>
        <v>1116</v>
      </c>
      <c r="L82" s="5">
        <f>August2026Primary_Tracking!H174</f>
        <v>0.05</v>
      </c>
      <c r="M82">
        <f>August2026Primary_Tracking!I174</f>
        <v>-0.23</v>
      </c>
      <c r="N82">
        <f>August2026Primary_Tracking!J174</f>
        <v>95</v>
      </c>
      <c r="O82" s="5">
        <f>August2026Primary_Tracking!K174</f>
        <v>3.4099999999999998E-2</v>
      </c>
      <c r="P82" s="11">
        <f>August2026Primary_Tracking!L174</f>
        <v>1242</v>
      </c>
      <c r="Q82" s="13">
        <f>August2026Primary_Tracking!M174</f>
        <v>4.9028896257697775E-2</v>
      </c>
      <c r="R82" s="6">
        <f>August2026Primary_Tracking!N174</f>
        <v>-0.33</v>
      </c>
      <c r="S82" s="11">
        <f>August2026Primary_Tracking!O174</f>
        <v>126</v>
      </c>
      <c r="T82" s="13">
        <f>August2026Primary_Tracking!P174</f>
        <v>4.159788709144932E-2</v>
      </c>
      <c r="U82" s="11">
        <f>August2026Primary_Tracking!Q174</f>
        <v>1335</v>
      </c>
      <c r="V82" s="13">
        <f>August2026Primary_Tracking!R174</f>
        <v>4.7564755762995688E-2</v>
      </c>
      <c r="W82" s="6">
        <f>August2026Primary_Tracking!S174</f>
        <v>-0.47</v>
      </c>
      <c r="X82" s="11">
        <f>August2026Primary_Tracking!T174</f>
        <v>93</v>
      </c>
      <c r="Y82" s="13">
        <f>August2026Primary_Tracking!U174</f>
        <v>3.4003656307129801E-2</v>
      </c>
      <c r="Z82" s="11">
        <f>August2026Primary_Tracking!V174</f>
        <v>1569</v>
      </c>
      <c r="AA82" s="13">
        <f>August2026Primary_Tracking!W174</f>
        <v>4.6985895247506959E-2</v>
      </c>
      <c r="AB82" s="16">
        <f>August2026Primary_Tracking!X174</f>
        <v>-0.53</v>
      </c>
      <c r="AC82" s="11">
        <f>August2026Primary_Tracking!Y174</f>
        <v>234</v>
      </c>
      <c r="AD82" s="13">
        <f>August2026Primary_Tracking!Z174</f>
        <v>4.3935411190386783E-2</v>
      </c>
      <c r="AE82" s="11">
        <f>August2026Primary_Tracking!AA174</f>
        <v>1721</v>
      </c>
      <c r="AF82" s="13">
        <f>August2026Primary_Tracking!AB174</f>
        <v>4.7949403766856122E-2</v>
      </c>
      <c r="AG82" s="16">
        <f>August2026Primary_Tracking!AC174</f>
        <v>-0.44</v>
      </c>
      <c r="AH82" s="11">
        <f>August2026Primary_Tracking!AD174</f>
        <v>152</v>
      </c>
      <c r="AI82" s="13">
        <f>August2026Primary_Tracking!AE174</f>
        <v>6.0824329731892758E-2</v>
      </c>
      <c r="AJ82" s="11">
        <f>August2026Primary_Tracking!AF174</f>
        <v>1732</v>
      </c>
      <c r="AK82" s="13">
        <f>August2026Primary_Tracking!AG174</f>
        <v>4.7637383794488147E-2</v>
      </c>
      <c r="AL82" s="16">
        <f>August2026Primary_Tracking!AH174</f>
        <v>-0.47</v>
      </c>
      <c r="AM82" s="11">
        <f>August2026Primary_Tracking!AI174</f>
        <v>11</v>
      </c>
      <c r="AN82" s="13">
        <f>August2026Primary_Tracking!AJ174</f>
        <v>2.3605150214592276E-2</v>
      </c>
    </row>
    <row r="83" spans="1:40" x14ac:dyDescent="0.3">
      <c r="A83" t="s">
        <v>379</v>
      </c>
      <c r="B83" t="s">
        <v>9</v>
      </c>
      <c r="C83" s="26">
        <f t="shared" si="24"/>
        <v>7035</v>
      </c>
      <c r="D83" s="1">
        <f t="shared" si="25"/>
        <v>0.19349249133615709</v>
      </c>
      <c r="E83">
        <f>August2026Primary_Tracking!E175</f>
        <v>3731</v>
      </c>
      <c r="F83" s="5">
        <f>August2026Primary_Tracking!F175</f>
        <v>0.19120000000000001</v>
      </c>
      <c r="G83" s="13">
        <f t="shared" si="18"/>
        <v>0.53034825870646762</v>
      </c>
      <c r="H83" s="28">
        <f t="shared" si="19"/>
        <v>3304</v>
      </c>
      <c r="I83" s="5">
        <f t="shared" ref="I83:I87" si="26">H83/H$81</f>
        <v>0.17905918057663125</v>
      </c>
      <c r="J83" s="5">
        <f t="shared" si="12"/>
        <v>-1.2140819423368754E-2</v>
      </c>
      <c r="K83">
        <f>August2026Primary_Tracking!G175</f>
        <v>4293</v>
      </c>
      <c r="L83" s="5">
        <f>August2026Primary_Tracking!H175</f>
        <v>0.1925</v>
      </c>
      <c r="M83">
        <f>August2026Primary_Tracking!I175</f>
        <v>0.13</v>
      </c>
      <c r="N83">
        <f>August2026Primary_Tracking!J175</f>
        <v>562</v>
      </c>
      <c r="O83" s="5">
        <f>August2026Primary_Tracking!K175</f>
        <v>0.20180000000000001</v>
      </c>
      <c r="P83" s="11">
        <f>August2026Primary_Tracking!L175</f>
        <v>4884</v>
      </c>
      <c r="Q83" s="13">
        <f>August2026Primary_Tracking!M175</f>
        <v>0.19279962103268594</v>
      </c>
      <c r="R83" s="6">
        <f>August2026Primary_Tracking!N175</f>
        <v>0.16</v>
      </c>
      <c r="S83" s="11">
        <f>August2026Primary_Tracking!O175</f>
        <v>591</v>
      </c>
      <c r="T83" s="13">
        <f>August2026Primary_Tracking!P175</f>
        <v>0.19511389897655992</v>
      </c>
      <c r="U83" s="11">
        <f>August2026Primary_Tracking!Q175</f>
        <v>5356</v>
      </c>
      <c r="V83" s="13">
        <f>August2026Primary_Tracking!R175</f>
        <v>0.19082908754052802</v>
      </c>
      <c r="W83" s="6">
        <f>August2026Primary_Tracking!S175</f>
        <v>-0.04</v>
      </c>
      <c r="X83" s="11">
        <f>August2026Primary_Tracking!T175</f>
        <v>472</v>
      </c>
      <c r="Y83" s="13">
        <f>August2026Primary_Tracking!U175</f>
        <v>0.17257769652650823</v>
      </c>
      <c r="Z83" s="11">
        <f>August2026Primary_Tracking!V175</f>
        <v>6428</v>
      </c>
      <c r="AA83" s="13">
        <f>August2026Primary_Tracking!W175</f>
        <v>0.19249543317461743</v>
      </c>
      <c r="AB83" s="16">
        <f>August2026Primary_Tracking!X175</f>
        <v>0.13</v>
      </c>
      <c r="AC83" s="11">
        <f>August2026Primary_Tracking!Y175</f>
        <v>1072</v>
      </c>
      <c r="AD83" s="13">
        <f>August2026Primary_Tracking!Z175</f>
        <v>0.20127675553886595</v>
      </c>
      <c r="AE83" s="11">
        <f>August2026Primary_Tracking!AA175</f>
        <v>6948</v>
      </c>
      <c r="AF83" s="13">
        <f>August2026Primary_Tracking!AB175</f>
        <v>0.19358074222668004</v>
      </c>
      <c r="AG83" s="16">
        <f>August2026Primary_Tracking!AC175</f>
        <v>0.24</v>
      </c>
      <c r="AH83" s="11">
        <f>August2026Primary_Tracking!AD175</f>
        <v>520</v>
      </c>
      <c r="AI83" s="13">
        <f>August2026Primary_Tracking!AE175</f>
        <v>0.20808323329331732</v>
      </c>
      <c r="AJ83" s="11">
        <f>August2026Primary_Tracking!AF175</f>
        <v>7035</v>
      </c>
      <c r="AK83" s="13">
        <f>August2026Primary_Tracking!AG175</f>
        <v>0.19349249133615709</v>
      </c>
      <c r="AL83" s="16">
        <f>August2026Primary_Tracking!AH175</f>
        <v>0.23</v>
      </c>
      <c r="AM83" s="11">
        <f>August2026Primary_Tracking!AI175</f>
        <v>87</v>
      </c>
      <c r="AN83" s="13">
        <f>August2026Primary_Tracking!AJ175</f>
        <v>0.18669527896995708</v>
      </c>
    </row>
    <row r="84" spans="1:40" x14ac:dyDescent="0.3">
      <c r="A84" t="s">
        <v>380</v>
      </c>
      <c r="B84" t="s">
        <v>8</v>
      </c>
      <c r="C84" s="26">
        <f t="shared" si="24"/>
        <v>11093</v>
      </c>
      <c r="D84" s="1">
        <f t="shared" si="25"/>
        <v>0.30510479124264261</v>
      </c>
      <c r="E84">
        <f>August2026Primary_Tracking!E176</f>
        <v>5794</v>
      </c>
      <c r="F84" s="5">
        <f>August2026Primary_Tracking!F176</f>
        <v>0.2969</v>
      </c>
      <c r="G84" s="13">
        <f t="shared" si="18"/>
        <v>0.52231136752907237</v>
      </c>
      <c r="H84" s="28">
        <f t="shared" si="19"/>
        <v>5299</v>
      </c>
      <c r="I84" s="5">
        <f t="shared" si="26"/>
        <v>0.28717754172989379</v>
      </c>
      <c r="J84" s="5">
        <f t="shared" si="12"/>
        <v>-9.7224582701062046E-3</v>
      </c>
      <c r="K84">
        <f>August2026Primary_Tracking!G176</f>
        <v>6667</v>
      </c>
      <c r="L84" s="5">
        <f>August2026Primary_Tracking!H176</f>
        <v>0.2989</v>
      </c>
      <c r="M84">
        <f>August2026Primary_Tracking!I176</f>
        <v>0.2</v>
      </c>
      <c r="N84">
        <f>August2026Primary_Tracking!J176</f>
        <v>873</v>
      </c>
      <c r="O84" s="5">
        <f>August2026Primary_Tracking!K176</f>
        <v>0.3135</v>
      </c>
      <c r="P84" s="11">
        <f>August2026Primary_Tracking!L176</f>
        <v>7610</v>
      </c>
      <c r="Q84" s="13">
        <f>August2026Primary_Tracking!M176</f>
        <v>0.30041054792357491</v>
      </c>
      <c r="R84" s="6">
        <f>August2026Primary_Tracking!N176</f>
        <v>0.35</v>
      </c>
      <c r="S84" s="11">
        <f>August2026Primary_Tracking!O176</f>
        <v>943</v>
      </c>
      <c r="T84" s="13">
        <f>August2026Primary_Tracking!P176</f>
        <v>0.31132386926378341</v>
      </c>
      <c r="U84" s="11">
        <f>August2026Primary_Tracking!Q176</f>
        <v>8619</v>
      </c>
      <c r="V84" s="13">
        <f>August2026Primary_Tracking!R176</f>
        <v>0.30708661417322836</v>
      </c>
      <c r="W84" s="6">
        <f>August2026Primary_Tracking!S176</f>
        <v>1.02</v>
      </c>
      <c r="X84" s="11">
        <f>August2026Primary_Tracking!T176</f>
        <v>1009</v>
      </c>
      <c r="Y84" s="13">
        <f>August2026Primary_Tracking!U176</f>
        <v>0.36892138939670932</v>
      </c>
      <c r="Z84" s="11">
        <f>August2026Primary_Tracking!V176</f>
        <v>10260</v>
      </c>
      <c r="AA84" s="13">
        <f>August2026Primary_Tracking!W176</f>
        <v>0.30725002245979699</v>
      </c>
      <c r="AB84" s="16">
        <f>August2026Primary_Tracking!X176</f>
        <v>1.04</v>
      </c>
      <c r="AC84" s="11">
        <f>August2026Primary_Tracking!Y176</f>
        <v>1641</v>
      </c>
      <c r="AD84" s="13">
        <f>August2026Primary_Tracking!Z176</f>
        <v>0.30811115283514834</v>
      </c>
      <c r="AE84" s="11">
        <f>August2026Primary_Tracking!AA176</f>
        <v>10929</v>
      </c>
      <c r="AF84" s="13">
        <f>August2026Primary_Tracking!AB176</f>
        <v>0.30449682380474757</v>
      </c>
      <c r="AG84" s="16">
        <f>August2026Primary_Tracking!AC176</f>
        <v>0.76</v>
      </c>
      <c r="AH84" s="11">
        <f>August2026Primary_Tracking!AD176</f>
        <v>669</v>
      </c>
      <c r="AI84" s="13">
        <f>August2026Primary_Tracking!AE176</f>
        <v>0.26770708283313327</v>
      </c>
      <c r="AJ84" s="11">
        <f>August2026Primary_Tracking!AF176</f>
        <v>11093</v>
      </c>
      <c r="AK84" s="13">
        <f>August2026Primary_Tracking!AG176</f>
        <v>0.30510479124264261</v>
      </c>
      <c r="AL84" s="16">
        <f>August2026Primary_Tracking!AH176</f>
        <v>0.82</v>
      </c>
      <c r="AM84" s="11">
        <f>August2026Primary_Tracking!AI176</f>
        <v>164</v>
      </c>
      <c r="AN84" s="13">
        <f>August2026Primary_Tracking!AJ176</f>
        <v>0.35193133047210301</v>
      </c>
    </row>
    <row r="85" spans="1:40" x14ac:dyDescent="0.3">
      <c r="A85" t="s">
        <v>381</v>
      </c>
      <c r="B85" t="s">
        <v>9</v>
      </c>
      <c r="C85" s="26">
        <f t="shared" si="24"/>
        <v>2640</v>
      </c>
      <c r="D85" s="1">
        <f t="shared" si="25"/>
        <v>7.261125474448539E-2</v>
      </c>
      <c r="E85">
        <f>August2026Primary_Tracking!E177</f>
        <v>1482</v>
      </c>
      <c r="F85" s="5">
        <f>August2026Primary_Tracking!F177</f>
        <v>7.5899999999999995E-2</v>
      </c>
      <c r="G85" s="13">
        <f t="shared" si="18"/>
        <v>0.5613636363636364</v>
      </c>
      <c r="H85" s="28">
        <f t="shared" si="19"/>
        <v>1158</v>
      </c>
      <c r="I85" s="5">
        <f t="shared" si="26"/>
        <v>6.2757424669412532E-2</v>
      </c>
      <c r="J85" s="5">
        <f t="shared" si="12"/>
        <v>-1.3142575330587464E-2</v>
      </c>
      <c r="K85">
        <f>August2026Primary_Tracking!G177</f>
        <v>1690</v>
      </c>
      <c r="L85" s="5">
        <f>August2026Primary_Tracking!H177</f>
        <v>7.5800000000000006E-2</v>
      </c>
      <c r="M85">
        <f>August2026Primary_Tracking!I177</f>
        <v>-0.01</v>
      </c>
      <c r="N85">
        <f>August2026Primary_Tracking!J177</f>
        <v>208</v>
      </c>
      <c r="O85" s="5">
        <f>August2026Primary_Tracking!K177</f>
        <v>7.4700000000000003E-2</v>
      </c>
      <c r="P85" s="11">
        <f>August2026Primary_Tracking!L177</f>
        <v>1881</v>
      </c>
      <c r="Q85" s="13">
        <f>August2026Primary_Tracking!M177</f>
        <v>7.4253908100426341E-2</v>
      </c>
      <c r="R85" s="6">
        <f>August2026Primary_Tracking!N177</f>
        <v>-0.16</v>
      </c>
      <c r="S85" s="11">
        <f>August2026Primary_Tracking!O177</f>
        <v>191</v>
      </c>
      <c r="T85" s="13">
        <f>August2026Primary_Tracking!P177</f>
        <v>6.3057114559260483E-2</v>
      </c>
      <c r="U85" s="11">
        <f>August2026Primary_Tracking!Q177</f>
        <v>2077</v>
      </c>
      <c r="V85" s="13">
        <f>August2026Primary_Tracking!R177</f>
        <v>7.4001496419282428E-2</v>
      </c>
      <c r="W85" s="6">
        <f>August2026Primary_Tracking!S177</f>
        <v>-0.19</v>
      </c>
      <c r="X85" s="11">
        <f>August2026Primary_Tracking!T177</f>
        <v>196</v>
      </c>
      <c r="Y85" s="13">
        <f>August2026Primary_Tracking!U177</f>
        <v>7.1663619744058507E-2</v>
      </c>
      <c r="Z85" s="11">
        <f>August2026Primary_Tracking!V177</f>
        <v>2411</v>
      </c>
      <c r="AA85" s="13">
        <f>August2026Primary_Tracking!W177</f>
        <v>7.2200760638457165E-2</v>
      </c>
      <c r="AB85" s="16">
        <f>August2026Primary_Tracking!X177</f>
        <v>-0.37</v>
      </c>
      <c r="AC85" s="11">
        <f>August2026Primary_Tracking!Y177</f>
        <v>334</v>
      </c>
      <c r="AD85" s="13">
        <f>August2026Primary_Tracking!Z177</f>
        <v>6.2711227938415326E-2</v>
      </c>
      <c r="AE85" s="11">
        <f>August2026Primary_Tracking!AA177</f>
        <v>2616</v>
      </c>
      <c r="AF85" s="13">
        <f>August2026Primary_Tracking!AB177</f>
        <v>7.2885322634570385E-2</v>
      </c>
      <c r="AG85" s="16">
        <f>August2026Primary_Tracking!AC177</f>
        <v>-0.3</v>
      </c>
      <c r="AH85" s="11">
        <f>August2026Primary_Tracking!AD177</f>
        <v>205</v>
      </c>
      <c r="AI85" s="13">
        <f>August2026Primary_Tracking!AE177</f>
        <v>8.2032813125250098E-2</v>
      </c>
      <c r="AJ85" s="11">
        <f>August2026Primary_Tracking!AF177</f>
        <v>2640</v>
      </c>
      <c r="AK85" s="13">
        <f>August2026Primary_Tracking!AG177</f>
        <v>7.261125474448539E-2</v>
      </c>
      <c r="AL85" s="16">
        <f>August2026Primary_Tracking!AH177</f>
        <v>-0.33</v>
      </c>
      <c r="AM85" s="11">
        <f>August2026Primary_Tracking!AI177</f>
        <v>24</v>
      </c>
      <c r="AN85" s="13">
        <f>August2026Primary_Tracking!AJ177</f>
        <v>5.1502145922746781E-2</v>
      </c>
    </row>
    <row r="86" spans="1:40" x14ac:dyDescent="0.3">
      <c r="A86" t="s">
        <v>382</v>
      </c>
      <c r="B86" t="s">
        <v>8</v>
      </c>
      <c r="C86" s="26">
        <f t="shared" si="24"/>
        <v>4313</v>
      </c>
      <c r="D86" s="1">
        <f t="shared" si="25"/>
        <v>0.11862588701248694</v>
      </c>
      <c r="E86">
        <f>August2026Primary_Tracking!E178</f>
        <v>2362</v>
      </c>
      <c r="F86" s="5">
        <f>August2026Primary_Tracking!F178</f>
        <v>0.121</v>
      </c>
      <c r="G86" s="13">
        <f t="shared" si="18"/>
        <v>0.54764664966380705</v>
      </c>
      <c r="H86" s="28">
        <f t="shared" si="19"/>
        <v>1951</v>
      </c>
      <c r="I86" s="5">
        <f t="shared" si="26"/>
        <v>0.10573379579449382</v>
      </c>
      <c r="J86" s="5">
        <f t="shared" si="12"/>
        <v>-1.5266204205506173E-2</v>
      </c>
      <c r="K86">
        <f>August2026Primary_Tracking!G178</f>
        <v>2676</v>
      </c>
      <c r="L86" s="5">
        <f>August2026Primary_Tracking!H178</f>
        <v>0.12</v>
      </c>
      <c r="M86">
        <f>August2026Primary_Tracking!I178</f>
        <v>-0.1</v>
      </c>
      <c r="N86">
        <f>August2026Primary_Tracking!J178</f>
        <v>314</v>
      </c>
      <c r="O86" s="5">
        <f>August2026Primary_Tracking!K178</f>
        <v>0.11269999999999999</v>
      </c>
      <c r="P86" s="11">
        <f>August2026Primary_Tracking!L178</f>
        <v>3049</v>
      </c>
      <c r="Q86" s="13">
        <f>August2026Primary_Tracking!M178</f>
        <v>0.120361597978841</v>
      </c>
      <c r="R86" s="6">
        <f>August2026Primary_Tracking!N178</f>
        <v>-0.06</v>
      </c>
      <c r="S86" s="11">
        <f>August2026Primary_Tracking!O178</f>
        <v>373</v>
      </c>
      <c r="T86" s="13">
        <f>August2026Primary_Tracking!P178</f>
        <v>0.12314295146913172</v>
      </c>
      <c r="U86" s="11">
        <f>August2026Primary_Tracking!Q178</f>
        <v>3386</v>
      </c>
      <c r="V86" s="13">
        <f>August2026Primary_Tracking!R178</f>
        <v>0.12063989738839206</v>
      </c>
      <c r="W86" s="6">
        <f>August2026Primary_Tracking!S178</f>
        <v>-0.04</v>
      </c>
      <c r="X86" s="11">
        <f>August2026Primary_Tracking!T178</f>
        <v>337</v>
      </c>
      <c r="Y86" s="13">
        <f>August2026Primary_Tracking!U178</f>
        <v>0.12321755027422303</v>
      </c>
      <c r="Z86" s="11">
        <f>August2026Primary_Tracking!V178</f>
        <v>3975</v>
      </c>
      <c r="AA86" s="13">
        <f>August2026Primary_Tracking!W178</f>
        <v>0.11903692390620789</v>
      </c>
      <c r="AB86" s="16">
        <f>August2026Primary_Tracking!X178</f>
        <v>-0.2</v>
      </c>
      <c r="AC86" s="11">
        <f>August2026Primary_Tracking!Y178</f>
        <v>589</v>
      </c>
      <c r="AD86" s="13">
        <f>August2026Primary_Tracking!Z178</f>
        <v>0.1105895606458881</v>
      </c>
      <c r="AE86" s="11">
        <f>August2026Primary_Tracking!AA178</f>
        <v>4255</v>
      </c>
      <c r="AF86" s="13">
        <f>August2026Primary_Tracking!AB178</f>
        <v>0.11855009472863033</v>
      </c>
      <c r="AG86" s="16">
        <f>August2026Primary_Tracking!AC178</f>
        <v>-0.24</v>
      </c>
      <c r="AH86" s="11">
        <f>August2026Primary_Tracking!AD178</f>
        <v>280</v>
      </c>
      <c r="AI86" s="13">
        <f>August2026Primary_Tracking!AE178</f>
        <v>0.11204481792717087</v>
      </c>
      <c r="AJ86" s="11">
        <f>August2026Primary_Tracking!AF178</f>
        <v>4313</v>
      </c>
      <c r="AK86" s="13">
        <f>August2026Primary_Tracking!AG178</f>
        <v>0.11862588701248694</v>
      </c>
      <c r="AL86" s="16">
        <f>August2026Primary_Tracking!AH178</f>
        <v>-0.24</v>
      </c>
      <c r="AM86" s="11">
        <f>August2026Primary_Tracking!AI178</f>
        <v>58</v>
      </c>
      <c r="AN86" s="13">
        <f>August2026Primary_Tracking!AJ178</f>
        <v>0.12446351931330472</v>
      </c>
    </row>
    <row r="87" spans="1:40" x14ac:dyDescent="0.3">
      <c r="A87" t="s">
        <v>383</v>
      </c>
      <c r="B87" t="s">
        <v>9</v>
      </c>
      <c r="C87" s="26">
        <f t="shared" si="24"/>
        <v>9450</v>
      </c>
      <c r="D87" s="1">
        <f t="shared" si="25"/>
        <v>0.25991528686946475</v>
      </c>
      <c r="E87">
        <f>August2026Primary_Tracking!E179</f>
        <v>5065</v>
      </c>
      <c r="F87" s="5">
        <f>August2026Primary_Tracking!F179</f>
        <v>0.25950000000000001</v>
      </c>
      <c r="G87" s="13">
        <f t="shared" si="18"/>
        <v>0.535978835978836</v>
      </c>
      <c r="H87" s="28">
        <f t="shared" si="19"/>
        <v>4385</v>
      </c>
      <c r="I87" s="5">
        <f t="shared" si="26"/>
        <v>0.23764361586819857</v>
      </c>
      <c r="J87" s="5">
        <f t="shared" si="12"/>
        <v>-2.1856384131801437E-2</v>
      </c>
      <c r="K87">
        <f>August2026Primary_Tracking!G179</f>
        <v>5792</v>
      </c>
      <c r="L87" s="5">
        <f>August2026Primary_Tracking!H179</f>
        <v>0.25969999999999999</v>
      </c>
      <c r="M87">
        <f>August2026Primary_Tracking!I179</f>
        <v>0.02</v>
      </c>
      <c r="N87">
        <f>August2026Primary_Tracking!J179</f>
        <v>727</v>
      </c>
      <c r="O87" s="5">
        <f>August2026Primary_Tracking!K179</f>
        <v>0.26100000000000001</v>
      </c>
      <c r="P87" s="11">
        <f>August2026Primary_Tracking!L179</f>
        <v>6596</v>
      </c>
      <c r="Q87" s="13">
        <f>August2026Primary_Tracking!M179</f>
        <v>0.26038212537501976</v>
      </c>
      <c r="R87" s="6">
        <f>August2026Primary_Tracking!N179</f>
        <v>0.09</v>
      </c>
      <c r="S87" s="11">
        <f>August2026Primary_Tracking!O179</f>
        <v>804</v>
      </c>
      <c r="T87" s="13">
        <f>August2026Primary_Tracking!P179</f>
        <v>0.26543413667877186</v>
      </c>
      <c r="U87" s="11">
        <f>August2026Primary_Tracking!Q179</f>
        <v>7219</v>
      </c>
      <c r="V87" s="13">
        <f>August2026Primary_Tracking!R179</f>
        <v>0.25720597142551749</v>
      </c>
      <c r="W87" s="6">
        <f>August2026Primary_Tracking!S179</f>
        <v>-0.23</v>
      </c>
      <c r="X87" s="11">
        <f>August2026Primary_Tracking!T179</f>
        <v>623</v>
      </c>
      <c r="Y87" s="13">
        <f>August2026Primary_Tracking!U179</f>
        <v>0.22778793418647167</v>
      </c>
      <c r="Z87" s="11">
        <f>August2026Primary_Tracking!V179</f>
        <v>8663</v>
      </c>
      <c r="AA87" s="13">
        <f>August2026Primary_Tracking!W179</f>
        <v>0.25942562812565506</v>
      </c>
      <c r="AB87" s="16">
        <f>August2026Primary_Tracking!X179</f>
        <v>-0.01</v>
      </c>
      <c r="AC87" s="11">
        <f>August2026Primary_Tracking!Y179</f>
        <v>1444</v>
      </c>
      <c r="AD87" s="13">
        <f>August2026Primary_Tracking!Z179</f>
        <v>0.27112279384153209</v>
      </c>
      <c r="AE87" s="11">
        <f>August2026Primary_Tracking!AA179</f>
        <v>9329</v>
      </c>
      <c r="AF87" s="13">
        <f>August2026Primary_Tracking!AB179</f>
        <v>0.25991864482335897</v>
      </c>
      <c r="AG87" s="16">
        <f>August2026Primary_Tracking!AC179</f>
        <v>0.04</v>
      </c>
      <c r="AH87" s="11">
        <f>August2026Primary_Tracking!AD179</f>
        <v>666</v>
      </c>
      <c r="AI87" s="13">
        <f>August2026Primary_Tracking!AE179</f>
        <v>0.26650660264105641</v>
      </c>
      <c r="AJ87" s="11">
        <f>August2026Primary_Tracking!AF179</f>
        <v>9450</v>
      </c>
      <c r="AK87" s="13">
        <f>August2026Primary_Tracking!AG179</f>
        <v>0.25991528686946475</v>
      </c>
      <c r="AL87" s="16">
        <f>August2026Primary_Tracking!AH179</f>
        <v>0.04</v>
      </c>
      <c r="AM87" s="11">
        <f>August2026Primary_Tracking!AI179</f>
        <v>121</v>
      </c>
      <c r="AN87" s="13">
        <f>August2026Primary_Tracking!AJ179</f>
        <v>0.25965665236051499</v>
      </c>
    </row>
    <row r="88" spans="1:40" s="2" customFormat="1" x14ac:dyDescent="0.3">
      <c r="A88" s="2" t="s">
        <v>384</v>
      </c>
      <c r="B88" s="2" t="s">
        <v>298</v>
      </c>
      <c r="C88" s="25">
        <f t="shared" si="24"/>
        <v>37970</v>
      </c>
      <c r="D88" s="3">
        <f t="shared" si="25"/>
        <v>0</v>
      </c>
      <c r="E88" s="2">
        <f>August2026Primary_Tracking!E181</f>
        <v>19774</v>
      </c>
      <c r="F88" s="4" t="str">
        <f>August2026Primary_Tracking!F181</f>
        <v/>
      </c>
      <c r="G88" s="4">
        <f t="shared" si="18"/>
        <v>0.52077956281274695</v>
      </c>
      <c r="H88" s="27">
        <f t="shared" si="19"/>
        <v>18196</v>
      </c>
      <c r="I88" s="4"/>
      <c r="J88" s="5"/>
      <c r="K88" s="2">
        <f>August2026Primary_Tracking!G181</f>
        <v>22591</v>
      </c>
      <c r="L88" s="4" t="str">
        <f>August2026Primary_Tracking!H181</f>
        <v/>
      </c>
      <c r="M88" s="2" t="str">
        <f>August2026Primary_Tracking!I181</f>
        <v/>
      </c>
      <c r="N88" s="2">
        <f>August2026Primary_Tracking!J181</f>
        <v>2817</v>
      </c>
      <c r="O88" s="4" t="str">
        <f>August2026Primary_Tracking!K181</f>
        <v/>
      </c>
      <c r="P88" s="7">
        <f>August2026Primary_Tracking!L181</f>
        <v>25665</v>
      </c>
      <c r="Q88" s="4" t="str">
        <f>August2026Primary_Tracking!M181</f>
        <v/>
      </c>
      <c r="R88" s="29" t="str">
        <f>August2026Primary_Tracking!N181</f>
        <v/>
      </c>
      <c r="S88" s="7">
        <f>August2026Primary_Tracking!O181</f>
        <v>3074</v>
      </c>
      <c r="T88" s="4" t="str">
        <f>August2026Primary_Tracking!P181</f>
        <v/>
      </c>
      <c r="U88" s="7">
        <f>August2026Primary_Tracking!Q181</f>
        <v>28436</v>
      </c>
      <c r="V88" s="4" t="str">
        <f>August2026Primary_Tracking!R181</f>
        <v/>
      </c>
      <c r="W88" s="29" t="str">
        <f>August2026Primary_Tracking!S181</f>
        <v/>
      </c>
      <c r="X88" s="7">
        <f>August2026Primary_Tracking!T181</f>
        <v>2771</v>
      </c>
      <c r="Y88" s="4" t="str">
        <f>August2026Primary_Tracking!U181</f>
        <v/>
      </c>
      <c r="Z88" s="7">
        <f>August2026Primary_Tracking!V181</f>
        <v>33850</v>
      </c>
      <c r="AA88" s="4">
        <f>August2026Primary_Tracking!W181</f>
        <v>0</v>
      </c>
      <c r="AB88" s="30">
        <f>August2026Primary_Tracking!X181</f>
        <v>0</v>
      </c>
      <c r="AC88" s="7">
        <f>August2026Primary_Tracking!Y181</f>
        <v>5414</v>
      </c>
      <c r="AD88" s="4">
        <f>August2026Primary_Tracking!Z181</f>
        <v>0</v>
      </c>
      <c r="AE88" s="7">
        <f>August2026Primary_Tracking!AA181</f>
        <v>36412</v>
      </c>
      <c r="AF88" s="4">
        <f>August2026Primary_Tracking!AB181</f>
        <v>0</v>
      </c>
      <c r="AG88" s="30">
        <f>August2026Primary_Tracking!AC181</f>
        <v>0</v>
      </c>
      <c r="AH88" s="7">
        <f>August2026Primary_Tracking!AD181</f>
        <v>2562</v>
      </c>
      <c r="AI88" s="4">
        <f>August2026Primary_Tracking!AE181</f>
        <v>0</v>
      </c>
      <c r="AJ88" s="7">
        <f>August2026Primary_Tracking!AF181</f>
        <v>37970</v>
      </c>
      <c r="AK88" s="4">
        <f>August2026Primary_Tracking!AG181</f>
        <v>0</v>
      </c>
      <c r="AL88" s="30">
        <f>August2026Primary_Tracking!AH181</f>
        <v>0</v>
      </c>
      <c r="AM88" s="7">
        <f>August2026Primary_Tracking!AI181</f>
        <v>1558</v>
      </c>
      <c r="AN88" s="4">
        <f>August2026Primary_Tracking!AJ181</f>
        <v>0</v>
      </c>
    </row>
    <row r="89" spans="1:40" x14ac:dyDescent="0.3">
      <c r="A89" t="s">
        <v>40</v>
      </c>
      <c r="B89" t="s">
        <v>9</v>
      </c>
      <c r="C89" s="26">
        <f t="shared" si="24"/>
        <v>18651</v>
      </c>
      <c r="D89" s="1">
        <f t="shared" si="25"/>
        <v>0.50566641362108233</v>
      </c>
      <c r="E89">
        <f>August2026Primary_Tracking!E182</f>
        <v>10131</v>
      </c>
      <c r="F89" s="5">
        <f>August2026Primary_Tracking!F182</f>
        <v>0.51229999999999998</v>
      </c>
      <c r="G89" s="13">
        <f t="shared" si="18"/>
        <v>0.54318803281325401</v>
      </c>
      <c r="H89" s="28">
        <f t="shared" si="19"/>
        <v>8520</v>
      </c>
      <c r="I89" s="5">
        <f>H89/H$88</f>
        <v>0.46823477687403825</v>
      </c>
      <c r="J89" s="5">
        <f t="shared" si="12"/>
        <v>-4.4065223125961728E-2</v>
      </c>
      <c r="K89">
        <f>August2026Primary_Tracking!G182</f>
        <v>11567</v>
      </c>
      <c r="L89" s="5">
        <f>August2026Primary_Tracking!H182</f>
        <v>0.51200000000000001</v>
      </c>
      <c r="M89">
        <f>August2026Primary_Tracking!I182</f>
        <v>-0.03</v>
      </c>
      <c r="N89">
        <f>August2026Primary_Tracking!J182</f>
        <v>1436</v>
      </c>
      <c r="O89" s="5">
        <f>August2026Primary_Tracking!K182</f>
        <v>0.50979999999999992</v>
      </c>
      <c r="P89" s="11">
        <f>August2026Primary_Tracking!L182</f>
        <v>13108</v>
      </c>
      <c r="Q89" s="13">
        <f>August2026Primary_Tracking!M182</f>
        <v>0.51073446327683614</v>
      </c>
      <c r="R89" s="6">
        <f>August2026Primary_Tracking!N182</f>
        <v>-0.16</v>
      </c>
      <c r="S89" s="11">
        <f>August2026Primary_Tracking!O182</f>
        <v>1541</v>
      </c>
      <c r="T89" s="13">
        <f>August2026Primary_Tracking!P182</f>
        <v>0.50130123617436562</v>
      </c>
      <c r="U89" s="11">
        <f>August2026Primary_Tracking!Q182</f>
        <v>14327</v>
      </c>
      <c r="V89" s="13">
        <f>August2026Primary_Tracking!R182</f>
        <v>0.50383316922211285</v>
      </c>
      <c r="W89" s="6">
        <f>August2026Primary_Tracking!S182</f>
        <v>-0.85</v>
      </c>
      <c r="X89" s="11">
        <f>August2026Primary_Tracking!T182</f>
        <v>1219</v>
      </c>
      <c r="Y89" s="13">
        <f>August2026Primary_Tracking!U182</f>
        <v>0.43991338866835078</v>
      </c>
      <c r="Z89" s="11">
        <f>August2026Primary_Tracking!V182</f>
        <v>17067</v>
      </c>
      <c r="AA89" s="13">
        <f>August2026Primary_Tracking!W182</f>
        <v>0.50419497784342693</v>
      </c>
      <c r="AB89" s="16">
        <f>August2026Primary_Tracking!X182</f>
        <v>-0.81</v>
      </c>
      <c r="AC89" s="11">
        <f>August2026Primary_Tracking!Y182</f>
        <v>2740</v>
      </c>
      <c r="AD89" s="13">
        <f>August2026Primary_Tracking!Z182</f>
        <v>0.50609530845954931</v>
      </c>
      <c r="AE89" s="11">
        <f>August2026Primary_Tracking!AA182</f>
        <v>18435</v>
      </c>
      <c r="AF89" s="13">
        <f>August2026Primary_Tracking!AB182</f>
        <v>0.50628913544985166</v>
      </c>
      <c r="AG89" s="16">
        <f>August2026Primary_Tracking!AC182</f>
        <v>-0.6</v>
      </c>
      <c r="AH89" s="11">
        <f>August2026Primary_Tracking!AD182</f>
        <v>1368</v>
      </c>
      <c r="AI89" s="13">
        <f>August2026Primary_Tracking!AE182</f>
        <v>0.53395784543325531</v>
      </c>
      <c r="AJ89" s="11">
        <f>August2026Primary_Tracking!AF182</f>
        <v>18651</v>
      </c>
      <c r="AK89" s="13">
        <f>August2026Primary_Tracking!AG182</f>
        <v>0.50566641362108233</v>
      </c>
      <c r="AL89" s="16">
        <f>August2026Primary_Tracking!AH182</f>
        <v>-0.66</v>
      </c>
      <c r="AM89" s="11">
        <f>August2026Primary_Tracking!AI182</f>
        <v>216</v>
      </c>
      <c r="AN89" s="13">
        <f>August2026Primary_Tracking!AJ182</f>
        <v>0.4576271186440678</v>
      </c>
    </row>
    <row r="90" spans="1:40" x14ac:dyDescent="0.3">
      <c r="A90" t="s">
        <v>41</v>
      </c>
      <c r="B90" t="s">
        <v>8</v>
      </c>
      <c r="C90" s="26">
        <f t="shared" si="24"/>
        <v>9209</v>
      </c>
      <c r="D90" s="1">
        <f t="shared" si="25"/>
        <v>0.24967465567725844</v>
      </c>
      <c r="E90">
        <f>August2026Primary_Tracking!E183</f>
        <v>5068</v>
      </c>
      <c r="F90" s="5">
        <f>August2026Primary_Tracking!F183</f>
        <v>0.25629999999999997</v>
      </c>
      <c r="G90" s="13">
        <f t="shared" si="18"/>
        <v>0.55033119774133998</v>
      </c>
      <c r="H90" s="28">
        <f t="shared" si="19"/>
        <v>4141</v>
      </c>
      <c r="I90" s="5">
        <f t="shared" ref="I90:I91" si="27">H90/H$88</f>
        <v>0.22757748955814464</v>
      </c>
      <c r="J90" s="5">
        <f t="shared" ref="J90:J111" si="28">I90-F90</f>
        <v>-2.8722510441855337E-2</v>
      </c>
      <c r="K90">
        <f>August2026Primary_Tracking!G183</f>
        <v>5694</v>
      </c>
      <c r="L90" s="5">
        <f>August2026Primary_Tracking!H183</f>
        <v>0.252</v>
      </c>
      <c r="M90">
        <f>August2026Primary_Tracking!I183</f>
        <v>-0.43</v>
      </c>
      <c r="N90">
        <f>August2026Primary_Tracking!J183</f>
        <v>626</v>
      </c>
      <c r="O90" s="5">
        <f>August2026Primary_Tracking!K183</f>
        <v>0.22219999999999998</v>
      </c>
      <c r="P90" s="11">
        <f>August2026Primary_Tracking!L183</f>
        <v>6435</v>
      </c>
      <c r="Q90" s="13">
        <f>August2026Primary_Tracking!M183</f>
        <v>0.25073056691992984</v>
      </c>
      <c r="R90" s="6">
        <f>August2026Primary_Tracking!N183</f>
        <v>-0.56000000000000005</v>
      </c>
      <c r="S90" s="11">
        <f>August2026Primary_Tracking!O183</f>
        <v>741</v>
      </c>
      <c r="T90" s="13">
        <f>August2026Primary_Tracking!P183</f>
        <v>0.24105400130123616</v>
      </c>
      <c r="U90" s="11">
        <f>August2026Primary_Tracking!Q183</f>
        <v>7193</v>
      </c>
      <c r="V90" s="13">
        <f>August2026Primary_Tracking!R183</f>
        <v>0.25295400196933465</v>
      </c>
      <c r="W90" s="6">
        <f>August2026Primary_Tracking!S183</f>
        <v>-0.33</v>
      </c>
      <c r="X90" s="11">
        <f>August2026Primary_Tracking!T183</f>
        <v>758</v>
      </c>
      <c r="Y90" s="13">
        <f>August2026Primary_Tracking!U183</f>
        <v>0.2735474557921328</v>
      </c>
      <c r="Z90" s="11">
        <f>August2026Primary_Tracking!V183</f>
        <v>8460</v>
      </c>
      <c r="AA90" s="13">
        <f>August2026Primary_Tracking!W183</f>
        <v>0.2499261447562777</v>
      </c>
      <c r="AB90" s="16">
        <f>August2026Primary_Tracking!X183</f>
        <v>-0.64</v>
      </c>
      <c r="AC90" s="11">
        <f>August2026Primary_Tracking!Y183</f>
        <v>1267</v>
      </c>
      <c r="AD90" s="13">
        <f>August2026Primary_Tracking!Z183</f>
        <v>0.23402290358330255</v>
      </c>
      <c r="AE90" s="11">
        <f>August2026Primary_Tracking!AA183</f>
        <v>9089</v>
      </c>
      <c r="AF90" s="13">
        <f>August2026Primary_Tracking!AB183</f>
        <v>0.24961551136987806</v>
      </c>
      <c r="AG90" s="16">
        <f>August2026Primary_Tracking!AC183</f>
        <v>-0.67</v>
      </c>
      <c r="AH90" s="11">
        <f>August2026Primary_Tracking!AD183</f>
        <v>629</v>
      </c>
      <c r="AI90" s="13">
        <f>August2026Primary_Tracking!AE183</f>
        <v>0.24551131928181108</v>
      </c>
      <c r="AJ90" s="11">
        <f>August2026Primary_Tracking!AF183</f>
        <v>9209</v>
      </c>
      <c r="AK90" s="13">
        <f>August2026Primary_Tracking!AG183</f>
        <v>0.24967465567725844</v>
      </c>
      <c r="AL90" s="16">
        <f>August2026Primary_Tracking!AH183</f>
        <v>-0.66</v>
      </c>
      <c r="AM90" s="11">
        <f>August2026Primary_Tracking!AI183</f>
        <v>120</v>
      </c>
      <c r="AN90" s="13">
        <f>August2026Primary_Tracking!AJ183</f>
        <v>0.25423728813559321</v>
      </c>
    </row>
    <row r="91" spans="1:40" x14ac:dyDescent="0.3">
      <c r="A91" t="s">
        <v>42</v>
      </c>
      <c r="B91" t="s">
        <v>11</v>
      </c>
      <c r="C91" s="26">
        <f t="shared" si="24"/>
        <v>8950</v>
      </c>
      <c r="D91" s="1">
        <f t="shared" si="25"/>
        <v>0.24265264071141959</v>
      </c>
      <c r="E91">
        <f>August2026Primary_Tracking!E184</f>
        <v>4531</v>
      </c>
      <c r="F91" s="5">
        <f>August2026Primary_Tracking!F184</f>
        <v>0.2291</v>
      </c>
      <c r="G91" s="13">
        <f t="shared" si="18"/>
        <v>0.5062569832402235</v>
      </c>
      <c r="H91" s="28">
        <f t="shared" si="19"/>
        <v>4419</v>
      </c>
      <c r="I91" s="5">
        <f t="shared" si="27"/>
        <v>0.24285557265333041</v>
      </c>
      <c r="J91" s="5">
        <f t="shared" si="28"/>
        <v>1.3755572653330411E-2</v>
      </c>
      <c r="K91">
        <f>August2026Primary_Tracking!G184</f>
        <v>5279</v>
      </c>
      <c r="L91" s="5">
        <f>August2026Primary_Tracking!H184</f>
        <v>0.23370000000000002</v>
      </c>
      <c r="M91">
        <f>August2026Primary_Tracking!I184</f>
        <v>0.46</v>
      </c>
      <c r="N91">
        <f>August2026Primary_Tracking!J184</f>
        <v>748</v>
      </c>
      <c r="O91" s="5">
        <f>August2026Primary_Tracking!K184</f>
        <v>0.26550000000000001</v>
      </c>
      <c r="P91" s="11">
        <f>August2026Primary_Tracking!L184</f>
        <v>6067</v>
      </c>
      <c r="Q91" s="13">
        <f>August2026Primary_Tracking!M184</f>
        <v>0.23639197350477303</v>
      </c>
      <c r="R91" s="6">
        <f>August2026Primary_Tracking!N184</f>
        <v>0.73</v>
      </c>
      <c r="S91" s="11">
        <f>August2026Primary_Tracking!O184</f>
        <v>788</v>
      </c>
      <c r="T91" s="13">
        <f>August2026Primary_Tracking!P184</f>
        <v>0.25634352635003255</v>
      </c>
      <c r="U91" s="11">
        <f>August2026Primary_Tracking!Q184</f>
        <v>6855</v>
      </c>
      <c r="V91" s="13">
        <f>August2026Primary_Tracking!R184</f>
        <v>0.2410676607117738</v>
      </c>
      <c r="W91" s="6">
        <f>August2026Primary_Tracking!S184</f>
        <v>1.2</v>
      </c>
      <c r="X91" s="11">
        <f>August2026Primary_Tracking!T184</f>
        <v>788</v>
      </c>
      <c r="Y91" s="13">
        <f>August2026Primary_Tracking!U184</f>
        <v>0.28437387224828581</v>
      </c>
      <c r="Z91" s="11">
        <f>August2026Primary_Tracking!V184</f>
        <v>8255</v>
      </c>
      <c r="AA91" s="13">
        <f>August2026Primary_Tracking!W184</f>
        <v>0.24387001477104875</v>
      </c>
      <c r="AB91" s="16">
        <f>August2026Primary_Tracking!X184</f>
        <v>1.48</v>
      </c>
      <c r="AC91" s="11">
        <f>August2026Primary_Tracking!Y184</f>
        <v>1400</v>
      </c>
      <c r="AD91" s="13">
        <f>August2026Primary_Tracking!Z184</f>
        <v>0.25858884373845586</v>
      </c>
      <c r="AE91" s="11">
        <f>August2026Primary_Tracking!AA184</f>
        <v>8814</v>
      </c>
      <c r="AF91" s="13">
        <f>August2026Primary_Tracking!AB184</f>
        <v>0.24206305613533999</v>
      </c>
      <c r="AG91" s="16">
        <f>August2026Primary_Tracking!AC184</f>
        <v>1.3</v>
      </c>
      <c r="AH91" s="11">
        <f>August2026Primary_Tracking!AD184</f>
        <v>559</v>
      </c>
      <c r="AI91" s="13">
        <f>August2026Primary_Tracking!AE184</f>
        <v>0.21818891491022638</v>
      </c>
      <c r="AJ91" s="11">
        <f>August2026Primary_Tracking!AF184</f>
        <v>8950</v>
      </c>
      <c r="AK91" s="13">
        <f>August2026Primary_Tracking!AG184</f>
        <v>0.24265264071141959</v>
      </c>
      <c r="AL91" s="16">
        <f>August2026Primary_Tracking!AH184</f>
        <v>1.36</v>
      </c>
      <c r="AM91" s="11">
        <f>August2026Primary_Tracking!AI184</f>
        <v>136</v>
      </c>
      <c r="AN91" s="13">
        <f>August2026Primary_Tracking!AJ184</f>
        <v>0.28813559322033899</v>
      </c>
    </row>
    <row r="92" spans="1:40" s="2" customFormat="1" x14ac:dyDescent="0.3">
      <c r="A92" s="2" t="s">
        <v>385</v>
      </c>
      <c r="B92" s="2" t="s">
        <v>298</v>
      </c>
      <c r="C92" s="25">
        <f t="shared" si="24"/>
        <v>13612</v>
      </c>
      <c r="D92" s="3">
        <f t="shared" si="25"/>
        <v>0</v>
      </c>
      <c r="E92" s="2">
        <f>August2026Primary_Tracking!E290</f>
        <v>6956</v>
      </c>
      <c r="F92" s="4" t="str">
        <f>August2026Primary_Tracking!F290</f>
        <v/>
      </c>
      <c r="G92" s="4">
        <f t="shared" si="18"/>
        <v>0.51101968851013813</v>
      </c>
      <c r="H92" s="27">
        <f t="shared" si="19"/>
        <v>6656</v>
      </c>
      <c r="I92" s="4"/>
      <c r="J92" s="5"/>
      <c r="K92" s="2">
        <f>August2026Primary_Tracking!G290</f>
        <v>8431</v>
      </c>
      <c r="L92" s="4" t="str">
        <f>August2026Primary_Tracking!H290</f>
        <v/>
      </c>
      <c r="M92" s="2" t="str">
        <f>August2026Primary_Tracking!I290</f>
        <v/>
      </c>
      <c r="N92" s="2">
        <f>August2026Primary_Tracking!J290</f>
        <v>1475</v>
      </c>
      <c r="O92" s="4" t="str">
        <f>August2026Primary_Tracking!K290</f>
        <v/>
      </c>
      <c r="P92" s="7">
        <f>August2026Primary_Tracking!L290</f>
        <v>10257</v>
      </c>
      <c r="Q92" s="4" t="str">
        <f>August2026Primary_Tracking!M290</f>
        <v/>
      </c>
      <c r="R92" s="29" t="str">
        <f>August2026Primary_Tracking!N290</f>
        <v/>
      </c>
      <c r="S92" s="7">
        <f>August2026Primary_Tracking!O290</f>
        <v>1826</v>
      </c>
      <c r="T92" s="4" t="str">
        <f>August2026Primary_Tracking!P290</f>
        <v/>
      </c>
      <c r="U92" s="7">
        <f>August2026Primary_Tracking!Q290</f>
        <v>12583</v>
      </c>
      <c r="V92" s="4" t="str">
        <f>August2026Primary_Tracking!R290</f>
        <v/>
      </c>
      <c r="W92" s="29" t="str">
        <f>August2026Primary_Tracking!S290</f>
        <v/>
      </c>
      <c r="X92" s="7">
        <f>August2026Primary_Tracking!T290</f>
        <v>2326</v>
      </c>
      <c r="Y92" s="4" t="str">
        <f>August2026Primary_Tracking!U290</f>
        <v/>
      </c>
      <c r="Z92" s="7">
        <f>August2026Primary_Tracking!V290</f>
        <v>13505</v>
      </c>
      <c r="AA92" s="4">
        <f>August2026Primary_Tracking!W290</f>
        <v>0</v>
      </c>
      <c r="AB92" s="30">
        <f>August2026Primary_Tracking!X290</f>
        <v>0</v>
      </c>
      <c r="AC92" s="7">
        <f>August2026Primary_Tracking!Y290</f>
        <v>922</v>
      </c>
      <c r="AD92" s="4">
        <f>August2026Primary_Tracking!Z290</f>
        <v>0</v>
      </c>
      <c r="AE92" s="7">
        <f>August2026Primary_Tracking!AA290</f>
        <v>13518</v>
      </c>
      <c r="AF92" s="4">
        <f>August2026Primary_Tracking!AB290</f>
        <v>0</v>
      </c>
      <c r="AG92" s="30">
        <f>August2026Primary_Tracking!AC290</f>
        <v>0</v>
      </c>
      <c r="AH92" s="7">
        <f>August2026Primary_Tracking!AD290</f>
        <v>13</v>
      </c>
      <c r="AI92" s="4">
        <f>August2026Primary_Tracking!AE290</f>
        <v>0</v>
      </c>
      <c r="AJ92" s="7">
        <f>August2026Primary_Tracking!AF290</f>
        <v>13612</v>
      </c>
      <c r="AK92" s="4">
        <f>August2026Primary_Tracking!AG290</f>
        <v>0</v>
      </c>
      <c r="AL92" s="30">
        <f>August2026Primary_Tracking!AH290</f>
        <v>0</v>
      </c>
      <c r="AM92" s="7">
        <f>August2026Primary_Tracking!AI290</f>
        <v>94</v>
      </c>
      <c r="AN92" s="4">
        <f>August2026Primary_Tracking!AJ290</f>
        <v>0</v>
      </c>
    </row>
    <row r="93" spans="1:40" x14ac:dyDescent="0.3">
      <c r="A93" t="s">
        <v>44</v>
      </c>
      <c r="B93" t="s">
        <v>9</v>
      </c>
      <c r="C93" s="26">
        <f t="shared" si="24"/>
        <v>6700</v>
      </c>
      <c r="D93" s="1">
        <f t="shared" si="25"/>
        <v>0.51035953686776359</v>
      </c>
      <c r="E93">
        <f>August2026Primary_Tracking!E291</f>
        <v>3436</v>
      </c>
      <c r="F93" s="5">
        <f>August2026Primary_Tracking!F291</f>
        <v>0.51149999999999995</v>
      </c>
      <c r="G93" s="13">
        <f t="shared" si="18"/>
        <v>0.51283582089552238</v>
      </c>
      <c r="H93" s="28">
        <f t="shared" si="19"/>
        <v>3264</v>
      </c>
      <c r="I93" s="5">
        <f>H93/H$92</f>
        <v>0.49038461538461536</v>
      </c>
      <c r="J93" s="5">
        <f t="shared" si="28"/>
        <v>-2.1115384615384591E-2</v>
      </c>
      <c r="K93">
        <f>August2026Primary_Tracking!G291</f>
        <v>4159</v>
      </c>
      <c r="L93" s="5">
        <f>August2026Primary_Tracking!H291</f>
        <v>0.5111</v>
      </c>
      <c r="M93">
        <f>August2026Primary_Tracking!I291</f>
        <v>-0.04</v>
      </c>
      <c r="N93">
        <f>August2026Primary_Tracking!J291</f>
        <v>723</v>
      </c>
      <c r="O93" s="5">
        <f>August2026Primary_Tracking!K291</f>
        <v>0.50919999999999999</v>
      </c>
      <c r="P93" s="11">
        <f>August2026Primary_Tracking!L291</f>
        <v>4893</v>
      </c>
      <c r="Q93" s="13">
        <f>August2026Primary_Tracking!M291</f>
        <v>0.49369387549187771</v>
      </c>
      <c r="R93" s="6">
        <f>August2026Primary_Tracking!N291</f>
        <v>-1.78</v>
      </c>
      <c r="S93" s="11">
        <f>August2026Primary_Tracking!O291</f>
        <v>734</v>
      </c>
      <c r="T93" s="13">
        <f>August2026Primary_Tracking!P291</f>
        <v>0.41398759165256627</v>
      </c>
      <c r="U93" s="11">
        <f>August2026Primary_Tracking!Q291</f>
        <v>6140</v>
      </c>
      <c r="V93" s="13">
        <f>August2026Primary_Tracking!R291</f>
        <v>0.50476816836566918</v>
      </c>
      <c r="W93" s="6">
        <f>August2026Primary_Tracking!S291</f>
        <v>-0.67</v>
      </c>
      <c r="X93" s="11">
        <f>August2026Primary_Tracking!T291</f>
        <v>1247</v>
      </c>
      <c r="Y93" s="13">
        <f>August2026Primary_Tracking!U291</f>
        <v>0.55348424323124723</v>
      </c>
      <c r="Z93" s="11">
        <f>August2026Primary_Tracking!V291</f>
        <v>6659</v>
      </c>
      <c r="AA93" s="13">
        <f>August2026Primary_Tracking!W291</f>
        <v>0.51089458339726868</v>
      </c>
      <c r="AB93" s="16">
        <f>August2026Primary_Tracking!X291</f>
        <v>-0.06</v>
      </c>
      <c r="AC93" s="11">
        <f>August2026Primary_Tracking!Y291</f>
        <v>519</v>
      </c>
      <c r="AD93" s="13">
        <f>August2026Primary_Tracking!Z291</f>
        <v>0.59655172413793101</v>
      </c>
      <c r="AE93" s="11">
        <f>August2026Primary_Tracking!AA291</f>
        <v>6667</v>
      </c>
      <c r="AF93" s="13">
        <f>August2026Primary_Tracking!AB291</f>
        <v>0.51111622201778595</v>
      </c>
      <c r="AG93" s="16">
        <f>August2026Primary_Tracking!AC291</f>
        <v>-0.04</v>
      </c>
      <c r="AH93" s="11">
        <f>August2026Primary_Tracking!AD291</f>
        <v>8</v>
      </c>
      <c r="AI93" s="13">
        <f>August2026Primary_Tracking!AE291</f>
        <v>0.8</v>
      </c>
      <c r="AJ93" s="11">
        <f>August2026Primary_Tracking!AF291</f>
        <v>6700</v>
      </c>
      <c r="AK93" s="13">
        <f>August2026Primary_Tracking!AG291</f>
        <v>0.51035953686776359</v>
      </c>
      <c r="AL93" s="16">
        <f>August2026Primary_Tracking!AH291</f>
        <v>-0.11</v>
      </c>
      <c r="AM93" s="11">
        <f>August2026Primary_Tracking!AI291</f>
        <v>33</v>
      </c>
      <c r="AN93" s="13">
        <f>August2026Primary_Tracking!AJ291</f>
        <v>0.39285714285714285</v>
      </c>
    </row>
    <row r="94" spans="1:40" x14ac:dyDescent="0.3">
      <c r="A94" t="s">
        <v>386</v>
      </c>
      <c r="B94" t="s">
        <v>8</v>
      </c>
      <c r="C94" s="26">
        <f t="shared" si="24"/>
        <v>2406</v>
      </c>
      <c r="D94" s="1">
        <f t="shared" si="25"/>
        <v>0.18327239488117003</v>
      </c>
      <c r="E94">
        <f>August2026Primary_Tracking!E292</f>
        <v>1432</v>
      </c>
      <c r="F94" s="5">
        <f>August2026Primary_Tracking!F292</f>
        <v>0.2132</v>
      </c>
      <c r="G94" s="13">
        <f t="shared" si="18"/>
        <v>0.59517871986699922</v>
      </c>
      <c r="H94" s="28">
        <f t="shared" si="19"/>
        <v>974</v>
      </c>
      <c r="I94" s="5">
        <f t="shared" ref="I94:I95" si="29">H94/H$92</f>
        <v>0.14633413461538461</v>
      </c>
      <c r="J94" s="5">
        <f t="shared" si="28"/>
        <v>-6.6865865384615392E-2</v>
      </c>
      <c r="K94">
        <f>August2026Primary_Tracking!G292</f>
        <v>1659</v>
      </c>
      <c r="L94" s="5">
        <f>August2026Primary_Tracking!H292</f>
        <v>0.2039</v>
      </c>
      <c r="M94">
        <f>August2026Primary_Tracking!I292</f>
        <v>-0.93</v>
      </c>
      <c r="N94">
        <f>August2026Primary_Tracking!J292</f>
        <v>227</v>
      </c>
      <c r="O94" s="5">
        <f>August2026Primary_Tracking!K292</f>
        <v>0.15990000000000001</v>
      </c>
      <c r="P94" s="11">
        <f>August2026Primary_Tracking!L292</f>
        <v>1966</v>
      </c>
      <c r="Q94" s="13">
        <f>August2026Primary_Tracking!M292</f>
        <v>0.19836545252749471</v>
      </c>
      <c r="R94" s="6">
        <f>August2026Primary_Tracking!N292</f>
        <v>-1.48</v>
      </c>
      <c r="S94" s="11">
        <f>August2026Primary_Tracking!O292</f>
        <v>307</v>
      </c>
      <c r="T94" s="13">
        <f>August2026Primary_Tracking!P292</f>
        <v>0.17315284827975183</v>
      </c>
      <c r="U94" s="11">
        <f>August2026Primary_Tracking!Q292</f>
        <v>2284</v>
      </c>
      <c r="V94" s="13">
        <f>August2026Primary_Tracking!R292</f>
        <v>0.18776718184807628</v>
      </c>
      <c r="W94" s="6">
        <f>August2026Primary_Tracking!S292</f>
        <v>-2.54</v>
      </c>
      <c r="X94" s="11">
        <f>August2026Primary_Tracking!T292</f>
        <v>318</v>
      </c>
      <c r="Y94" s="13">
        <f>August2026Primary_Tracking!U292</f>
        <v>0.1411451398135819</v>
      </c>
      <c r="Z94" s="11">
        <f>August2026Primary_Tracking!V292</f>
        <v>2393</v>
      </c>
      <c r="AA94" s="13">
        <f>August2026Primary_Tracking!W292</f>
        <v>0.18359674696946449</v>
      </c>
      <c r="AB94" s="16">
        <f>August2026Primary_Tracking!X292</f>
        <v>-2.96</v>
      </c>
      <c r="AC94" s="11">
        <f>August2026Primary_Tracking!Y292</f>
        <v>109</v>
      </c>
      <c r="AD94" s="13">
        <f>August2026Primary_Tracking!Z292</f>
        <v>0.12528735632183907</v>
      </c>
      <c r="AE94" s="11">
        <f>August2026Primary_Tracking!AA292</f>
        <v>2393</v>
      </c>
      <c r="AF94" s="13">
        <f>August2026Primary_Tracking!AB292</f>
        <v>0.18345599509352958</v>
      </c>
      <c r="AG94" s="16">
        <f>August2026Primary_Tracking!AC292</f>
        <v>-2.97</v>
      </c>
      <c r="AH94" s="11">
        <f>August2026Primary_Tracking!AD292</f>
        <v>0</v>
      </c>
      <c r="AI94" s="13">
        <f>August2026Primary_Tracking!AE292</f>
        <v>0</v>
      </c>
      <c r="AJ94" s="11">
        <f>August2026Primary_Tracking!AF292</f>
        <v>2406</v>
      </c>
      <c r="AK94" s="13">
        <f>August2026Primary_Tracking!AG292</f>
        <v>0.18327239488117003</v>
      </c>
      <c r="AL94" s="16">
        <f>August2026Primary_Tracking!AH292</f>
        <v>-2.99</v>
      </c>
      <c r="AM94" s="11">
        <f>August2026Primary_Tracking!AI292</f>
        <v>13</v>
      </c>
      <c r="AN94" s="13">
        <f>August2026Primary_Tracking!AJ292</f>
        <v>0.15476190476190477</v>
      </c>
    </row>
    <row r="95" spans="1:40" x14ac:dyDescent="0.3">
      <c r="A95" t="s">
        <v>46</v>
      </c>
      <c r="B95" t="s">
        <v>282</v>
      </c>
      <c r="C95" s="26">
        <f t="shared" si="24"/>
        <v>3992</v>
      </c>
      <c r="D95" s="1">
        <f t="shared" si="25"/>
        <v>0.30408287629494213</v>
      </c>
      <c r="E95">
        <f>August2026Primary_Tracking!E293</f>
        <v>1836</v>
      </c>
      <c r="F95" s="5">
        <f>August2026Primary_Tracking!F293</f>
        <v>0.27329999999999999</v>
      </c>
      <c r="G95" s="13">
        <f t="shared" si="18"/>
        <v>0.45991983967935873</v>
      </c>
      <c r="H95" s="28">
        <f t="shared" si="19"/>
        <v>2156</v>
      </c>
      <c r="I95" s="5">
        <f t="shared" si="29"/>
        <v>0.32391826923076922</v>
      </c>
      <c r="J95" s="5">
        <f t="shared" si="28"/>
        <v>5.0618269230769231E-2</v>
      </c>
      <c r="K95">
        <f>August2026Primary_Tracking!G293</f>
        <v>2305</v>
      </c>
      <c r="L95" s="5">
        <f>August2026Primary_Tracking!H293</f>
        <v>0.28320000000000001</v>
      </c>
      <c r="M95">
        <f>August2026Primary_Tracking!I293</f>
        <v>0.99</v>
      </c>
      <c r="N95">
        <f>August2026Primary_Tracking!J293</f>
        <v>469</v>
      </c>
      <c r="O95" s="5">
        <f>August2026Primary_Tracking!K293</f>
        <v>0.33030000000000004</v>
      </c>
      <c r="P95" s="11">
        <f>August2026Primary_Tracking!L293</f>
        <v>3031</v>
      </c>
      <c r="Q95" s="13">
        <f>August2026Primary_Tracking!M293</f>
        <v>0.30582181414589849</v>
      </c>
      <c r="R95" s="6">
        <f>August2026Primary_Tracking!N293</f>
        <v>3.25</v>
      </c>
      <c r="S95" s="11">
        <f>August2026Primary_Tracking!O293</f>
        <v>726</v>
      </c>
      <c r="T95" s="13">
        <f>August2026Primary_Tracking!P293</f>
        <v>0.40947546531302875</v>
      </c>
      <c r="U95" s="11">
        <f>August2026Primary_Tracking!Q293</f>
        <v>3712</v>
      </c>
      <c r="V95" s="13">
        <f>August2026Primary_Tracking!R293</f>
        <v>0.30516277540282799</v>
      </c>
      <c r="W95" s="6">
        <f>August2026Primary_Tracking!S293</f>
        <v>3.19</v>
      </c>
      <c r="X95" s="11">
        <f>August2026Primary_Tracking!T293</f>
        <v>681</v>
      </c>
      <c r="Y95" s="13">
        <f>August2026Primary_Tracking!U293</f>
        <v>0.3022636484687084</v>
      </c>
      <c r="Z95" s="11">
        <f>August2026Primary_Tracking!V293</f>
        <v>3951</v>
      </c>
      <c r="AA95" s="13">
        <f>August2026Primary_Tracking!W293</f>
        <v>0.30313027466625747</v>
      </c>
      <c r="AB95" s="16">
        <f>August2026Primary_Tracking!X293</f>
        <v>2.98</v>
      </c>
      <c r="AC95" s="11">
        <f>August2026Primary_Tracking!Y293</f>
        <v>239</v>
      </c>
      <c r="AD95" s="13">
        <f>August2026Primary_Tracking!Z293</f>
        <v>0.27471264367816089</v>
      </c>
      <c r="AE95" s="11">
        <f>August2026Primary_Tracking!AA293</f>
        <v>3954</v>
      </c>
      <c r="AF95" s="13">
        <f>August2026Primary_Tracking!AB293</f>
        <v>0.30312787488500459</v>
      </c>
      <c r="AG95" s="16">
        <f>August2026Primary_Tracking!AC293</f>
        <v>2.98</v>
      </c>
      <c r="AH95" s="11">
        <f>August2026Primary_Tracking!AD293</f>
        <v>3</v>
      </c>
      <c r="AI95" s="13">
        <f>August2026Primary_Tracking!AE293</f>
        <v>0.3</v>
      </c>
      <c r="AJ95" s="11">
        <f>August2026Primary_Tracking!AF293</f>
        <v>3992</v>
      </c>
      <c r="AK95" s="13">
        <f>August2026Primary_Tracking!AG293</f>
        <v>0.30408287629494213</v>
      </c>
      <c r="AL95" s="16">
        <f>August2026Primary_Tracking!AH293</f>
        <v>3.08</v>
      </c>
      <c r="AM95" s="11">
        <f>August2026Primary_Tracking!AI293</f>
        <v>38</v>
      </c>
      <c r="AN95" s="13">
        <f>August2026Primary_Tracking!AJ293</f>
        <v>0.45238095238095238</v>
      </c>
    </row>
    <row r="96" spans="1:40" s="2" customFormat="1" x14ac:dyDescent="0.3">
      <c r="A96" s="2" t="s">
        <v>387</v>
      </c>
      <c r="B96" s="2" t="s">
        <v>298</v>
      </c>
      <c r="C96" s="25">
        <f t="shared" si="24"/>
        <v>40955</v>
      </c>
      <c r="D96" s="3">
        <f t="shared" si="25"/>
        <v>0</v>
      </c>
      <c r="E96" s="2">
        <f>August2026Primary_Tracking!E513</f>
        <v>17190</v>
      </c>
      <c r="F96" s="4" t="str">
        <f>August2026Primary_Tracking!F513</f>
        <v/>
      </c>
      <c r="G96" s="4">
        <f t="shared" si="18"/>
        <v>0.41972897082163352</v>
      </c>
      <c r="H96" s="27">
        <f t="shared" si="19"/>
        <v>23765</v>
      </c>
      <c r="I96" s="4"/>
      <c r="J96" s="5"/>
      <c r="K96" s="2">
        <f>August2026Primary_Tracking!G513</f>
        <v>20324</v>
      </c>
      <c r="L96" s="4" t="str">
        <f>August2026Primary_Tracking!H513</f>
        <v/>
      </c>
      <c r="M96" s="2" t="str">
        <f>August2026Primary_Tracking!I513</f>
        <v/>
      </c>
      <c r="N96" s="2">
        <f>August2026Primary_Tracking!J513</f>
        <v>3134</v>
      </c>
      <c r="O96" s="4" t="str">
        <f>August2026Primary_Tracking!K513</f>
        <v/>
      </c>
      <c r="P96" s="7">
        <f>August2026Primary_Tracking!L513</f>
        <v>29386</v>
      </c>
      <c r="Q96" s="4" t="str">
        <f>August2026Primary_Tracking!M513</f>
        <v/>
      </c>
      <c r="R96" s="29" t="str">
        <f>August2026Primary_Tracking!N513</f>
        <v/>
      </c>
      <c r="S96" s="7">
        <f>August2026Primary_Tracking!O513</f>
        <v>9062</v>
      </c>
      <c r="T96" s="4" t="str">
        <f>August2026Primary_Tracking!P513</f>
        <v/>
      </c>
      <c r="U96" s="7">
        <f>August2026Primary_Tracking!Q513</f>
        <v>38282</v>
      </c>
      <c r="V96" s="4" t="str">
        <f>August2026Primary_Tracking!R513</f>
        <v/>
      </c>
      <c r="W96" s="29" t="str">
        <f>August2026Primary_Tracking!S513</f>
        <v/>
      </c>
      <c r="X96" s="7">
        <f>August2026Primary_Tracking!T513</f>
        <v>8896</v>
      </c>
      <c r="Y96" s="4" t="str">
        <f>August2026Primary_Tracking!U513</f>
        <v/>
      </c>
      <c r="Z96" s="7">
        <f>August2026Primary_Tracking!V513</f>
        <v>40372</v>
      </c>
      <c r="AA96" s="4">
        <f>August2026Primary_Tracking!W513</f>
        <v>0</v>
      </c>
      <c r="AB96" s="30">
        <f>August2026Primary_Tracking!X513</f>
        <v>0</v>
      </c>
      <c r="AC96" s="7">
        <f>August2026Primary_Tracking!Y513</f>
        <v>2090</v>
      </c>
      <c r="AD96" s="4">
        <f>August2026Primary_Tracking!Z513</f>
        <v>0</v>
      </c>
      <c r="AE96" s="7">
        <f>August2026Primary_Tracking!AA513</f>
        <v>40488</v>
      </c>
      <c r="AF96" s="4">
        <f>August2026Primary_Tracking!AB513</f>
        <v>0</v>
      </c>
      <c r="AG96" s="30">
        <f>August2026Primary_Tracking!AC513</f>
        <v>0</v>
      </c>
      <c r="AH96" s="7">
        <f>August2026Primary_Tracking!AD513</f>
        <v>116</v>
      </c>
      <c r="AI96" s="4">
        <f>August2026Primary_Tracking!AE513</f>
        <v>0</v>
      </c>
      <c r="AJ96" s="7">
        <f>August2026Primary_Tracking!AF513</f>
        <v>40955</v>
      </c>
      <c r="AK96" s="4">
        <f>August2026Primary_Tracking!AG513</f>
        <v>0</v>
      </c>
      <c r="AL96" s="30">
        <f>August2026Primary_Tracking!AH513</f>
        <v>0</v>
      </c>
      <c r="AM96" s="7">
        <f>August2026Primary_Tracking!AI513</f>
        <v>467</v>
      </c>
      <c r="AN96" s="4">
        <f>August2026Primary_Tracking!AJ513</f>
        <v>0</v>
      </c>
    </row>
    <row r="97" spans="1:40" x14ac:dyDescent="0.3">
      <c r="A97" t="s">
        <v>34</v>
      </c>
      <c r="B97" t="s">
        <v>8</v>
      </c>
      <c r="C97" s="26">
        <f t="shared" si="24"/>
        <v>18517</v>
      </c>
      <c r="D97" s="1">
        <f t="shared" si="25"/>
        <v>0.47885903436861571</v>
      </c>
      <c r="E97">
        <f>August2026Primary_Tracking!E514</f>
        <v>8647</v>
      </c>
      <c r="F97" s="5">
        <f>August2026Primary_Tracking!F514</f>
        <v>0.53400000000000003</v>
      </c>
      <c r="G97" s="13">
        <f t="shared" si="18"/>
        <v>0.46697629205594859</v>
      </c>
      <c r="H97" s="28">
        <f t="shared" si="19"/>
        <v>9870</v>
      </c>
      <c r="I97" s="5">
        <f>H97/H$96</f>
        <v>0.41531664212076586</v>
      </c>
      <c r="J97" s="5">
        <f t="shared" si="28"/>
        <v>-0.11868335787923417</v>
      </c>
      <c r="K97">
        <f>August2026Primary_Tracking!G514</f>
        <v>10069</v>
      </c>
      <c r="L97" s="5">
        <f>August2026Primary_Tracking!H514</f>
        <v>0.52590000000000003</v>
      </c>
      <c r="M97">
        <f>August2026Primary_Tracking!I514</f>
        <v>-0.81</v>
      </c>
      <c r="N97">
        <f>August2026Primary_Tracking!J514</f>
        <v>1422</v>
      </c>
      <c r="O97" s="5">
        <f>August2026Primary_Tracking!K514</f>
        <v>0.48119999999999996</v>
      </c>
      <c r="P97" s="11">
        <f>August2026Primary_Tracking!L514</f>
        <v>13858</v>
      </c>
      <c r="Q97" s="13">
        <f>August2026Primary_Tracking!M514</f>
        <v>0.50032493320817384</v>
      </c>
      <c r="R97" s="6">
        <f>August2026Primary_Tracking!N514</f>
        <v>-3.37</v>
      </c>
      <c r="S97" s="11">
        <f>August2026Primary_Tracking!O514</f>
        <v>3789</v>
      </c>
      <c r="T97" s="13">
        <f>August2026Primary_Tracking!P514</f>
        <v>0.44315789473684208</v>
      </c>
      <c r="U97" s="11">
        <f>August2026Primary_Tracking!Q514</f>
        <v>17434</v>
      </c>
      <c r="V97" s="13">
        <f>August2026Primary_Tracking!R514</f>
        <v>0.48192171605484296</v>
      </c>
      <c r="W97" s="6">
        <f>August2026Primary_Tracking!S514</f>
        <v>-5.21</v>
      </c>
      <c r="X97" s="11">
        <f>August2026Primary_Tracking!T514</f>
        <v>3576</v>
      </c>
      <c r="Y97" s="13">
        <f>August2026Primary_Tracking!U514</f>
        <v>0.42179759377211606</v>
      </c>
      <c r="Z97" s="11">
        <f>August2026Primary_Tracking!V514</f>
        <v>18313</v>
      </c>
      <c r="AA97" s="13">
        <f>August2026Primary_Tracking!W514</f>
        <v>0.48084547722200344</v>
      </c>
      <c r="AB97" s="16">
        <f>August2026Primary_Tracking!X514</f>
        <v>-5.32</v>
      </c>
      <c r="AC97" s="11">
        <f>August2026Primary_Tracking!Y514</f>
        <v>879</v>
      </c>
      <c r="AD97" s="13">
        <f>August2026Primary_Tracking!Z514</f>
        <v>0.46045049764274487</v>
      </c>
      <c r="AE97" s="11">
        <f>August2026Primary_Tracking!AA514</f>
        <v>18370</v>
      </c>
      <c r="AF97" s="13">
        <f>August2026Primary_Tracking!AB514</f>
        <v>0.48034934497816595</v>
      </c>
      <c r="AG97" s="16">
        <f>August2026Primary_Tracking!AC514</f>
        <v>-5.37</v>
      </c>
      <c r="AH97" s="11">
        <f>August2026Primary_Tracking!AD514</f>
        <v>57</v>
      </c>
      <c r="AI97" s="13">
        <f>August2026Primary_Tracking!AE514</f>
        <v>0.36075949367088606</v>
      </c>
      <c r="AJ97" s="11">
        <f>August2026Primary_Tracking!AF514</f>
        <v>18517</v>
      </c>
      <c r="AK97" s="13">
        <f>August2026Primary_Tracking!AG514</f>
        <v>0.47885903436861571</v>
      </c>
      <c r="AL97" s="16">
        <f>August2026Primary_Tracking!AH514</f>
        <v>-5.51</v>
      </c>
      <c r="AM97" s="11">
        <f>August2026Primary_Tracking!AI514</f>
        <v>147</v>
      </c>
      <c r="AN97" s="13">
        <f>August2026Primary_Tracking!AJ514</f>
        <v>0.34507042253521125</v>
      </c>
    </row>
    <row r="98" spans="1:40" x14ac:dyDescent="0.3">
      <c r="A98" t="s">
        <v>35</v>
      </c>
      <c r="B98" t="s">
        <v>282</v>
      </c>
      <c r="C98" s="26">
        <f t="shared" si="24"/>
        <v>19902</v>
      </c>
      <c r="D98" s="1">
        <f t="shared" si="25"/>
        <v>0.5146758385269854</v>
      </c>
      <c r="E98">
        <f>August2026Primary_Tracking!E515</f>
        <v>7397</v>
      </c>
      <c r="F98" s="5">
        <f>August2026Primary_Tracking!F515</f>
        <v>0.45679999999999998</v>
      </c>
      <c r="G98" s="13">
        <f t="shared" si="18"/>
        <v>0.37167118882524369</v>
      </c>
      <c r="H98" s="28">
        <f t="shared" si="19"/>
        <v>12505</v>
      </c>
      <c r="I98" s="5">
        <f>H98/H$96</f>
        <v>0.52619398274773832</v>
      </c>
      <c r="J98" s="5">
        <f t="shared" si="28"/>
        <v>6.9393982747738336E-2</v>
      </c>
      <c r="K98">
        <f>August2026Primary_Tracking!G515</f>
        <v>8922</v>
      </c>
      <c r="L98" s="5">
        <f>August2026Primary_Tracking!H515</f>
        <v>0.46590000000000004</v>
      </c>
      <c r="M98">
        <f>August2026Primary_Tracking!I515</f>
        <v>0.91</v>
      </c>
      <c r="N98">
        <f>August2026Primary_Tracking!J515</f>
        <v>1525</v>
      </c>
      <c r="O98" s="5">
        <f>August2026Primary_Tracking!K515</f>
        <v>0.5161</v>
      </c>
      <c r="P98" s="11">
        <f>August2026Primary_Tracking!L515</f>
        <v>13609</v>
      </c>
      <c r="Q98" s="13">
        <f>August2026Primary_Tracking!M515</f>
        <v>0.49133511444869665</v>
      </c>
      <c r="R98" s="6">
        <f>August2026Primary_Tracking!N515</f>
        <v>3.45</v>
      </c>
      <c r="S98" s="11">
        <f>August2026Primary_Tracking!O515</f>
        <v>4687</v>
      </c>
      <c r="T98" s="13">
        <f>August2026Primary_Tracking!P515</f>
        <v>0.548187134502924</v>
      </c>
      <c r="U98" s="11">
        <f>August2026Primary_Tracking!Q515</f>
        <v>18454</v>
      </c>
      <c r="V98" s="13">
        <f>August2026Primary_Tracking!R515</f>
        <v>0.51011720477664746</v>
      </c>
      <c r="W98" s="6">
        <f>August2026Primary_Tracking!S515</f>
        <v>5.33</v>
      </c>
      <c r="X98" s="11">
        <f>August2026Primary_Tracking!T515</f>
        <v>4845</v>
      </c>
      <c r="Y98" s="13">
        <f>August2026Primary_Tracking!U515</f>
        <v>0.57147912243453647</v>
      </c>
      <c r="Z98" s="11">
        <f>August2026Primary_Tracking!V515</f>
        <v>19531</v>
      </c>
      <c r="AA98" s="13">
        <f>August2026Primary_Tracking!W515</f>
        <v>0.51282657214126293</v>
      </c>
      <c r="AB98" s="16">
        <f>August2026Primary_Tracking!X515</f>
        <v>5.6</v>
      </c>
      <c r="AC98" s="11">
        <f>August2026Primary_Tracking!Y515</f>
        <v>1077</v>
      </c>
      <c r="AD98" s="13">
        <f>August2026Primary_Tracking!Z515</f>
        <v>0.56416972236773177</v>
      </c>
      <c r="AE98" s="11">
        <f>August2026Primary_Tracking!AA515</f>
        <v>19628</v>
      </c>
      <c r="AF98" s="13">
        <f>August2026Primary_Tracking!AB515</f>
        <v>0.51324425385037786</v>
      </c>
      <c r="AG98" s="16">
        <f>August2026Primary_Tracking!AC515</f>
        <v>5.64</v>
      </c>
      <c r="AH98" s="11">
        <f>August2026Primary_Tracking!AD515</f>
        <v>97</v>
      </c>
      <c r="AI98" s="13">
        <f>August2026Primary_Tracking!AE515</f>
        <v>0.61392405063291144</v>
      </c>
      <c r="AJ98" s="11">
        <f>August2026Primary_Tracking!AF515</f>
        <v>19902</v>
      </c>
      <c r="AK98" s="13">
        <f>August2026Primary_Tracking!AG515</f>
        <v>0.5146758385269854</v>
      </c>
      <c r="AL98" s="16">
        <f>August2026Primary_Tracking!AH515</f>
        <v>5.79</v>
      </c>
      <c r="AM98" s="11">
        <f>August2026Primary_Tracking!AI515</f>
        <v>274</v>
      </c>
      <c r="AN98" s="13">
        <f>August2026Primary_Tracking!AJ515</f>
        <v>0.64319248826291076</v>
      </c>
    </row>
    <row r="99" spans="1:40" s="2" customFormat="1" x14ac:dyDescent="0.3">
      <c r="A99" s="2" t="s">
        <v>388</v>
      </c>
      <c r="B99" s="2" t="s">
        <v>298</v>
      </c>
      <c r="C99" s="25">
        <f t="shared" si="24"/>
        <v>39205</v>
      </c>
      <c r="D99" s="3">
        <f t="shared" si="25"/>
        <v>0</v>
      </c>
      <c r="E99" s="2">
        <f>August2026Primary_Tracking!E559</f>
        <v>18334</v>
      </c>
      <c r="F99" s="4" t="str">
        <f>August2026Primary_Tracking!F559</f>
        <v/>
      </c>
      <c r="G99" s="4">
        <f t="shared" si="18"/>
        <v>0.46764443310802195</v>
      </c>
      <c r="H99" s="27">
        <f t="shared" si="19"/>
        <v>20871</v>
      </c>
      <c r="I99" s="4"/>
      <c r="J99" s="5"/>
      <c r="K99" s="2">
        <f>August2026Primary_Tracking!G559</f>
        <v>22023</v>
      </c>
      <c r="L99" s="4" t="str">
        <f>August2026Primary_Tracking!H559</f>
        <v/>
      </c>
      <c r="M99" s="2" t="str">
        <f>August2026Primary_Tracking!I559</f>
        <v/>
      </c>
      <c r="N99" s="2">
        <f>August2026Primary_Tracking!J559</f>
        <v>3689</v>
      </c>
      <c r="O99" s="4" t="str">
        <f>August2026Primary_Tracking!K559</f>
        <v/>
      </c>
      <c r="P99" s="7">
        <f>August2026Primary_Tracking!L559</f>
        <v>28827</v>
      </c>
      <c r="Q99" s="4" t="str">
        <f>August2026Primary_Tracking!M559</f>
        <v/>
      </c>
      <c r="R99" s="29" t="str">
        <f>August2026Primary_Tracking!N559</f>
        <v/>
      </c>
      <c r="S99" s="7">
        <f>August2026Primary_Tracking!O559</f>
        <v>6804</v>
      </c>
      <c r="T99" s="4" t="str">
        <f>August2026Primary_Tracking!P559</f>
        <v/>
      </c>
      <c r="U99" s="7">
        <f>August2026Primary_Tracking!Q559</f>
        <v>35547</v>
      </c>
      <c r="V99" s="4" t="str">
        <f>August2026Primary_Tracking!R559</f>
        <v/>
      </c>
      <c r="W99" s="29" t="str">
        <f>August2026Primary_Tracking!S559</f>
        <v/>
      </c>
      <c r="X99" s="7">
        <f>August2026Primary_Tracking!T559</f>
        <v>6720</v>
      </c>
      <c r="Y99" s="4" t="str">
        <f>August2026Primary_Tracking!U559</f>
        <v/>
      </c>
      <c r="Z99" s="7">
        <f>August2026Primary_Tracking!V559</f>
        <v>38483</v>
      </c>
      <c r="AA99" s="4">
        <f>August2026Primary_Tracking!W559</f>
        <v>0</v>
      </c>
      <c r="AB99" s="30">
        <f>August2026Primary_Tracking!X559</f>
        <v>0</v>
      </c>
      <c r="AC99" s="7">
        <f>August2026Primary_Tracking!Y559</f>
        <v>2936</v>
      </c>
      <c r="AD99" s="4">
        <f>August2026Primary_Tracking!Z559</f>
        <v>0</v>
      </c>
      <c r="AE99" s="7">
        <f>August2026Primary_Tracking!AA559</f>
        <v>38632</v>
      </c>
      <c r="AF99" s="4">
        <f>August2026Primary_Tracking!AB559</f>
        <v>0</v>
      </c>
      <c r="AG99" s="30">
        <f>August2026Primary_Tracking!AC559</f>
        <v>0</v>
      </c>
      <c r="AH99" s="7">
        <f>August2026Primary_Tracking!AD559</f>
        <v>149</v>
      </c>
      <c r="AI99" s="4">
        <f>August2026Primary_Tracking!AE559</f>
        <v>0</v>
      </c>
      <c r="AJ99" s="7">
        <f>August2026Primary_Tracking!AF559</f>
        <v>39205</v>
      </c>
      <c r="AK99" s="4">
        <f>August2026Primary_Tracking!AG559</f>
        <v>0</v>
      </c>
      <c r="AL99" s="30">
        <f>August2026Primary_Tracking!AH559</f>
        <v>0</v>
      </c>
      <c r="AM99" s="7">
        <f>August2026Primary_Tracking!AI559</f>
        <v>573</v>
      </c>
      <c r="AN99" s="4">
        <f>August2026Primary_Tracking!AJ559</f>
        <v>0</v>
      </c>
    </row>
    <row r="100" spans="1:40" x14ac:dyDescent="0.3">
      <c r="A100" t="s">
        <v>31</v>
      </c>
      <c r="B100" t="s">
        <v>8</v>
      </c>
      <c r="C100" s="26">
        <f t="shared" si="24"/>
        <v>25454</v>
      </c>
      <c r="D100" s="1">
        <f t="shared" si="25"/>
        <v>0.66673651675092338</v>
      </c>
      <c r="E100">
        <f>August2026Primary_Tracking!E560</f>
        <v>12633</v>
      </c>
      <c r="F100" s="5">
        <f>August2026Primary_Tracking!F560</f>
        <v>0.71060000000000001</v>
      </c>
      <c r="G100" s="13">
        <f t="shared" si="18"/>
        <v>0.49630706372279404</v>
      </c>
      <c r="H100" s="28">
        <f t="shared" si="19"/>
        <v>12821</v>
      </c>
      <c r="I100" s="5">
        <f>H100/H$99</f>
        <v>0.61429735039049393</v>
      </c>
      <c r="J100" s="5">
        <f t="shared" si="28"/>
        <v>-9.6302649609506075E-2</v>
      </c>
      <c r="K100">
        <f>August2026Primary_Tracking!G560</f>
        <v>15022</v>
      </c>
      <c r="L100" s="5">
        <f>August2026Primary_Tracking!H560</f>
        <v>0.70319999999999994</v>
      </c>
      <c r="M100">
        <f>August2026Primary_Tracking!I560</f>
        <v>-0.74</v>
      </c>
      <c r="N100">
        <f>August2026Primary_Tracking!J560</f>
        <v>2389</v>
      </c>
      <c r="O100" s="5">
        <f>August2026Primary_Tracking!K560</f>
        <v>0.66639999999999999</v>
      </c>
      <c r="P100" s="11">
        <f>August2026Primary_Tracking!L560</f>
        <v>19079</v>
      </c>
      <c r="Q100" s="13">
        <f>August2026Primary_Tracking!M560</f>
        <v>0.68207493207493208</v>
      </c>
      <c r="R100" s="6">
        <f>August2026Primary_Tracking!N560</f>
        <v>-2.85</v>
      </c>
      <c r="S100" s="11">
        <f>August2026Primary_Tracking!O560</f>
        <v>4057</v>
      </c>
      <c r="T100" s="13">
        <f>August2026Primary_Tracking!P560</f>
        <v>0.61385988803147229</v>
      </c>
      <c r="U100" s="11">
        <f>August2026Primary_Tracking!Q560</f>
        <v>23157</v>
      </c>
      <c r="V100" s="13">
        <f>August2026Primary_Tracking!R560</f>
        <v>0.6709840055632823</v>
      </c>
      <c r="W100" s="6">
        <f>August2026Primary_Tracking!S560</f>
        <v>-3.96</v>
      </c>
      <c r="X100" s="11">
        <f>August2026Primary_Tracking!T560</f>
        <v>4078</v>
      </c>
      <c r="Y100" s="13">
        <f>August2026Primary_Tracking!U560</f>
        <v>0.62354740061162084</v>
      </c>
      <c r="Z100" s="11">
        <f>August2026Primary_Tracking!V560</f>
        <v>24946</v>
      </c>
      <c r="AA100" s="13">
        <f>August2026Primary_Tracking!W560</f>
        <v>0.66805923783508747</v>
      </c>
      <c r="AB100" s="16">
        <f>August2026Primary_Tracking!X560</f>
        <v>-4.25</v>
      </c>
      <c r="AC100" s="11">
        <f>August2026Primary_Tracking!Y560</f>
        <v>1789</v>
      </c>
      <c r="AD100" s="13">
        <f>August2026Primary_Tracking!Z560</f>
        <v>0.63237893248497701</v>
      </c>
      <c r="AE100" s="11">
        <f>August2026Primary_Tracking!AA560</f>
        <v>25110</v>
      </c>
      <c r="AF100" s="13">
        <f>August2026Primary_Tracking!AB560</f>
        <v>0.66757058542032222</v>
      </c>
      <c r="AG100" s="16">
        <f>August2026Primary_Tracking!AC560</f>
        <v>-4.3</v>
      </c>
      <c r="AH100" s="11">
        <f>August2026Primary_Tracking!AD560</f>
        <v>164</v>
      </c>
      <c r="AI100" s="13">
        <f>August2026Primary_Tracking!AE560</f>
        <v>0.60073260073260071</v>
      </c>
      <c r="AJ100" s="11">
        <f>August2026Primary_Tracking!AF560</f>
        <v>25454</v>
      </c>
      <c r="AK100" s="13">
        <f>August2026Primary_Tracking!AG560</f>
        <v>0.66673651675092338</v>
      </c>
      <c r="AL100" s="16">
        <f>August2026Primary_Tracking!AH560</f>
        <v>-4.3899999999999997</v>
      </c>
      <c r="AM100" s="11">
        <f>August2026Primary_Tracking!AI560</f>
        <v>344</v>
      </c>
      <c r="AN100" s="13">
        <f>August2026Primary_Tracking!AJ560</f>
        <v>0.61101243339253997</v>
      </c>
    </row>
    <row r="101" spans="1:40" x14ac:dyDescent="0.3">
      <c r="A101" t="s">
        <v>32</v>
      </c>
      <c r="B101" t="s">
        <v>282</v>
      </c>
      <c r="C101" s="26">
        <f t="shared" si="24"/>
        <v>8990</v>
      </c>
      <c r="D101" s="1">
        <f t="shared" si="25"/>
        <v>0.23548209655027896</v>
      </c>
      <c r="E101">
        <f>August2026Primary_Tracking!E561</f>
        <v>3176</v>
      </c>
      <c r="F101" s="5">
        <f>August2026Primary_Tracking!F561</f>
        <v>0.17859999999999998</v>
      </c>
      <c r="G101" s="13">
        <f t="shared" si="18"/>
        <v>0.35328142380422695</v>
      </c>
      <c r="H101" s="28">
        <f t="shared" si="19"/>
        <v>5814</v>
      </c>
      <c r="I101" s="5">
        <f t="shared" ref="I101:I102" si="30">H101/H$99</f>
        <v>0.27856834842604572</v>
      </c>
      <c r="J101" s="5">
        <f t="shared" si="28"/>
        <v>9.9968348426045739E-2</v>
      </c>
      <c r="K101">
        <f>August2026Primary_Tracking!G561</f>
        <v>4066</v>
      </c>
      <c r="L101" s="5">
        <f>August2026Primary_Tracking!H561</f>
        <v>0.19030000000000002</v>
      </c>
      <c r="M101">
        <f>August2026Primary_Tracking!I561</f>
        <v>1.17</v>
      </c>
      <c r="N101">
        <f>August2026Primary_Tracking!J561</f>
        <v>890</v>
      </c>
      <c r="O101" s="5">
        <f>August2026Primary_Tracking!K561</f>
        <v>0.24829999999999999</v>
      </c>
      <c r="P101" s="11">
        <f>August2026Primary_Tracking!L561</f>
        <v>6021</v>
      </c>
      <c r="Q101" s="13">
        <f>August2026Primary_Tracking!M561</f>
        <v>0.21525096525096524</v>
      </c>
      <c r="R101" s="6">
        <f>August2026Primary_Tracking!N561</f>
        <v>3.67</v>
      </c>
      <c r="S101" s="11">
        <f>August2026Primary_Tracking!O561</f>
        <v>1955</v>
      </c>
      <c r="T101" s="13">
        <f>August2026Primary_Tracking!P561</f>
        <v>0.29580874564987136</v>
      </c>
      <c r="U101" s="11">
        <f>August2026Primary_Tracking!Q561</f>
        <v>8024</v>
      </c>
      <c r="V101" s="13">
        <f>August2026Primary_Tracking!R561</f>
        <v>0.23249884098284654</v>
      </c>
      <c r="W101" s="6">
        <f>August2026Primary_Tracking!S561</f>
        <v>5.39</v>
      </c>
      <c r="X101" s="11">
        <f>August2026Primary_Tracking!T561</f>
        <v>2003</v>
      </c>
      <c r="Y101" s="13">
        <f>August2026Primary_Tracking!U561</f>
        <v>0.30626911314984712</v>
      </c>
      <c r="Z101" s="11">
        <f>August2026Primary_Tracking!V561</f>
        <v>8735</v>
      </c>
      <c r="AA101" s="13">
        <f>August2026Primary_Tracking!W561</f>
        <v>0.23392517607991217</v>
      </c>
      <c r="AB101" s="16">
        <f>August2026Primary_Tracking!X561</f>
        <v>5.53</v>
      </c>
      <c r="AC101" s="11">
        <f>August2026Primary_Tracking!Y561</f>
        <v>711</v>
      </c>
      <c r="AD101" s="13">
        <f>August2026Primary_Tracking!Z561</f>
        <v>0.25132555673382823</v>
      </c>
      <c r="AE101" s="11">
        <f>August2026Primary_Tracking!AA561</f>
        <v>8818</v>
      </c>
      <c r="AF101" s="13">
        <f>August2026Primary_Tracking!AB561</f>
        <v>0.23443398734513746</v>
      </c>
      <c r="AG101" s="16">
        <f>August2026Primary_Tracking!AC561</f>
        <v>5.58</v>
      </c>
      <c r="AH101" s="11">
        <f>August2026Primary_Tracking!AD561</f>
        <v>83</v>
      </c>
      <c r="AI101" s="13">
        <f>August2026Primary_Tracking!AE561</f>
        <v>0.304029304029304</v>
      </c>
      <c r="AJ101" s="11">
        <f>August2026Primary_Tracking!AF561</f>
        <v>8990</v>
      </c>
      <c r="AK101" s="13">
        <f>August2026Primary_Tracking!AG561</f>
        <v>0.23548209655027896</v>
      </c>
      <c r="AL101" s="16">
        <f>August2026Primary_Tracking!AH561</f>
        <v>5.69</v>
      </c>
      <c r="AM101" s="11">
        <f>August2026Primary_Tracking!AI561</f>
        <v>172</v>
      </c>
      <c r="AN101" s="13">
        <f>August2026Primary_Tracking!AJ561</f>
        <v>0.30550621669626998</v>
      </c>
    </row>
    <row r="102" spans="1:40" x14ac:dyDescent="0.3">
      <c r="A102" t="s">
        <v>389</v>
      </c>
      <c r="B102" t="s">
        <v>9</v>
      </c>
      <c r="C102" s="26">
        <f t="shared" si="24"/>
        <v>3638</v>
      </c>
      <c r="D102" s="1">
        <f t="shared" si="25"/>
        <v>9.5292977447154051E-2</v>
      </c>
      <c r="E102">
        <f>August2026Primary_Tracking!E562</f>
        <v>1911</v>
      </c>
      <c r="F102" s="5">
        <f>August2026Primary_Tracking!F562</f>
        <v>0.1075</v>
      </c>
      <c r="G102" s="13">
        <f t="shared" si="18"/>
        <v>0.52528862012094557</v>
      </c>
      <c r="H102" s="28">
        <f t="shared" si="19"/>
        <v>1727</v>
      </c>
      <c r="I102" s="5">
        <f t="shared" si="30"/>
        <v>8.2746394518710173E-2</v>
      </c>
      <c r="J102" s="5">
        <f t="shared" si="28"/>
        <v>-2.4753605481289825E-2</v>
      </c>
      <c r="K102">
        <f>August2026Primary_Tracking!G562</f>
        <v>2207</v>
      </c>
      <c r="L102" s="5">
        <f>August2026Primary_Tracking!H562</f>
        <v>0.1033</v>
      </c>
      <c r="M102">
        <f>August2026Primary_Tracking!I562</f>
        <v>-0.42</v>
      </c>
      <c r="N102">
        <f>August2026Primary_Tracking!J562</f>
        <v>296</v>
      </c>
      <c r="O102" s="5">
        <f>August2026Primary_Tracking!K562</f>
        <v>8.2599999999999993E-2</v>
      </c>
      <c r="P102" s="11">
        <f>August2026Primary_Tracking!L562</f>
        <v>2793</v>
      </c>
      <c r="Q102" s="13">
        <f>August2026Primary_Tracking!M562</f>
        <v>9.9849849849849848E-2</v>
      </c>
      <c r="R102" s="6">
        <f>August2026Primary_Tracking!N562</f>
        <v>-0.77</v>
      </c>
      <c r="S102" s="11">
        <f>August2026Primary_Tracking!O562</f>
        <v>586</v>
      </c>
      <c r="T102" s="13">
        <f>August2026Primary_Tracking!P562</f>
        <v>8.8666969284309269E-2</v>
      </c>
      <c r="U102" s="11">
        <f>August2026Primary_Tracking!Q562</f>
        <v>3242</v>
      </c>
      <c r="V102" s="13">
        <f>August2026Primary_Tracking!R562</f>
        <v>9.3938340287436251E-2</v>
      </c>
      <c r="W102" s="6">
        <f>August2026Primary_Tracking!S562</f>
        <v>-1.36</v>
      </c>
      <c r="X102" s="11">
        <f>August2026Primary_Tracking!T562</f>
        <v>449</v>
      </c>
      <c r="Y102" s="13">
        <f>August2026Primary_Tracking!U562</f>
        <v>6.8654434250764521E-2</v>
      </c>
      <c r="Z102" s="11">
        <f>August2026Primary_Tracking!V562</f>
        <v>3571</v>
      </c>
      <c r="AA102" s="13">
        <f>August2026Primary_Tracking!W562</f>
        <v>9.5632146969818699E-2</v>
      </c>
      <c r="AB102" s="16">
        <f>August2026Primary_Tracking!X562</f>
        <v>-1.19</v>
      </c>
      <c r="AC102" s="11">
        <f>August2026Primary_Tracking!Y562</f>
        <v>329</v>
      </c>
      <c r="AD102" s="13">
        <f>August2026Primary_Tracking!Z562</f>
        <v>0.11629551078119477</v>
      </c>
      <c r="AE102" s="11">
        <f>August2026Primary_Tracking!AA562</f>
        <v>3595</v>
      </c>
      <c r="AF102" s="13">
        <f>August2026Primary_Tracking!AB562</f>
        <v>9.5576115276226933E-2</v>
      </c>
      <c r="AG102" s="16">
        <f>August2026Primary_Tracking!AC562</f>
        <v>-1.19</v>
      </c>
      <c r="AH102" s="11">
        <f>August2026Primary_Tracking!AD562</f>
        <v>24</v>
      </c>
      <c r="AI102" s="13">
        <f>August2026Primary_Tracking!AE562</f>
        <v>8.7912087912087919E-2</v>
      </c>
      <c r="AJ102" s="11">
        <f>August2026Primary_Tracking!AF562</f>
        <v>3638</v>
      </c>
      <c r="AK102" s="13">
        <f>August2026Primary_Tracking!AG562</f>
        <v>9.5292977447154051E-2</v>
      </c>
      <c r="AL102" s="16">
        <f>August2026Primary_Tracking!AH562</f>
        <v>-1.22</v>
      </c>
      <c r="AM102" s="11">
        <f>August2026Primary_Tracking!AI562</f>
        <v>43</v>
      </c>
      <c r="AN102" s="13">
        <f>August2026Primary_Tracking!AJ562</f>
        <v>7.6376554174067496E-2</v>
      </c>
    </row>
    <row r="103" spans="1:40" s="2" customFormat="1" x14ac:dyDescent="0.3">
      <c r="A103" s="2" t="s">
        <v>390</v>
      </c>
      <c r="B103" s="2" t="s">
        <v>298</v>
      </c>
      <c r="C103" s="25">
        <f t="shared" si="24"/>
        <v>46753</v>
      </c>
      <c r="D103" s="3">
        <f t="shared" si="25"/>
        <v>0</v>
      </c>
      <c r="E103" s="2">
        <f>August2026Primary_Tracking!E587</f>
        <v>20986</v>
      </c>
      <c r="F103" s="4" t="str">
        <f>August2026Primary_Tracking!F587</f>
        <v/>
      </c>
      <c r="G103" s="4">
        <f t="shared" si="18"/>
        <v>0.44886959125617609</v>
      </c>
      <c r="H103" s="27">
        <f t="shared" si="19"/>
        <v>25767</v>
      </c>
      <c r="I103" s="4"/>
      <c r="J103" s="5"/>
      <c r="K103" s="2">
        <f>August2026Primary_Tracking!G587</f>
        <v>26444</v>
      </c>
      <c r="L103" s="4" t="str">
        <f>August2026Primary_Tracking!H587</f>
        <v/>
      </c>
      <c r="M103" s="2" t="str">
        <f>August2026Primary_Tracking!I587</f>
        <v/>
      </c>
      <c r="N103" s="2">
        <f>August2026Primary_Tracking!J587</f>
        <v>5458</v>
      </c>
      <c r="O103" s="4" t="str">
        <f>August2026Primary_Tracking!K587</f>
        <v/>
      </c>
      <c r="P103" s="7">
        <f>August2026Primary_Tracking!L587</f>
        <v>33601</v>
      </c>
      <c r="Q103" s="4" t="str">
        <f>August2026Primary_Tracking!M587</f>
        <v/>
      </c>
      <c r="R103" s="29" t="str">
        <f>August2026Primary_Tracking!N587</f>
        <v/>
      </c>
      <c r="S103" s="7">
        <f>August2026Primary_Tracking!O587</f>
        <v>7157</v>
      </c>
      <c r="T103" s="4" t="str">
        <f>August2026Primary_Tracking!P587</f>
        <v/>
      </c>
      <c r="U103" s="7">
        <f>August2026Primary_Tracking!Q587</f>
        <v>44176</v>
      </c>
      <c r="V103" s="4" t="str">
        <f>August2026Primary_Tracking!R587</f>
        <v/>
      </c>
      <c r="W103" s="29" t="str">
        <f>August2026Primary_Tracking!S587</f>
        <v/>
      </c>
      <c r="X103" s="7">
        <f>August2026Primary_Tracking!T587</f>
        <v>10575</v>
      </c>
      <c r="Y103" s="4" t="str">
        <f>August2026Primary_Tracking!U587</f>
        <v/>
      </c>
      <c r="Z103" s="7">
        <f>August2026Primary_Tracking!V587</f>
        <v>46132</v>
      </c>
      <c r="AA103" s="4">
        <f>August2026Primary_Tracking!W587</f>
        <v>0</v>
      </c>
      <c r="AB103" s="30">
        <f>August2026Primary_Tracking!X587</f>
        <v>0</v>
      </c>
      <c r="AC103" s="7">
        <f>August2026Primary_Tracking!Y587</f>
        <v>1956</v>
      </c>
      <c r="AD103" s="4">
        <f>August2026Primary_Tracking!Z587</f>
        <v>0</v>
      </c>
      <c r="AE103" s="7">
        <f>August2026Primary_Tracking!AA587</f>
        <v>46269</v>
      </c>
      <c r="AF103" s="4">
        <f>August2026Primary_Tracking!AB587</f>
        <v>0</v>
      </c>
      <c r="AG103" s="30">
        <f>August2026Primary_Tracking!AC587</f>
        <v>0</v>
      </c>
      <c r="AH103" s="7">
        <f>August2026Primary_Tracking!AD587</f>
        <v>137</v>
      </c>
      <c r="AI103" s="4">
        <f>August2026Primary_Tracking!AE587</f>
        <v>0</v>
      </c>
      <c r="AJ103" s="7">
        <f>August2026Primary_Tracking!AF587</f>
        <v>46753</v>
      </c>
      <c r="AK103" s="4">
        <f>August2026Primary_Tracking!AG587</f>
        <v>0</v>
      </c>
      <c r="AL103" s="30">
        <f>August2026Primary_Tracking!AH587</f>
        <v>0</v>
      </c>
      <c r="AM103" s="7">
        <f>August2026Primary_Tracking!AI587</f>
        <v>484</v>
      </c>
      <c r="AN103" s="4">
        <f>August2026Primary_Tracking!AJ587</f>
        <v>0</v>
      </c>
    </row>
    <row r="104" spans="1:40" x14ac:dyDescent="0.3">
      <c r="A104" t="s">
        <v>391</v>
      </c>
      <c r="B104" t="s">
        <v>8</v>
      </c>
      <c r="C104" s="26">
        <f t="shared" si="24"/>
        <v>22807</v>
      </c>
      <c r="D104" s="1">
        <f t="shared" si="25"/>
        <v>0.51593711118651742</v>
      </c>
      <c r="E104">
        <f>August2026Primary_Tracking!E588</f>
        <v>10687</v>
      </c>
      <c r="F104" s="5">
        <f>August2026Primary_Tracking!F588</f>
        <v>0.54339999999999999</v>
      </c>
      <c r="G104" s="13">
        <f t="shared" si="18"/>
        <v>0.46858420660323585</v>
      </c>
      <c r="H104" s="28">
        <f t="shared" si="19"/>
        <v>12120</v>
      </c>
      <c r="I104" s="5">
        <f>H104/H$103</f>
        <v>0.47036907672604494</v>
      </c>
      <c r="J104" s="5">
        <f t="shared" si="28"/>
        <v>-7.3030923273955051E-2</v>
      </c>
      <c r="K104">
        <f>August2026Primary_Tracking!G588</f>
        <v>13358</v>
      </c>
      <c r="L104" s="5">
        <f>August2026Primary_Tracking!H588</f>
        <v>0.53839999999999999</v>
      </c>
      <c r="M104">
        <f>August2026Primary_Tracking!I588</f>
        <v>-0.5</v>
      </c>
      <c r="N104">
        <f>August2026Primary_Tracking!J588</f>
        <v>2671</v>
      </c>
      <c r="O104" s="5">
        <f>August2026Primary_Tracking!K588</f>
        <v>0.51910000000000001</v>
      </c>
      <c r="P104" s="11">
        <f>August2026Primary_Tracking!L588</f>
        <v>16675</v>
      </c>
      <c r="Q104" s="13">
        <f>August2026Primary_Tracking!M588</f>
        <v>0.52855965512869274</v>
      </c>
      <c r="R104" s="6">
        <f>August2026Primary_Tracking!N588</f>
        <v>-1.48</v>
      </c>
      <c r="S104" s="11">
        <f>August2026Primary_Tracking!O588</f>
        <v>3317</v>
      </c>
      <c r="T104" s="13">
        <f>August2026Primary_Tracking!P588</f>
        <v>0.49235564791450198</v>
      </c>
      <c r="U104" s="11">
        <f>August2026Primary_Tracking!Q588</f>
        <v>21619</v>
      </c>
      <c r="V104" s="13">
        <f>August2026Primary_Tracking!R588</f>
        <v>0.51979995672140611</v>
      </c>
      <c r="W104" s="6">
        <f>August2026Primary_Tracking!S588</f>
        <v>-2.36</v>
      </c>
      <c r="X104" s="11">
        <f>August2026Primary_Tracking!T588</f>
        <v>4944</v>
      </c>
      <c r="Y104" s="13">
        <f>August2026Primary_Tracking!U588</f>
        <v>0.49228318231604101</v>
      </c>
      <c r="Z104" s="11">
        <f>August2026Primary_Tracking!V588</f>
        <v>22500</v>
      </c>
      <c r="AA104" s="13">
        <f>August2026Primary_Tracking!W588</f>
        <v>0.51769361741291242</v>
      </c>
      <c r="AB104" s="16">
        <f>August2026Primary_Tracking!X588</f>
        <v>-2.57</v>
      </c>
      <c r="AC104" s="11">
        <f>August2026Primary_Tracking!Y588</f>
        <v>881</v>
      </c>
      <c r="AD104" s="13">
        <f>August2026Primary_Tracking!Z588</f>
        <v>0.47087119187600213</v>
      </c>
      <c r="AE104" s="11">
        <f>August2026Primary_Tracking!AA588</f>
        <v>22591</v>
      </c>
      <c r="AF104" s="13">
        <f>August2026Primary_Tracking!AB588</f>
        <v>0.51675549557380429</v>
      </c>
      <c r="AG104" s="16">
        <f>August2026Primary_Tracking!AC588</f>
        <v>-2.66</v>
      </c>
      <c r="AH104" s="11">
        <f>August2026Primary_Tracking!AD588</f>
        <v>91</v>
      </c>
      <c r="AI104" s="13">
        <f>August2026Primary_Tracking!AE588</f>
        <v>0.35686274509803922</v>
      </c>
      <c r="AJ104" s="11">
        <f>August2026Primary_Tracking!AF588</f>
        <v>22807</v>
      </c>
      <c r="AK104" s="13">
        <f>August2026Primary_Tracking!AG588</f>
        <v>0.51593711118651742</v>
      </c>
      <c r="AL104" s="16">
        <f>August2026Primary_Tracking!AH588</f>
        <v>-2.75</v>
      </c>
      <c r="AM104" s="11">
        <f>August2026Primary_Tracking!AI588</f>
        <v>216</v>
      </c>
      <c r="AN104" s="13">
        <f>August2026Primary_Tracking!AJ588</f>
        <v>0.44262295081967212</v>
      </c>
    </row>
    <row r="105" spans="1:40" x14ac:dyDescent="0.3">
      <c r="A105" t="s">
        <v>392</v>
      </c>
      <c r="B105" t="s">
        <v>8</v>
      </c>
      <c r="C105" s="26">
        <f t="shared" si="24"/>
        <v>13592</v>
      </c>
      <c r="D105" s="1">
        <f t="shared" si="25"/>
        <v>0.30747652980432078</v>
      </c>
      <c r="E105">
        <f>August2026Primary_Tracking!E589</f>
        <v>6089</v>
      </c>
      <c r="F105" s="5">
        <f>August2026Primary_Tracking!F589</f>
        <v>0.30959999999999999</v>
      </c>
      <c r="G105" s="13">
        <f t="shared" si="18"/>
        <v>0.44798410829899943</v>
      </c>
      <c r="H105" s="28">
        <f t="shared" si="19"/>
        <v>7503</v>
      </c>
      <c r="I105" s="5">
        <f t="shared" ref="I105:I106" si="31">H105/H$103</f>
        <v>0.2911864012108511</v>
      </c>
      <c r="J105" s="5">
        <f t="shared" si="28"/>
        <v>-1.8413598789148888E-2</v>
      </c>
      <c r="K105">
        <f>August2026Primary_Tracking!G589</f>
        <v>7689</v>
      </c>
      <c r="L105" s="5">
        <f>August2026Primary_Tracking!H589</f>
        <v>0.30990000000000001</v>
      </c>
      <c r="M105">
        <f>August2026Primary_Tracking!I589</f>
        <v>0.03</v>
      </c>
      <c r="N105">
        <f>August2026Primary_Tracking!J589</f>
        <v>1600</v>
      </c>
      <c r="O105" s="5">
        <f>August2026Primary_Tracking!K589</f>
        <v>0.311</v>
      </c>
      <c r="P105" s="11">
        <f>August2026Primary_Tracking!L589</f>
        <v>9728</v>
      </c>
      <c r="Q105" s="13">
        <f>August2026Primary_Tracking!M589</f>
        <v>0.30835552174464309</v>
      </c>
      <c r="R105" s="6">
        <f>August2026Primary_Tracking!N589</f>
        <v>-0.12</v>
      </c>
      <c r="S105" s="11">
        <f>August2026Primary_Tracking!O589</f>
        <v>2039</v>
      </c>
      <c r="T105" s="13">
        <f>August2026Primary_Tracking!P589</f>
        <v>0.30265696897728961</v>
      </c>
      <c r="U105" s="11">
        <f>August2026Primary_Tracking!Q589</f>
        <v>12765</v>
      </c>
      <c r="V105" s="13">
        <f>August2026Primary_Tracking!R589</f>
        <v>0.30691736192926355</v>
      </c>
      <c r="W105" s="6">
        <f>August2026Primary_Tracking!S589</f>
        <v>-0.27</v>
      </c>
      <c r="X105" s="11">
        <f>August2026Primary_Tracking!T589</f>
        <v>3037</v>
      </c>
      <c r="Y105" s="13">
        <f>August2026Primary_Tracking!U589</f>
        <v>0.30239968137010853</v>
      </c>
      <c r="Z105" s="11">
        <f>August2026Primary_Tracking!V589</f>
        <v>13360</v>
      </c>
      <c r="AA105" s="13">
        <f>August2026Primary_Tracking!W589</f>
        <v>0.30739496571717823</v>
      </c>
      <c r="AB105" s="16">
        <f>August2026Primary_Tracking!X589</f>
        <v>-0.22</v>
      </c>
      <c r="AC105" s="11">
        <f>August2026Primary_Tracking!Y589</f>
        <v>595</v>
      </c>
      <c r="AD105" s="13">
        <f>August2026Primary_Tracking!Z589</f>
        <v>0.31801175841795831</v>
      </c>
      <c r="AE105" s="11">
        <f>August2026Primary_Tracking!AA589</f>
        <v>13446</v>
      </c>
      <c r="AF105" s="13">
        <f>August2026Primary_Tracking!AB589</f>
        <v>0.30756913786398882</v>
      </c>
      <c r="AG105" s="16">
        <f>August2026Primary_Tracking!AC589</f>
        <v>-0.2</v>
      </c>
      <c r="AH105" s="11">
        <f>August2026Primary_Tracking!AD589</f>
        <v>86</v>
      </c>
      <c r="AI105" s="13">
        <f>August2026Primary_Tracking!AE589</f>
        <v>0.33725490196078434</v>
      </c>
      <c r="AJ105" s="11">
        <f>August2026Primary_Tracking!AF589</f>
        <v>13592</v>
      </c>
      <c r="AK105" s="13">
        <f>August2026Primary_Tracking!AG589</f>
        <v>0.30747652980432078</v>
      </c>
      <c r="AL105" s="16">
        <f>August2026Primary_Tracking!AH589</f>
        <v>-0.21</v>
      </c>
      <c r="AM105" s="11">
        <f>August2026Primary_Tracking!AI589</f>
        <v>146</v>
      </c>
      <c r="AN105" s="13">
        <f>August2026Primary_Tracking!AJ589</f>
        <v>0.29918032786885246</v>
      </c>
    </row>
    <row r="106" spans="1:40" x14ac:dyDescent="0.3">
      <c r="A106" t="s">
        <v>393</v>
      </c>
      <c r="B106" t="s">
        <v>282</v>
      </c>
      <c r="C106" s="26">
        <f t="shared" si="24"/>
        <v>7441</v>
      </c>
      <c r="D106" s="1">
        <f t="shared" si="25"/>
        <v>0.16832937450514648</v>
      </c>
      <c r="E106">
        <f>August2026Primary_Tracking!E590</f>
        <v>2692</v>
      </c>
      <c r="F106" s="5">
        <f>August2026Primary_Tracking!F590</f>
        <v>0.13689999999999999</v>
      </c>
      <c r="G106" s="13">
        <f t="shared" si="18"/>
        <v>0.36177933073511626</v>
      </c>
      <c r="H106" s="28">
        <f t="shared" si="19"/>
        <v>4749</v>
      </c>
      <c r="I106" s="5">
        <f t="shared" si="31"/>
        <v>0.18430550704389334</v>
      </c>
      <c r="J106" s="5">
        <f t="shared" si="28"/>
        <v>4.7405507043893347E-2</v>
      </c>
      <c r="K106">
        <f>August2026Primary_Tracking!G590</f>
        <v>3514</v>
      </c>
      <c r="L106" s="5">
        <f>August2026Primary_Tracking!H590</f>
        <v>0.1416</v>
      </c>
      <c r="M106">
        <f>August2026Primary_Tracking!I590</f>
        <v>0.47</v>
      </c>
      <c r="N106">
        <f>August2026Primary_Tracking!J590</f>
        <v>822</v>
      </c>
      <c r="O106" s="5">
        <f>August2026Primary_Tracking!K590</f>
        <v>0.1598</v>
      </c>
      <c r="P106" s="11">
        <f>August2026Primary_Tracking!L590</f>
        <v>4825</v>
      </c>
      <c r="Q106" s="13">
        <f>August2026Primary_Tracking!M590</f>
        <v>0.15294154938506402</v>
      </c>
      <c r="R106" s="6">
        <f>August2026Primary_Tracking!N590</f>
        <v>1.6</v>
      </c>
      <c r="S106" s="11">
        <f>August2026Primary_Tracking!O590</f>
        <v>1311</v>
      </c>
      <c r="T106" s="13">
        <f>August2026Primary_Tracking!P590</f>
        <v>0.19459700163277424</v>
      </c>
      <c r="U106" s="11">
        <f>August2026Primary_Tracking!Q590</f>
        <v>6819</v>
      </c>
      <c r="V106" s="13">
        <f>August2026Primary_Tracking!R590</f>
        <v>0.16395373999182516</v>
      </c>
      <c r="W106" s="6">
        <f>August2026Primary_Tracking!S590</f>
        <v>2.71</v>
      </c>
      <c r="X106" s="11">
        <f>August2026Primary_Tracking!T590</f>
        <v>1994</v>
      </c>
      <c r="Y106" s="13">
        <f>August2026Primary_Tracking!U590</f>
        <v>0.1985462511201832</v>
      </c>
      <c r="Z106" s="11">
        <f>August2026Primary_Tracking!V590</f>
        <v>7247</v>
      </c>
      <c r="AA106" s="13">
        <f>August2026Primary_Tracking!W590</f>
        <v>0.16674336201739451</v>
      </c>
      <c r="AB106" s="16">
        <f>August2026Primary_Tracking!X590</f>
        <v>2.98</v>
      </c>
      <c r="AC106" s="11">
        <f>August2026Primary_Tracking!Y590</f>
        <v>428</v>
      </c>
      <c r="AD106" s="13">
        <f>August2026Primary_Tracking!Z590</f>
        <v>0.22875467664350616</v>
      </c>
      <c r="AE106" s="11">
        <f>August2026Primary_Tracking!AA590</f>
        <v>7320</v>
      </c>
      <c r="AF106" s="13">
        <f>August2026Primary_Tracking!AB590</f>
        <v>0.16744058375460347</v>
      </c>
      <c r="AG106" s="16">
        <f>August2026Primary_Tracking!AC590</f>
        <v>3.05</v>
      </c>
      <c r="AH106" s="11">
        <f>August2026Primary_Tracking!AD590</f>
        <v>73</v>
      </c>
      <c r="AI106" s="13">
        <f>August2026Primary_Tracking!AE590</f>
        <v>0.28627450980392155</v>
      </c>
      <c r="AJ106" s="11">
        <f>August2026Primary_Tracking!AF590</f>
        <v>7441</v>
      </c>
      <c r="AK106" s="13">
        <f>August2026Primary_Tracking!AG590</f>
        <v>0.16832937450514648</v>
      </c>
      <c r="AL106" s="16">
        <f>August2026Primary_Tracking!AH590</f>
        <v>3.14</v>
      </c>
      <c r="AM106" s="11">
        <f>August2026Primary_Tracking!AI590</f>
        <v>121</v>
      </c>
      <c r="AN106" s="13">
        <f>August2026Primary_Tracking!AJ590</f>
        <v>0.24795081967213115</v>
      </c>
    </row>
    <row r="107" spans="1:40" s="2" customFormat="1" x14ac:dyDescent="0.3">
      <c r="A107" s="2" t="s">
        <v>394</v>
      </c>
      <c r="B107" s="2" t="s">
        <v>298</v>
      </c>
      <c r="C107" s="25">
        <f t="shared" si="24"/>
        <v>29652</v>
      </c>
      <c r="D107" s="3">
        <f t="shared" si="25"/>
        <v>0</v>
      </c>
      <c r="E107" s="2">
        <f>August2026Primary_Tracking!E600</f>
        <v>15327</v>
      </c>
      <c r="F107" s="4" t="str">
        <f>August2026Primary_Tracking!F600</f>
        <v/>
      </c>
      <c r="G107" s="4">
        <f t="shared" si="18"/>
        <v>0.51689599352488869</v>
      </c>
      <c r="H107" s="27">
        <f t="shared" si="19"/>
        <v>14325</v>
      </c>
      <c r="I107" s="4"/>
      <c r="J107" s="5"/>
      <c r="K107" s="2">
        <f>August2026Primary_Tracking!G600</f>
        <v>19813</v>
      </c>
      <c r="L107" s="4" t="str">
        <f>August2026Primary_Tracking!H600</f>
        <v/>
      </c>
      <c r="M107" s="2" t="str">
        <f>August2026Primary_Tracking!I600</f>
        <v/>
      </c>
      <c r="N107" s="2">
        <f>August2026Primary_Tracking!J600</f>
        <v>4486</v>
      </c>
      <c r="O107" s="4" t="str">
        <f>August2026Primary_Tracking!K600</f>
        <v/>
      </c>
      <c r="P107" s="7">
        <f>August2026Primary_Tracking!L600</f>
        <v>22096</v>
      </c>
      <c r="Q107" s="4" t="str">
        <f>August2026Primary_Tracking!M600</f>
        <v/>
      </c>
      <c r="R107" s="29" t="str">
        <f>August2026Primary_Tracking!N600</f>
        <v/>
      </c>
      <c r="S107" s="7">
        <f>August2026Primary_Tracking!O600</f>
        <v>2283</v>
      </c>
      <c r="T107" s="4" t="str">
        <f>August2026Primary_Tracking!P600</f>
        <v/>
      </c>
      <c r="U107" s="7">
        <f>August2026Primary_Tracking!Q600</f>
        <v>26447</v>
      </c>
      <c r="V107" s="4" t="str">
        <f>August2026Primary_Tracking!R600</f>
        <v/>
      </c>
      <c r="W107" s="29" t="str">
        <f>August2026Primary_Tracking!S600</f>
        <v/>
      </c>
      <c r="X107" s="7">
        <f>August2026Primary_Tracking!T600</f>
        <v>4351</v>
      </c>
      <c r="Y107" s="4" t="str">
        <f>August2026Primary_Tracking!U600</f>
        <v/>
      </c>
      <c r="Z107" s="7">
        <f>August2026Primary_Tracking!V600</f>
        <v>29446</v>
      </c>
      <c r="AA107" s="4">
        <f>August2026Primary_Tracking!W600</f>
        <v>0</v>
      </c>
      <c r="AB107" s="30">
        <f>August2026Primary_Tracking!X600</f>
        <v>0</v>
      </c>
      <c r="AC107" s="7">
        <f>August2026Primary_Tracking!Y600</f>
        <v>2999</v>
      </c>
      <c r="AD107" s="4">
        <f>August2026Primary_Tracking!Z600</f>
        <v>0</v>
      </c>
      <c r="AE107" s="7">
        <f>August2026Primary_Tracking!AA600</f>
        <v>29509</v>
      </c>
      <c r="AF107" s="4">
        <f>August2026Primary_Tracking!AB600</f>
        <v>0</v>
      </c>
      <c r="AG107" s="30">
        <f>August2026Primary_Tracking!AC600</f>
        <v>0</v>
      </c>
      <c r="AH107" s="7">
        <f>August2026Primary_Tracking!AD600</f>
        <v>63</v>
      </c>
      <c r="AI107" s="4">
        <f>August2026Primary_Tracking!AE600</f>
        <v>0</v>
      </c>
      <c r="AJ107" s="7">
        <f>August2026Primary_Tracking!AF600</f>
        <v>29652</v>
      </c>
      <c r="AK107" s="4">
        <f>August2026Primary_Tracking!AG600</f>
        <v>0</v>
      </c>
      <c r="AL107" s="30">
        <f>August2026Primary_Tracking!AH600</f>
        <v>0</v>
      </c>
      <c r="AM107" s="7">
        <f>August2026Primary_Tracking!AI600</f>
        <v>143</v>
      </c>
      <c r="AN107" s="4">
        <f>August2026Primary_Tracking!AJ600</f>
        <v>0</v>
      </c>
    </row>
    <row r="108" spans="1:40" x14ac:dyDescent="0.3">
      <c r="A108" t="s">
        <v>395</v>
      </c>
      <c r="B108" t="s">
        <v>8</v>
      </c>
      <c r="C108" s="26">
        <f t="shared" si="24"/>
        <v>10619</v>
      </c>
      <c r="D108" s="1">
        <f t="shared" si="25"/>
        <v>0.37941260540231525</v>
      </c>
      <c r="E108">
        <f>August2026Primary_Tracking!E601</f>
        <v>5560</v>
      </c>
      <c r="F108" s="5">
        <f>August2026Primary_Tracking!F601</f>
        <v>0.38539999999999996</v>
      </c>
      <c r="G108" s="13">
        <f t="shared" si="18"/>
        <v>0.52358979188247479</v>
      </c>
      <c r="H108" s="28">
        <f t="shared" si="19"/>
        <v>5059</v>
      </c>
      <c r="I108" s="5">
        <f>H108/H$107</f>
        <v>0.35315881326352533</v>
      </c>
      <c r="J108" s="5">
        <f t="shared" si="28"/>
        <v>-3.2241186736474636E-2</v>
      </c>
      <c r="K108">
        <f>August2026Primary_Tracking!G601</f>
        <v>7161</v>
      </c>
      <c r="L108" s="5">
        <f>August2026Primary_Tracking!H601</f>
        <v>0.38299999999999995</v>
      </c>
      <c r="M108">
        <f>August2026Primary_Tracking!I601</f>
        <v>-0.24</v>
      </c>
      <c r="N108">
        <f>August2026Primary_Tracking!J601</f>
        <v>1601</v>
      </c>
      <c r="O108" s="5">
        <f>August2026Primary_Tracking!K601</f>
        <v>0.375</v>
      </c>
      <c r="P108" s="11">
        <f>August2026Primary_Tracking!L601</f>
        <v>7926</v>
      </c>
      <c r="Q108" s="13">
        <f>August2026Primary_Tracking!M601</f>
        <v>0.38007096959815861</v>
      </c>
      <c r="R108" s="6">
        <f>August2026Primary_Tracking!N601</f>
        <v>-0.53</v>
      </c>
      <c r="S108" s="11">
        <f>August2026Primary_Tracking!O601</f>
        <v>765</v>
      </c>
      <c r="T108" s="13">
        <f>August2026Primary_Tracking!P601</f>
        <v>0.35449490268767375</v>
      </c>
      <c r="U108" s="11">
        <f>August2026Primary_Tracking!Q601</f>
        <v>9447</v>
      </c>
      <c r="V108" s="13">
        <f>August2026Primary_Tracking!R601</f>
        <v>0.37836430631207946</v>
      </c>
      <c r="W108" s="6">
        <f>August2026Primary_Tracking!S601</f>
        <v>-0.7</v>
      </c>
      <c r="X108" s="11">
        <f>August2026Primary_Tracking!T601</f>
        <v>1521</v>
      </c>
      <c r="Y108" s="13">
        <f>August2026Primary_Tracking!U601</f>
        <v>0.36971317452600877</v>
      </c>
      <c r="Z108" s="11">
        <f>August2026Primary_Tracking!V601</f>
        <v>10526</v>
      </c>
      <c r="AA108" s="13">
        <f>August2026Primary_Tracking!W601</f>
        <v>0.37927431268691675</v>
      </c>
      <c r="AB108" s="16">
        <f>August2026Primary_Tracking!X601</f>
        <v>-0.61</v>
      </c>
      <c r="AC108" s="11">
        <f>August2026Primary_Tracking!Y601</f>
        <v>1079</v>
      </c>
      <c r="AD108" s="13">
        <f>August2026Primary_Tracking!Z601</f>
        <v>0.38743267504488332</v>
      </c>
      <c r="AE108" s="11">
        <f>August2026Primary_Tracking!AA601</f>
        <v>10551</v>
      </c>
      <c r="AF108" s="13">
        <f>August2026Primary_Tracking!AB601</f>
        <v>0.37897345641320357</v>
      </c>
      <c r="AG108" s="16">
        <f>August2026Primary_Tracking!AC601</f>
        <v>-0.64</v>
      </c>
      <c r="AH108" s="11">
        <f>August2026Primary_Tracking!AD601</f>
        <v>25</v>
      </c>
      <c r="AI108" s="13">
        <f>August2026Primary_Tracking!AE601</f>
        <v>0.28409090909090912</v>
      </c>
      <c r="AJ108" s="11">
        <f>August2026Primary_Tracking!AF601</f>
        <v>10619</v>
      </c>
      <c r="AK108" s="13">
        <f>August2026Primary_Tracking!AG601</f>
        <v>0.37941260540231525</v>
      </c>
      <c r="AL108" s="16">
        <f>August2026Primary_Tracking!AH601</f>
        <v>-0.6</v>
      </c>
      <c r="AM108" s="11">
        <f>August2026Primary_Tracking!AI601</f>
        <v>68</v>
      </c>
      <c r="AN108" s="13">
        <f>August2026Primary_Tracking!AJ601</f>
        <v>0.46258503401360546</v>
      </c>
    </row>
    <row r="109" spans="1:40" x14ac:dyDescent="0.3">
      <c r="A109" t="s">
        <v>396</v>
      </c>
      <c r="B109" t="s">
        <v>11</v>
      </c>
      <c r="C109" s="26">
        <f t="shared" si="24"/>
        <v>8361</v>
      </c>
      <c r="D109" s="1">
        <f t="shared" si="25"/>
        <v>0.29873517221666429</v>
      </c>
      <c r="E109">
        <f>August2026Primary_Tracking!E602</f>
        <v>4346</v>
      </c>
      <c r="F109" s="5">
        <f>August2026Primary_Tracking!F602</f>
        <v>0.30120000000000002</v>
      </c>
      <c r="G109" s="13">
        <f t="shared" si="18"/>
        <v>0.51979428298050467</v>
      </c>
      <c r="H109" s="28">
        <f t="shared" si="19"/>
        <v>4015</v>
      </c>
      <c r="I109" s="5">
        <f t="shared" ref="I109:I111" si="32">H109/H$107</f>
        <v>0.28027923211169287</v>
      </c>
      <c r="J109" s="5">
        <f t="shared" si="28"/>
        <v>-2.0920767888307157E-2</v>
      </c>
      <c r="K109">
        <f>August2026Primary_Tracking!G602</f>
        <v>5643</v>
      </c>
      <c r="L109" s="5">
        <f>August2026Primary_Tracking!H602</f>
        <v>0.30180000000000001</v>
      </c>
      <c r="M109">
        <f>August2026Primary_Tracking!I602</f>
        <v>0.06</v>
      </c>
      <c r="N109">
        <f>August2026Primary_Tracking!J602</f>
        <v>1297</v>
      </c>
      <c r="O109" s="5">
        <f>August2026Primary_Tracking!K602</f>
        <v>0.30380000000000001</v>
      </c>
      <c r="P109" s="11">
        <f>August2026Primary_Tracking!L602</f>
        <v>6368</v>
      </c>
      <c r="Q109" s="13">
        <f>August2026Primary_Tracking!M602</f>
        <v>0.30536108180684762</v>
      </c>
      <c r="R109" s="6">
        <f>August2026Primary_Tracking!N602</f>
        <v>0.42</v>
      </c>
      <c r="S109" s="11">
        <f>August2026Primary_Tracking!O602</f>
        <v>725</v>
      </c>
      <c r="T109" s="13">
        <f>August2026Primary_Tracking!P602</f>
        <v>0.33595922150139018</v>
      </c>
      <c r="U109" s="11">
        <f>August2026Primary_Tracking!Q602</f>
        <v>7504</v>
      </c>
      <c r="V109" s="13">
        <f>August2026Primary_Tracking!R602</f>
        <v>0.30054469721243193</v>
      </c>
      <c r="W109" s="6">
        <f>August2026Primary_Tracking!S602</f>
        <v>-7.0000000000000007E-2</v>
      </c>
      <c r="X109" s="11">
        <f>August2026Primary_Tracking!T602</f>
        <v>1136</v>
      </c>
      <c r="Y109" s="13">
        <f>August2026Primary_Tracking!U602</f>
        <v>0.27613028682547397</v>
      </c>
      <c r="Z109" s="11">
        <f>August2026Primary_Tracking!V602</f>
        <v>8308</v>
      </c>
      <c r="AA109" s="13">
        <f>August2026Primary_Tracking!W602</f>
        <v>0.29935502468201636</v>
      </c>
      <c r="AB109" s="16">
        <f>August2026Primary_Tracking!X602</f>
        <v>-0.18</v>
      </c>
      <c r="AC109" s="11">
        <f>August2026Primary_Tracking!Y602</f>
        <v>804</v>
      </c>
      <c r="AD109" s="13">
        <f>August2026Primary_Tracking!Z602</f>
        <v>0.28868940754039496</v>
      </c>
      <c r="AE109" s="11">
        <f>August2026Primary_Tracking!AA602</f>
        <v>8338</v>
      </c>
      <c r="AF109" s="13">
        <f>August2026Primary_Tracking!AB602</f>
        <v>0.29948636902410114</v>
      </c>
      <c r="AG109" s="16">
        <f>August2026Primary_Tracking!AC602</f>
        <v>-0.17</v>
      </c>
      <c r="AH109" s="11">
        <f>August2026Primary_Tracking!AD602</f>
        <v>30</v>
      </c>
      <c r="AI109" s="13">
        <f>August2026Primary_Tracking!AE602</f>
        <v>0.34090909090909088</v>
      </c>
      <c r="AJ109" s="11">
        <f>August2026Primary_Tracking!AF602</f>
        <v>8361</v>
      </c>
      <c r="AK109" s="13">
        <f>August2026Primary_Tracking!AG602</f>
        <v>0.29873517221666429</v>
      </c>
      <c r="AL109" s="16">
        <f>August2026Primary_Tracking!AH602</f>
        <v>-0.25</v>
      </c>
      <c r="AM109" s="11">
        <f>August2026Primary_Tracking!AI602</f>
        <v>23</v>
      </c>
      <c r="AN109" s="13">
        <f>August2026Primary_Tracking!AJ602</f>
        <v>0.15646258503401361</v>
      </c>
    </row>
    <row r="110" spans="1:40" x14ac:dyDescent="0.3">
      <c r="A110" t="s">
        <v>397</v>
      </c>
      <c r="B110" t="s">
        <v>8</v>
      </c>
      <c r="C110" s="26">
        <f t="shared" si="24"/>
        <v>5647</v>
      </c>
      <c r="D110" s="1">
        <f t="shared" si="25"/>
        <v>0.20176504216092611</v>
      </c>
      <c r="E110">
        <f>August2026Primary_Tracking!E603</f>
        <v>2742</v>
      </c>
      <c r="F110" s="5">
        <f>August2026Primary_Tracking!F603</f>
        <v>0.19010000000000002</v>
      </c>
      <c r="G110" s="13">
        <f t="shared" si="18"/>
        <v>0.4855675579953958</v>
      </c>
      <c r="H110" s="28">
        <f t="shared" si="19"/>
        <v>2905</v>
      </c>
      <c r="I110" s="5">
        <f t="shared" si="32"/>
        <v>0.20279232111692844</v>
      </c>
      <c r="J110" s="5">
        <f t="shared" si="28"/>
        <v>1.2692321116928418E-2</v>
      </c>
      <c r="K110">
        <f>August2026Primary_Tracking!G603</f>
        <v>3590</v>
      </c>
      <c r="L110" s="5">
        <f>August2026Primary_Tracking!H603</f>
        <v>0.192</v>
      </c>
      <c r="M110">
        <f>August2026Primary_Tracking!I603</f>
        <v>0.19</v>
      </c>
      <c r="N110">
        <f>August2026Primary_Tracking!J603</f>
        <v>848</v>
      </c>
      <c r="O110" s="5">
        <f>August2026Primary_Tracking!K603</f>
        <v>0.1986</v>
      </c>
      <c r="P110" s="11">
        <f>August2026Primary_Tracking!L603</f>
        <v>4010</v>
      </c>
      <c r="Q110" s="13">
        <f>August2026Primary_Tracking!M603</f>
        <v>0.19228924906492759</v>
      </c>
      <c r="R110" s="6">
        <f>August2026Primary_Tracking!N603</f>
        <v>0.22</v>
      </c>
      <c r="S110" s="11">
        <f>August2026Primary_Tracking!O603</f>
        <v>420</v>
      </c>
      <c r="T110" s="13">
        <f>August2026Primary_Tracking!P603</f>
        <v>0.19462465245597776</v>
      </c>
      <c r="U110" s="11">
        <f>August2026Primary_Tracking!Q603</f>
        <v>4971</v>
      </c>
      <c r="V110" s="13">
        <f>August2026Primary_Tracking!R603</f>
        <v>0.19909484139698813</v>
      </c>
      <c r="W110" s="6">
        <f>August2026Primary_Tracking!S603</f>
        <v>0.9</v>
      </c>
      <c r="X110" s="11">
        <f>August2026Primary_Tracking!T603</f>
        <v>961</v>
      </c>
      <c r="Y110" s="13">
        <f>August2026Primary_Tracking!U603</f>
        <v>0.23359261059795819</v>
      </c>
      <c r="Z110" s="11">
        <f>August2026Primary_Tracking!V603</f>
        <v>5595</v>
      </c>
      <c r="AA110" s="13">
        <f>August2026Primary_Tracking!W603</f>
        <v>0.20159982704572479</v>
      </c>
      <c r="AB110" s="16">
        <f>August2026Primary_Tracking!X603</f>
        <v>1.1499999999999999</v>
      </c>
      <c r="AC110" s="11">
        <f>August2026Primary_Tracking!Y603</f>
        <v>624</v>
      </c>
      <c r="AD110" s="13">
        <f>August2026Primary_Tracking!Z603</f>
        <v>0.22405745062836624</v>
      </c>
      <c r="AE110" s="11">
        <f>August2026Primary_Tracking!AA603</f>
        <v>5610</v>
      </c>
      <c r="AF110" s="13">
        <f>August2026Primary_Tracking!AB603</f>
        <v>0.20150138285262742</v>
      </c>
      <c r="AG110" s="16">
        <f>August2026Primary_Tracking!AC603</f>
        <v>1.1399999999999999</v>
      </c>
      <c r="AH110" s="11">
        <f>August2026Primary_Tracking!AD603</f>
        <v>15</v>
      </c>
      <c r="AI110" s="13">
        <f>August2026Primary_Tracking!AE603</f>
        <v>0.17045454545454544</v>
      </c>
      <c r="AJ110" s="11">
        <f>August2026Primary_Tracking!AF603</f>
        <v>5647</v>
      </c>
      <c r="AK110" s="13">
        <f>August2026Primary_Tracking!AG603</f>
        <v>0.20176504216092611</v>
      </c>
      <c r="AL110" s="16">
        <f>August2026Primary_Tracking!AH603</f>
        <v>1.17</v>
      </c>
      <c r="AM110" s="11">
        <f>August2026Primary_Tracking!AI603</f>
        <v>37</v>
      </c>
      <c r="AN110" s="13">
        <f>August2026Primary_Tracking!AJ603</f>
        <v>0.25170068027210885</v>
      </c>
    </row>
    <row r="111" spans="1:40" x14ac:dyDescent="0.3">
      <c r="A111" t="s">
        <v>398</v>
      </c>
      <c r="B111" t="s">
        <v>11</v>
      </c>
      <c r="C111" s="26">
        <f t="shared" si="24"/>
        <v>3047</v>
      </c>
      <c r="D111" s="1">
        <f t="shared" si="25"/>
        <v>0.10886808632270974</v>
      </c>
      <c r="E111">
        <f>August2026Primary_Tracking!E604</f>
        <v>1558</v>
      </c>
      <c r="F111" s="5">
        <f>August2026Primary_Tracking!F604</f>
        <v>0.10800000000000001</v>
      </c>
      <c r="G111" s="13">
        <f t="shared" si="18"/>
        <v>0.51132261240564492</v>
      </c>
      <c r="H111" s="28">
        <f t="shared" si="19"/>
        <v>1489</v>
      </c>
      <c r="I111" s="5">
        <f t="shared" si="32"/>
        <v>0.10394415357766143</v>
      </c>
      <c r="J111" s="5">
        <f t="shared" si="28"/>
        <v>-4.0558464223385826E-3</v>
      </c>
      <c r="K111">
        <f>August2026Primary_Tracking!G604</f>
        <v>2041</v>
      </c>
      <c r="L111" s="5">
        <f>August2026Primary_Tracking!H604</f>
        <v>0.10920000000000001</v>
      </c>
      <c r="M111">
        <f>August2026Primary_Tracking!I604</f>
        <v>0.12</v>
      </c>
      <c r="N111">
        <f>August2026Primary_Tracking!J604</f>
        <v>483</v>
      </c>
      <c r="O111" s="5">
        <f>August2026Primary_Tracking!K604</f>
        <v>0.11310000000000001</v>
      </c>
      <c r="P111" s="11">
        <f>August2026Primary_Tracking!L604</f>
        <v>2259</v>
      </c>
      <c r="Q111" s="13">
        <f>August2026Primary_Tracking!M604</f>
        <v>0.10832454205428216</v>
      </c>
      <c r="R111" s="6">
        <f>August2026Primary_Tracking!N604</f>
        <v>0.03</v>
      </c>
      <c r="S111" s="11">
        <f>August2026Primary_Tracking!O604</f>
        <v>218</v>
      </c>
      <c r="T111" s="13">
        <f>August2026Primary_Tracking!P604</f>
        <v>0.1010194624652456</v>
      </c>
      <c r="U111" s="11">
        <f>August2026Primary_Tracking!Q604</f>
        <v>2719</v>
      </c>
      <c r="V111" s="13">
        <f>August2026Primary_Tracking!R604</f>
        <v>0.10889939122076257</v>
      </c>
      <c r="W111" s="6">
        <f>August2026Primary_Tracking!S604</f>
        <v>0.09</v>
      </c>
      <c r="X111" s="11">
        <f>August2026Primary_Tracking!T604</f>
        <v>460</v>
      </c>
      <c r="Y111" s="13">
        <f>August2026Primary_Tracking!U604</f>
        <v>0.1118133203694701</v>
      </c>
      <c r="Z111" s="11">
        <f>August2026Primary_Tracking!V604</f>
        <v>3015</v>
      </c>
      <c r="AA111" s="13">
        <f>August2026Primary_Tracking!W604</f>
        <v>0.10863690411847368</v>
      </c>
      <c r="AB111" s="16">
        <f>August2026Primary_Tracking!X604</f>
        <v>0.06</v>
      </c>
      <c r="AC111" s="11">
        <f>August2026Primary_Tracking!Y604</f>
        <v>296</v>
      </c>
      <c r="AD111" s="13">
        <f>August2026Primary_Tracking!Z604</f>
        <v>0.10628366247755835</v>
      </c>
      <c r="AE111" s="11">
        <f>August2026Primary_Tracking!AA604</f>
        <v>3029</v>
      </c>
      <c r="AF111" s="13">
        <f>August2026Primary_Tracking!AB604</f>
        <v>0.10879637944039366</v>
      </c>
      <c r="AG111" s="16">
        <f>August2026Primary_Tracking!AC604</f>
        <v>0.08</v>
      </c>
      <c r="AH111" s="11">
        <f>August2026Primary_Tracking!AD604</f>
        <v>14</v>
      </c>
      <c r="AI111" s="13">
        <f>August2026Primary_Tracking!AE604</f>
        <v>0.15909090909090909</v>
      </c>
      <c r="AJ111" s="11">
        <f>August2026Primary_Tracking!AF604</f>
        <v>3047</v>
      </c>
      <c r="AK111" s="13">
        <f>August2026Primary_Tracking!AG604</f>
        <v>0.10886808632270974</v>
      </c>
      <c r="AL111" s="16">
        <f>August2026Primary_Tracking!AH604</f>
        <v>0.09</v>
      </c>
      <c r="AM111" s="11">
        <f>August2026Primary_Tracking!AI604</f>
        <v>18</v>
      </c>
      <c r="AN111" s="13">
        <f>August2026Primary_Tracking!AJ604</f>
        <v>0.12244897959183673</v>
      </c>
    </row>
    <row r="123" spans="3:3" x14ac:dyDescent="0.3">
      <c r="C123" s="26">
        <f>SUM(C82,C83,C85,C87)</f>
        <v>20857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94"/>
  <sheetViews>
    <sheetView workbookViewId="0">
      <pane xSplit="1" ySplit="1" topLeftCell="B391" activePane="bottomRight" state="frozen"/>
      <selection pane="topRight" activeCell="B1" sqref="B1"/>
      <selection pane="bottomLeft" activeCell="A2" sqref="A2"/>
      <selection pane="bottomRight" activeCell="M15" sqref="M15"/>
    </sheetView>
  </sheetViews>
  <sheetFormatPr defaultRowHeight="14.4" x14ac:dyDescent="0.3"/>
  <cols>
    <col min="1" max="1" width="40.6640625" customWidth="1"/>
    <col min="2" max="2" width="24.77734375" customWidth="1"/>
    <col min="3" max="3" width="31.21875" customWidth="1"/>
    <col min="4" max="4" width="17.5546875" customWidth="1"/>
    <col min="5" max="5" width="9.109375" style="1" customWidth="1"/>
    <col min="8" max="8" width="46.77734375" customWidth="1"/>
    <col min="12" max="12" width="30" customWidth="1"/>
  </cols>
  <sheetData>
    <row r="1" spans="1:13" x14ac:dyDescent="0.3">
      <c r="A1" t="s">
        <v>47</v>
      </c>
      <c r="B1" t="s">
        <v>27</v>
      </c>
      <c r="C1" t="s">
        <v>28</v>
      </c>
      <c r="D1" t="s">
        <v>12</v>
      </c>
      <c r="E1" s="1" t="s">
        <v>29</v>
      </c>
      <c r="H1" t="s">
        <v>47</v>
      </c>
      <c r="I1" t="s">
        <v>48</v>
      </c>
    </row>
    <row r="2" spans="1:13" x14ac:dyDescent="0.3">
      <c r="A2" t="s">
        <v>62</v>
      </c>
      <c r="B2" t="s">
        <v>299</v>
      </c>
      <c r="C2" t="s">
        <v>399</v>
      </c>
      <c r="D2">
        <v>3572</v>
      </c>
      <c r="E2" s="1">
        <v>2.2286694743409764E-2</v>
      </c>
      <c r="H2" t="s">
        <v>62</v>
      </c>
      <c r="I2">
        <v>162698</v>
      </c>
    </row>
    <row r="3" spans="1:13" x14ac:dyDescent="0.3">
      <c r="A3" t="s">
        <v>62</v>
      </c>
      <c r="B3" t="s">
        <v>300</v>
      </c>
      <c r="C3" t="s">
        <v>399</v>
      </c>
      <c r="D3">
        <v>85031</v>
      </c>
      <c r="E3" s="1">
        <v>0.53053189829979719</v>
      </c>
      <c r="H3" t="s">
        <v>56</v>
      </c>
      <c r="I3">
        <v>212089</v>
      </c>
    </row>
    <row r="4" spans="1:13" x14ac:dyDescent="0.3">
      <c r="A4" t="s">
        <v>62</v>
      </c>
      <c r="B4" t="s">
        <v>301</v>
      </c>
      <c r="C4" t="s">
        <v>399</v>
      </c>
      <c r="D4">
        <v>3921</v>
      </c>
      <c r="E4" s="1">
        <v>2.4464202152550303E-2</v>
      </c>
      <c r="H4" t="s">
        <v>51</v>
      </c>
      <c r="I4">
        <v>215930</v>
      </c>
      <c r="L4" t="s">
        <v>684</v>
      </c>
      <c r="M4">
        <f>COUNTIF($E$2:$E$494,"&gt;=0.5")</f>
        <v>102</v>
      </c>
    </row>
    <row r="5" spans="1:13" x14ac:dyDescent="0.3">
      <c r="A5" t="s">
        <v>62</v>
      </c>
      <c r="B5" t="s">
        <v>302</v>
      </c>
      <c r="C5" t="s">
        <v>400</v>
      </c>
      <c r="D5">
        <v>11990</v>
      </c>
      <c r="E5" s="1">
        <v>7.4808922165028852E-2</v>
      </c>
      <c r="H5" t="s">
        <v>66</v>
      </c>
      <c r="I5">
        <v>145177</v>
      </c>
      <c r="L5" t="s">
        <v>685</v>
      </c>
      <c r="M5">
        <f>COUNTIFS($E$2:$E$494,"&gt;=0.5",$A$2:$A$494,"*congress*")</f>
        <v>4</v>
      </c>
    </row>
    <row r="6" spans="1:13" x14ac:dyDescent="0.3">
      <c r="A6" t="s">
        <v>62</v>
      </c>
      <c r="B6" t="s">
        <v>303</v>
      </c>
      <c r="C6" t="s">
        <v>399</v>
      </c>
      <c r="D6">
        <v>9975</v>
      </c>
      <c r="E6" s="1">
        <v>6.2236780533458116E-2</v>
      </c>
      <c r="H6" t="s">
        <v>60</v>
      </c>
      <c r="I6">
        <v>189719</v>
      </c>
      <c r="L6" t="s">
        <v>686</v>
      </c>
      <c r="M6">
        <f>COUNTIFS($E$2:$E$494,"&gt;=0.5",$A$2:$A$494,"state senator*")</f>
        <v>22</v>
      </c>
    </row>
    <row r="7" spans="1:13" x14ac:dyDescent="0.3">
      <c r="A7" t="s">
        <v>62</v>
      </c>
      <c r="B7" t="s">
        <v>304</v>
      </c>
      <c r="C7" t="s">
        <v>401</v>
      </c>
      <c r="D7">
        <v>42014</v>
      </c>
      <c r="E7" s="1">
        <v>0.26213695211355481</v>
      </c>
      <c r="H7" t="s">
        <v>54</v>
      </c>
      <c r="I7">
        <v>212516</v>
      </c>
      <c r="L7" t="s">
        <v>687</v>
      </c>
      <c r="M7">
        <f>COUNTIFS($E$2:$E$494,"&gt;=0.5",$A$2:$A$494,"state representative*")</f>
        <v>76</v>
      </c>
    </row>
    <row r="8" spans="1:13" x14ac:dyDescent="0.3">
      <c r="A8" t="s">
        <v>62</v>
      </c>
      <c r="B8" t="s">
        <v>305</v>
      </c>
      <c r="C8" t="s">
        <v>399</v>
      </c>
      <c r="D8">
        <v>3551</v>
      </c>
      <c r="E8" s="1">
        <v>2.2155669942286696E-2</v>
      </c>
      <c r="H8" t="s">
        <v>49</v>
      </c>
      <c r="I8">
        <v>220529</v>
      </c>
      <c r="L8" t="s">
        <v>688</v>
      </c>
      <c r="M8">
        <f>COUNTIFS($E$2:$E$494,"&gt;=0.5",$A$2:$A$494,"state senator*",$C$2:$C$494,"*democrat*")</f>
        <v>15</v>
      </c>
    </row>
    <row r="9" spans="1:13" x14ac:dyDescent="0.3">
      <c r="A9" t="s">
        <v>62</v>
      </c>
      <c r="B9" t="s">
        <v>402</v>
      </c>
      <c r="D9">
        <v>221</v>
      </c>
      <c r="E9" s="1">
        <v>1.37888004991421E-3</v>
      </c>
      <c r="H9" t="s">
        <v>58</v>
      </c>
      <c r="I9">
        <v>193951</v>
      </c>
      <c r="L9" t="s">
        <v>689</v>
      </c>
      <c r="M9">
        <f>COUNTIFS($E$2:$E$494,"&gt;=0.5",$A$2:$A$494,"state senator*",$C$2:$C$494,"*republican*")</f>
        <v>7</v>
      </c>
    </row>
    <row r="10" spans="1:13" x14ac:dyDescent="0.3">
      <c r="A10" t="s">
        <v>56</v>
      </c>
      <c r="B10" t="s">
        <v>307</v>
      </c>
      <c r="C10" t="s">
        <v>401</v>
      </c>
      <c r="D10">
        <v>68537</v>
      </c>
      <c r="E10" s="1">
        <v>0.32797844646070212</v>
      </c>
      <c r="H10" t="s">
        <v>68</v>
      </c>
      <c r="I10">
        <v>143548</v>
      </c>
      <c r="L10" t="s">
        <v>690</v>
      </c>
      <c r="M10">
        <f>COUNTIFS($E$2:$E$494,"&gt;=0.5",$A$2:$A$494,"state representative*",$C$2:$C$494,"*democrat*")</f>
        <v>52</v>
      </c>
    </row>
    <row r="11" spans="1:13" x14ac:dyDescent="0.3">
      <c r="A11" t="s">
        <v>56</v>
      </c>
      <c r="B11" t="s">
        <v>308</v>
      </c>
      <c r="C11" t="s">
        <v>399</v>
      </c>
      <c r="D11">
        <v>29039</v>
      </c>
      <c r="E11" s="1">
        <v>0.13896386049538687</v>
      </c>
      <c r="H11" t="s">
        <v>64</v>
      </c>
      <c r="I11">
        <v>157691</v>
      </c>
      <c r="L11" t="s">
        <v>691</v>
      </c>
      <c r="M11">
        <f>COUNTIFS($E$2:$E$494,"&gt;=0.5",$A$2:$A$494,"state representative*",$C$2:$C$494,"*republican*")</f>
        <v>24</v>
      </c>
    </row>
    <row r="12" spans="1:13" x14ac:dyDescent="0.3">
      <c r="A12" t="s">
        <v>56</v>
      </c>
      <c r="B12" t="s">
        <v>309</v>
      </c>
      <c r="C12" t="s">
        <v>399</v>
      </c>
      <c r="D12">
        <v>22694</v>
      </c>
      <c r="E12" s="1">
        <v>0.10860035986371119</v>
      </c>
      <c r="H12" t="s">
        <v>181</v>
      </c>
      <c r="I12">
        <v>37834</v>
      </c>
    </row>
    <row r="13" spans="1:13" x14ac:dyDescent="0.3">
      <c r="A13" t="s">
        <v>56</v>
      </c>
      <c r="B13" t="s">
        <v>310</v>
      </c>
      <c r="C13" t="s">
        <v>399</v>
      </c>
      <c r="D13">
        <v>88518</v>
      </c>
      <c r="E13" s="1">
        <v>0.42359595727575516</v>
      </c>
      <c r="H13" t="s">
        <v>142</v>
      </c>
      <c r="I13">
        <v>43719</v>
      </c>
      <c r="L13" t="s">
        <v>692</v>
      </c>
      <c r="M13" t="s">
        <v>693</v>
      </c>
    </row>
    <row r="14" spans="1:13" x14ac:dyDescent="0.3">
      <c r="A14" t="s">
        <v>56</v>
      </c>
      <c r="B14" t="s">
        <v>402</v>
      </c>
      <c r="D14">
        <v>180</v>
      </c>
      <c r="E14" s="1">
        <v>8.6137590444469963E-4</v>
      </c>
      <c r="H14" t="s">
        <v>196</v>
      </c>
      <c r="I14">
        <v>34538</v>
      </c>
      <c r="L14" t="s">
        <v>694</v>
      </c>
      <c r="M14" s="1">
        <f>SUM(E485:E486)</f>
        <v>0.97844863731656184</v>
      </c>
    </row>
    <row r="15" spans="1:13" x14ac:dyDescent="0.3">
      <c r="A15" t="s">
        <v>51</v>
      </c>
      <c r="B15" t="s">
        <v>312</v>
      </c>
      <c r="C15" t="s">
        <v>399</v>
      </c>
      <c r="D15">
        <v>77764</v>
      </c>
      <c r="E15" s="1">
        <v>0.36409605723355543</v>
      </c>
      <c r="H15" t="s">
        <v>212</v>
      </c>
      <c r="I15">
        <v>31808</v>
      </c>
    </row>
    <row r="16" spans="1:13" x14ac:dyDescent="0.3">
      <c r="A16" t="s">
        <v>51</v>
      </c>
      <c r="B16" t="s">
        <v>313</v>
      </c>
      <c r="C16" t="s">
        <v>399</v>
      </c>
      <c r="D16">
        <v>35705</v>
      </c>
      <c r="E16" s="1">
        <v>0.16717310996764692</v>
      </c>
      <c r="H16" t="s">
        <v>207</v>
      </c>
      <c r="I16">
        <v>32294</v>
      </c>
    </row>
    <row r="17" spans="1:9" x14ac:dyDescent="0.3">
      <c r="A17" t="s">
        <v>51</v>
      </c>
      <c r="B17" t="s">
        <v>314</v>
      </c>
      <c r="C17" t="s">
        <v>401</v>
      </c>
      <c r="D17">
        <v>4073</v>
      </c>
      <c r="E17" s="1">
        <v>1.9070048365725414E-2</v>
      </c>
      <c r="H17" t="s">
        <v>204</v>
      </c>
      <c r="I17">
        <v>33148</v>
      </c>
    </row>
    <row r="18" spans="1:9" x14ac:dyDescent="0.3">
      <c r="A18" t="s">
        <v>51</v>
      </c>
      <c r="B18" t="s">
        <v>315</v>
      </c>
      <c r="C18" t="s">
        <v>400</v>
      </c>
      <c r="D18">
        <v>3524</v>
      </c>
      <c r="E18" s="1">
        <v>1.649959500142803E-2</v>
      </c>
      <c r="H18" t="s">
        <v>70</v>
      </c>
      <c r="I18">
        <v>51269</v>
      </c>
    </row>
    <row r="19" spans="1:9" x14ac:dyDescent="0.3">
      <c r="A19" t="s">
        <v>51</v>
      </c>
      <c r="B19" t="s">
        <v>316</v>
      </c>
      <c r="C19" t="s">
        <v>399</v>
      </c>
      <c r="D19">
        <v>2050</v>
      </c>
      <c r="E19" s="1">
        <v>9.5982320524765786E-3</v>
      </c>
      <c r="H19" t="s">
        <v>238</v>
      </c>
      <c r="I19">
        <v>19275</v>
      </c>
    </row>
    <row r="20" spans="1:9" x14ac:dyDescent="0.3">
      <c r="A20" t="s">
        <v>51</v>
      </c>
      <c r="B20" t="s">
        <v>317</v>
      </c>
      <c r="C20" t="s">
        <v>401</v>
      </c>
      <c r="D20">
        <v>84627</v>
      </c>
      <c r="E20" s="1">
        <v>0.39622906531948066</v>
      </c>
      <c r="H20" t="s">
        <v>233</v>
      </c>
      <c r="I20">
        <v>23683</v>
      </c>
    </row>
    <row r="21" spans="1:9" x14ac:dyDescent="0.3">
      <c r="A21" t="s">
        <v>51</v>
      </c>
      <c r="B21" t="s">
        <v>318</v>
      </c>
      <c r="C21" t="s">
        <v>403</v>
      </c>
      <c r="D21">
        <v>1336</v>
      </c>
      <c r="E21" s="1">
        <v>6.2552380595652232E-3</v>
      </c>
      <c r="H21" t="s">
        <v>199</v>
      </c>
      <c r="I21">
        <v>34482</v>
      </c>
    </row>
    <row r="22" spans="1:9" x14ac:dyDescent="0.3">
      <c r="A22" t="s">
        <v>51</v>
      </c>
      <c r="B22" t="s">
        <v>319</v>
      </c>
      <c r="C22" t="s">
        <v>399</v>
      </c>
      <c r="D22">
        <v>1645</v>
      </c>
      <c r="E22" s="1">
        <v>7.7019959640604735E-3</v>
      </c>
      <c r="H22" t="s">
        <v>164</v>
      </c>
      <c r="I22">
        <v>41147</v>
      </c>
    </row>
    <row r="23" spans="1:9" x14ac:dyDescent="0.3">
      <c r="A23" t="s">
        <v>51</v>
      </c>
      <c r="B23" t="s">
        <v>320</v>
      </c>
      <c r="C23" t="s">
        <v>401</v>
      </c>
      <c r="D23">
        <v>2706</v>
      </c>
      <c r="E23" s="1">
        <v>1.2669666309269082E-2</v>
      </c>
      <c r="H23" t="s">
        <v>228</v>
      </c>
      <c r="I23">
        <v>26352</v>
      </c>
    </row>
    <row r="24" spans="1:9" x14ac:dyDescent="0.3">
      <c r="A24" t="s">
        <v>51</v>
      </c>
      <c r="B24" t="s">
        <v>404</v>
      </c>
      <c r="D24">
        <v>151</v>
      </c>
      <c r="E24" s="1">
        <v>7.0699172679217724E-4</v>
      </c>
      <c r="H24" t="s">
        <v>136</v>
      </c>
      <c r="I24">
        <v>44084</v>
      </c>
    </row>
    <row r="25" spans="1:9" x14ac:dyDescent="0.3">
      <c r="A25" t="s">
        <v>66</v>
      </c>
      <c r="B25" t="s">
        <v>322</v>
      </c>
      <c r="C25" t="s">
        <v>405</v>
      </c>
      <c r="D25">
        <v>2209</v>
      </c>
      <c r="E25" s="1">
        <v>1.554757882882883E-2</v>
      </c>
      <c r="H25" t="s">
        <v>76</v>
      </c>
      <c r="I25">
        <v>50910</v>
      </c>
    </row>
    <row r="26" spans="1:9" x14ac:dyDescent="0.3">
      <c r="A26" t="s">
        <v>66</v>
      </c>
      <c r="B26" t="s">
        <v>323</v>
      </c>
      <c r="C26" t="s">
        <v>401</v>
      </c>
      <c r="D26">
        <v>49510</v>
      </c>
      <c r="E26" s="1">
        <v>0.34846565315315314</v>
      </c>
      <c r="H26" t="s">
        <v>88</v>
      </c>
      <c r="I26">
        <v>49797</v>
      </c>
    </row>
    <row r="27" spans="1:9" x14ac:dyDescent="0.3">
      <c r="A27" t="s">
        <v>66</v>
      </c>
      <c r="B27" t="s">
        <v>324</v>
      </c>
      <c r="C27" t="s">
        <v>399</v>
      </c>
      <c r="D27">
        <v>42479</v>
      </c>
      <c r="E27" s="1">
        <v>0.29897944819819822</v>
      </c>
      <c r="H27" t="s">
        <v>170</v>
      </c>
      <c r="I27">
        <v>40819</v>
      </c>
    </row>
    <row r="28" spans="1:9" x14ac:dyDescent="0.3">
      <c r="A28" t="s">
        <v>66</v>
      </c>
      <c r="B28" t="s">
        <v>325</v>
      </c>
      <c r="C28" t="s">
        <v>401</v>
      </c>
      <c r="D28">
        <v>1688</v>
      </c>
      <c r="E28" s="1">
        <v>1.1880630630630631E-2</v>
      </c>
      <c r="H28" t="s">
        <v>220</v>
      </c>
      <c r="I28">
        <v>28627</v>
      </c>
    </row>
    <row r="29" spans="1:9" x14ac:dyDescent="0.3">
      <c r="A29" t="s">
        <v>66</v>
      </c>
      <c r="B29" t="s">
        <v>326</v>
      </c>
      <c r="C29" t="s">
        <v>400</v>
      </c>
      <c r="D29">
        <v>5738</v>
      </c>
      <c r="E29" s="1">
        <v>4.0385698198198199E-2</v>
      </c>
      <c r="H29" t="s">
        <v>82</v>
      </c>
      <c r="I29">
        <v>50320</v>
      </c>
    </row>
    <row r="30" spans="1:9" x14ac:dyDescent="0.3">
      <c r="A30" t="s">
        <v>66</v>
      </c>
      <c r="B30" t="s">
        <v>327</v>
      </c>
      <c r="C30" t="s">
        <v>401</v>
      </c>
      <c r="D30">
        <v>20733</v>
      </c>
      <c r="E30" s="1">
        <v>0.14592483108108109</v>
      </c>
      <c r="H30" t="s">
        <v>178</v>
      </c>
      <c r="I30">
        <v>39025</v>
      </c>
    </row>
    <row r="31" spans="1:9" x14ac:dyDescent="0.3">
      <c r="A31" t="s">
        <v>66</v>
      </c>
      <c r="B31" t="s">
        <v>328</v>
      </c>
      <c r="C31" t="s">
        <v>403</v>
      </c>
      <c r="D31">
        <v>1943</v>
      </c>
      <c r="E31" s="1">
        <v>1.3675394144144145E-2</v>
      </c>
      <c r="H31" t="s">
        <v>191</v>
      </c>
      <c r="I31">
        <v>36621</v>
      </c>
    </row>
    <row r="32" spans="1:9" x14ac:dyDescent="0.3">
      <c r="A32" t="s">
        <v>66</v>
      </c>
      <c r="B32" t="s">
        <v>329</v>
      </c>
      <c r="C32" t="s">
        <v>401</v>
      </c>
      <c r="D32">
        <v>476</v>
      </c>
      <c r="E32" s="1">
        <v>3.3502252252252253E-3</v>
      </c>
      <c r="H32" t="s">
        <v>184</v>
      </c>
      <c r="I32">
        <v>37735</v>
      </c>
    </row>
    <row r="33" spans="1:9" x14ac:dyDescent="0.3">
      <c r="A33" t="s">
        <v>66</v>
      </c>
      <c r="B33" t="s">
        <v>330</v>
      </c>
      <c r="C33" t="s">
        <v>405</v>
      </c>
      <c r="D33">
        <v>872</v>
      </c>
      <c r="E33" s="1">
        <v>6.1373873873873871E-3</v>
      </c>
      <c r="H33" t="s">
        <v>118</v>
      </c>
      <c r="I33">
        <v>46587</v>
      </c>
    </row>
    <row r="34" spans="1:9" x14ac:dyDescent="0.3">
      <c r="A34" t="s">
        <v>66</v>
      </c>
      <c r="B34" t="s">
        <v>331</v>
      </c>
      <c r="C34" t="s">
        <v>401</v>
      </c>
      <c r="D34">
        <v>1386</v>
      </c>
      <c r="E34" s="1">
        <v>9.7550675675675668E-3</v>
      </c>
      <c r="H34" t="s">
        <v>215</v>
      </c>
      <c r="I34">
        <v>29599</v>
      </c>
    </row>
    <row r="35" spans="1:9" x14ac:dyDescent="0.3">
      <c r="A35" t="s">
        <v>66</v>
      </c>
      <c r="B35" t="s">
        <v>332</v>
      </c>
      <c r="C35" t="s">
        <v>401</v>
      </c>
      <c r="D35">
        <v>14931</v>
      </c>
      <c r="E35" s="1">
        <v>0.10508868243243243</v>
      </c>
      <c r="H35" t="s">
        <v>223</v>
      </c>
      <c r="I35">
        <v>26711</v>
      </c>
    </row>
    <row r="36" spans="1:9" x14ac:dyDescent="0.3">
      <c r="A36" t="s">
        <v>66</v>
      </c>
      <c r="B36" t="s">
        <v>402</v>
      </c>
      <c r="D36">
        <v>115</v>
      </c>
      <c r="E36" s="1">
        <v>8.0940315315315313E-4</v>
      </c>
      <c r="H36" t="s">
        <v>174</v>
      </c>
      <c r="I36">
        <v>40105</v>
      </c>
    </row>
    <row r="37" spans="1:9" x14ac:dyDescent="0.3">
      <c r="A37" t="s">
        <v>60</v>
      </c>
      <c r="B37" t="s">
        <v>334</v>
      </c>
      <c r="C37" t="s">
        <v>400</v>
      </c>
      <c r="D37">
        <v>33058</v>
      </c>
      <c r="E37" s="1">
        <v>0.16406443864333428</v>
      </c>
      <c r="H37" t="s">
        <v>175</v>
      </c>
      <c r="I37">
        <v>40105</v>
      </c>
    </row>
    <row r="38" spans="1:9" x14ac:dyDescent="0.3">
      <c r="A38" t="s">
        <v>60</v>
      </c>
      <c r="B38" t="s">
        <v>335</v>
      </c>
      <c r="C38" t="s">
        <v>399</v>
      </c>
      <c r="D38">
        <v>38115</v>
      </c>
      <c r="E38" s="1">
        <v>0.18916196015762257</v>
      </c>
      <c r="H38" t="s">
        <v>210</v>
      </c>
      <c r="I38">
        <v>32256</v>
      </c>
    </row>
    <row r="39" spans="1:9" x14ac:dyDescent="0.3">
      <c r="A39" t="s">
        <v>60</v>
      </c>
      <c r="B39" t="s">
        <v>336</v>
      </c>
      <c r="C39" t="s">
        <v>400</v>
      </c>
      <c r="D39">
        <v>2387</v>
      </c>
      <c r="E39" s="1">
        <v>1.1846506595729897E-2</v>
      </c>
      <c r="H39" t="s">
        <v>211</v>
      </c>
      <c r="I39">
        <v>32256</v>
      </c>
    </row>
    <row r="40" spans="1:9" x14ac:dyDescent="0.3">
      <c r="A40" t="s">
        <v>60</v>
      </c>
      <c r="B40" t="s">
        <v>337</v>
      </c>
      <c r="C40" t="s">
        <v>399</v>
      </c>
      <c r="D40">
        <v>6399</v>
      </c>
      <c r="E40" s="1">
        <v>3.1757769462117981E-2</v>
      </c>
      <c r="H40" t="s">
        <v>156</v>
      </c>
      <c r="I40">
        <v>42906</v>
      </c>
    </row>
    <row r="41" spans="1:9" x14ac:dyDescent="0.3">
      <c r="A41" t="s">
        <v>60</v>
      </c>
      <c r="B41" t="s">
        <v>338</v>
      </c>
      <c r="C41" t="s">
        <v>399</v>
      </c>
      <c r="D41">
        <v>1139</v>
      </c>
      <c r="E41" s="1">
        <v>5.6527737798644125E-3</v>
      </c>
      <c r="H41" t="s">
        <v>158</v>
      </c>
      <c r="I41">
        <v>42906</v>
      </c>
    </row>
    <row r="42" spans="1:9" x14ac:dyDescent="0.3">
      <c r="A42" t="s">
        <v>60</v>
      </c>
      <c r="B42" t="s">
        <v>339</v>
      </c>
      <c r="C42" t="s">
        <v>399</v>
      </c>
      <c r="D42">
        <v>8967</v>
      </c>
      <c r="E42" s="1">
        <v>4.4502565833225802E-2</v>
      </c>
      <c r="H42" t="s">
        <v>148</v>
      </c>
      <c r="I42">
        <v>42929</v>
      </c>
    </row>
    <row r="43" spans="1:9" x14ac:dyDescent="0.3">
      <c r="A43" t="s">
        <v>60</v>
      </c>
      <c r="B43" t="s">
        <v>340</v>
      </c>
      <c r="C43" t="s">
        <v>401</v>
      </c>
      <c r="D43">
        <v>95359</v>
      </c>
      <c r="E43" s="1">
        <v>0.47325974966996537</v>
      </c>
      <c r="H43" t="s">
        <v>150</v>
      </c>
      <c r="I43">
        <v>42929</v>
      </c>
    </row>
    <row r="44" spans="1:9" x14ac:dyDescent="0.3">
      <c r="A44" t="s">
        <v>60</v>
      </c>
      <c r="B44" t="s">
        <v>341</v>
      </c>
      <c r="C44" t="s">
        <v>400</v>
      </c>
      <c r="D44">
        <v>2251</v>
      </c>
      <c r="E44" s="1">
        <v>1.1171548532462505E-2</v>
      </c>
      <c r="H44" t="s">
        <v>160</v>
      </c>
      <c r="I44">
        <v>41818</v>
      </c>
    </row>
    <row r="45" spans="1:9" x14ac:dyDescent="0.3">
      <c r="A45" t="s">
        <v>60</v>
      </c>
      <c r="B45" t="s">
        <v>342</v>
      </c>
      <c r="C45" t="s">
        <v>400</v>
      </c>
      <c r="D45">
        <v>900</v>
      </c>
      <c r="E45" s="1">
        <v>4.4666342422106861E-3</v>
      </c>
      <c r="H45" t="s">
        <v>162</v>
      </c>
      <c r="I45">
        <v>41818</v>
      </c>
    </row>
    <row r="46" spans="1:9" x14ac:dyDescent="0.3">
      <c r="A46" t="s">
        <v>60</v>
      </c>
      <c r="B46" t="s">
        <v>343</v>
      </c>
      <c r="C46" t="s">
        <v>400</v>
      </c>
      <c r="D46">
        <v>2868</v>
      </c>
      <c r="E46" s="1">
        <v>1.423367445184472E-2</v>
      </c>
      <c r="H46" t="s">
        <v>182</v>
      </c>
      <c r="I46">
        <v>37834</v>
      </c>
    </row>
    <row r="47" spans="1:9" x14ac:dyDescent="0.3">
      <c r="A47" t="s">
        <v>60</v>
      </c>
      <c r="B47" t="s">
        <v>344</v>
      </c>
      <c r="C47" t="s">
        <v>399</v>
      </c>
      <c r="D47">
        <v>2831</v>
      </c>
      <c r="E47" s="1">
        <v>1.4050046155220503E-2</v>
      </c>
      <c r="H47" t="s">
        <v>183</v>
      </c>
      <c r="I47">
        <v>37834</v>
      </c>
    </row>
    <row r="48" spans="1:9" x14ac:dyDescent="0.3">
      <c r="A48" t="s">
        <v>60</v>
      </c>
      <c r="B48" t="s">
        <v>345</v>
      </c>
      <c r="C48" t="s">
        <v>399</v>
      </c>
      <c r="D48">
        <v>7054</v>
      </c>
      <c r="E48" s="1">
        <v>3.5008486605060202E-2</v>
      </c>
      <c r="H48" t="s">
        <v>144</v>
      </c>
      <c r="I48">
        <v>43719</v>
      </c>
    </row>
    <row r="49" spans="1:9" x14ac:dyDescent="0.3">
      <c r="A49" t="s">
        <v>60</v>
      </c>
      <c r="B49" t="s">
        <v>404</v>
      </c>
      <c r="D49">
        <v>166</v>
      </c>
      <c r="E49" s="1">
        <v>8.238458713410821E-4</v>
      </c>
      <c r="H49" t="s">
        <v>146</v>
      </c>
      <c r="I49">
        <v>43719</v>
      </c>
    </row>
    <row r="50" spans="1:9" x14ac:dyDescent="0.3">
      <c r="A50" t="s">
        <v>54</v>
      </c>
      <c r="B50" t="s">
        <v>347</v>
      </c>
      <c r="C50" t="s">
        <v>399</v>
      </c>
      <c r="D50">
        <v>132437</v>
      </c>
      <c r="E50" s="1">
        <v>0.58788774658640952</v>
      </c>
      <c r="H50" t="s">
        <v>197</v>
      </c>
      <c r="I50">
        <v>34538</v>
      </c>
    </row>
    <row r="51" spans="1:9" x14ac:dyDescent="0.3">
      <c r="A51" t="s">
        <v>54</v>
      </c>
      <c r="B51" t="s">
        <v>348</v>
      </c>
      <c r="C51" t="s">
        <v>400</v>
      </c>
      <c r="D51">
        <v>7273</v>
      </c>
      <c r="E51" s="1">
        <v>3.2284841705285963E-2</v>
      </c>
      <c r="H51" t="s">
        <v>198</v>
      </c>
      <c r="I51">
        <v>34538</v>
      </c>
    </row>
    <row r="52" spans="1:9" x14ac:dyDescent="0.3">
      <c r="A52" t="s">
        <v>54</v>
      </c>
      <c r="B52" t="s">
        <v>349</v>
      </c>
      <c r="C52" t="s">
        <v>401</v>
      </c>
      <c r="D52">
        <v>57544</v>
      </c>
      <c r="E52" s="1">
        <v>0.25543777410820506</v>
      </c>
      <c r="H52" t="s">
        <v>152</v>
      </c>
      <c r="I52">
        <v>42925</v>
      </c>
    </row>
    <row r="53" spans="1:9" x14ac:dyDescent="0.3">
      <c r="A53" t="s">
        <v>54</v>
      </c>
      <c r="B53" t="s">
        <v>350</v>
      </c>
      <c r="C53" t="s">
        <v>405</v>
      </c>
      <c r="D53">
        <v>6016</v>
      </c>
      <c r="E53" s="1">
        <v>2.6705019620376781E-2</v>
      </c>
      <c r="H53" t="s">
        <v>154</v>
      </c>
      <c r="I53">
        <v>42925</v>
      </c>
    </row>
    <row r="54" spans="1:9" x14ac:dyDescent="0.3">
      <c r="A54" t="s">
        <v>54</v>
      </c>
      <c r="B54" t="s">
        <v>351</v>
      </c>
      <c r="C54" t="s">
        <v>406</v>
      </c>
      <c r="D54">
        <v>21865</v>
      </c>
      <c r="E54" s="1">
        <v>9.7058719082370071E-2</v>
      </c>
      <c r="H54" t="s">
        <v>94</v>
      </c>
      <c r="I54">
        <v>49005</v>
      </c>
    </row>
    <row r="55" spans="1:9" x14ac:dyDescent="0.3">
      <c r="A55" t="s">
        <v>54</v>
      </c>
      <c r="B55" t="s">
        <v>402</v>
      </c>
      <c r="D55">
        <v>141</v>
      </c>
      <c r="E55" s="1">
        <v>6.2589889735258086E-4</v>
      </c>
      <c r="H55" t="s">
        <v>96</v>
      </c>
      <c r="I55">
        <v>49005</v>
      </c>
    </row>
    <row r="56" spans="1:9" x14ac:dyDescent="0.3">
      <c r="A56" t="s">
        <v>49</v>
      </c>
      <c r="B56" t="s">
        <v>353</v>
      </c>
      <c r="C56" t="s">
        <v>407</v>
      </c>
      <c r="D56">
        <v>4284</v>
      </c>
      <c r="E56" s="1">
        <v>1.9830762678911994E-2</v>
      </c>
      <c r="H56" t="s">
        <v>226</v>
      </c>
      <c r="I56">
        <v>26427</v>
      </c>
    </row>
    <row r="57" spans="1:9" x14ac:dyDescent="0.3">
      <c r="A57" t="s">
        <v>49</v>
      </c>
      <c r="B57" t="s">
        <v>354</v>
      </c>
      <c r="C57" t="s">
        <v>399</v>
      </c>
      <c r="D57">
        <v>182252</v>
      </c>
      <c r="E57" s="1">
        <v>0.84364989723554351</v>
      </c>
      <c r="H57" t="s">
        <v>227</v>
      </c>
      <c r="I57">
        <v>26427</v>
      </c>
    </row>
    <row r="58" spans="1:9" x14ac:dyDescent="0.3">
      <c r="A58" t="s">
        <v>49</v>
      </c>
      <c r="B58" t="s">
        <v>355</v>
      </c>
      <c r="C58" t="s">
        <v>401</v>
      </c>
      <c r="D58">
        <v>21215</v>
      </c>
      <c r="E58" s="1">
        <v>9.8204862332660584E-2</v>
      </c>
      <c r="H58" t="s">
        <v>124</v>
      </c>
      <c r="I58">
        <v>45047</v>
      </c>
    </row>
    <row r="59" spans="1:9" x14ac:dyDescent="0.3">
      <c r="A59" t="s">
        <v>49</v>
      </c>
      <c r="B59" t="s">
        <v>356</v>
      </c>
      <c r="C59" t="s">
        <v>399</v>
      </c>
      <c r="D59">
        <v>7480</v>
      </c>
      <c r="E59" s="1">
        <v>3.4625141185401893E-2</v>
      </c>
      <c r="H59" t="s">
        <v>126</v>
      </c>
      <c r="I59">
        <v>45047</v>
      </c>
    </row>
    <row r="60" spans="1:9" x14ac:dyDescent="0.3">
      <c r="A60" t="s">
        <v>49</v>
      </c>
      <c r="B60" t="s">
        <v>404</v>
      </c>
      <c r="D60">
        <v>797</v>
      </c>
      <c r="E60" s="1">
        <v>3.6893365674819929E-3</v>
      </c>
      <c r="H60" t="s">
        <v>213</v>
      </c>
      <c r="I60">
        <v>31808</v>
      </c>
    </row>
    <row r="61" spans="1:9" x14ac:dyDescent="0.3">
      <c r="A61" t="s">
        <v>58</v>
      </c>
      <c r="B61" t="s">
        <v>358</v>
      </c>
      <c r="C61" t="s">
        <v>399</v>
      </c>
      <c r="D61">
        <v>102662</v>
      </c>
      <c r="E61" s="1">
        <v>0.53680038484062575</v>
      </c>
      <c r="H61" t="s">
        <v>214</v>
      </c>
      <c r="I61">
        <v>31808</v>
      </c>
    </row>
    <row r="62" spans="1:9" x14ac:dyDescent="0.3">
      <c r="A62" t="s">
        <v>58</v>
      </c>
      <c r="B62" t="s">
        <v>359</v>
      </c>
      <c r="C62" t="s">
        <v>401</v>
      </c>
      <c r="D62">
        <v>28306</v>
      </c>
      <c r="E62" s="1">
        <v>0.14800677654145403</v>
      </c>
      <c r="H62" t="s">
        <v>241</v>
      </c>
      <c r="I62">
        <v>13571</v>
      </c>
    </row>
    <row r="63" spans="1:9" x14ac:dyDescent="0.3">
      <c r="A63" t="s">
        <v>58</v>
      </c>
      <c r="B63" t="s">
        <v>360</v>
      </c>
      <c r="C63" t="s">
        <v>401</v>
      </c>
      <c r="D63">
        <v>30272</v>
      </c>
      <c r="E63" s="1">
        <v>0.15828662260520371</v>
      </c>
      <c r="H63" t="s">
        <v>242</v>
      </c>
      <c r="I63">
        <v>13571</v>
      </c>
    </row>
    <row r="64" spans="1:9" x14ac:dyDescent="0.3">
      <c r="A64" t="s">
        <v>58</v>
      </c>
      <c r="B64" t="s">
        <v>361</v>
      </c>
      <c r="C64" t="s">
        <v>399</v>
      </c>
      <c r="D64">
        <v>4763</v>
      </c>
      <c r="E64" s="1">
        <v>2.4904835606123985E-2</v>
      </c>
      <c r="H64" t="s">
        <v>208</v>
      </c>
      <c r="I64">
        <v>32294</v>
      </c>
    </row>
    <row r="65" spans="1:9" x14ac:dyDescent="0.3">
      <c r="A65" t="s">
        <v>58</v>
      </c>
      <c r="B65" t="s">
        <v>362</v>
      </c>
      <c r="C65" t="s">
        <v>401</v>
      </c>
      <c r="D65">
        <v>4534</v>
      </c>
      <c r="E65" s="1">
        <v>2.3707437463398311E-2</v>
      </c>
      <c r="H65" t="s">
        <v>209</v>
      </c>
      <c r="I65">
        <v>32294</v>
      </c>
    </row>
    <row r="66" spans="1:9" x14ac:dyDescent="0.3">
      <c r="A66" t="s">
        <v>58</v>
      </c>
      <c r="B66" t="s">
        <v>363</v>
      </c>
      <c r="C66" t="s">
        <v>401</v>
      </c>
      <c r="D66">
        <v>20351</v>
      </c>
      <c r="E66" s="1">
        <v>0.10641157031707521</v>
      </c>
      <c r="H66" t="s">
        <v>236</v>
      </c>
      <c r="I66">
        <v>19785</v>
      </c>
    </row>
    <row r="67" spans="1:9" x14ac:dyDescent="0.3">
      <c r="A67" t="s">
        <v>58</v>
      </c>
      <c r="B67" t="s">
        <v>404</v>
      </c>
      <c r="D67">
        <v>360</v>
      </c>
      <c r="E67" s="1">
        <v>1.8823726261189659E-3</v>
      </c>
      <c r="H67" t="s">
        <v>237</v>
      </c>
      <c r="I67">
        <v>19785</v>
      </c>
    </row>
    <row r="68" spans="1:9" x14ac:dyDescent="0.3">
      <c r="A68" t="s">
        <v>68</v>
      </c>
      <c r="B68" t="s">
        <v>365</v>
      </c>
      <c r="C68" t="s">
        <v>408</v>
      </c>
      <c r="D68">
        <v>1580</v>
      </c>
      <c r="E68" s="1">
        <v>1.1126290438432178E-2</v>
      </c>
      <c r="H68" t="s">
        <v>110</v>
      </c>
      <c r="I68">
        <v>47902</v>
      </c>
    </row>
    <row r="69" spans="1:9" x14ac:dyDescent="0.3">
      <c r="A69" t="s">
        <v>68</v>
      </c>
      <c r="B69" t="s">
        <v>366</v>
      </c>
      <c r="C69" t="s">
        <v>400</v>
      </c>
      <c r="D69">
        <v>24490</v>
      </c>
      <c r="E69" s="1">
        <v>0.17245750179569877</v>
      </c>
      <c r="H69" t="s">
        <v>112</v>
      </c>
      <c r="I69">
        <v>47902</v>
      </c>
    </row>
    <row r="70" spans="1:9" x14ac:dyDescent="0.3">
      <c r="A70" t="s">
        <v>68</v>
      </c>
      <c r="B70" t="s">
        <v>367</v>
      </c>
      <c r="C70" t="s">
        <v>399</v>
      </c>
      <c r="D70">
        <v>17757</v>
      </c>
      <c r="E70" s="1">
        <v>0.12504401222483558</v>
      </c>
      <c r="H70" t="s">
        <v>128</v>
      </c>
      <c r="I70">
        <v>44491</v>
      </c>
    </row>
    <row r="71" spans="1:9" x14ac:dyDescent="0.3">
      <c r="A71" t="s">
        <v>68</v>
      </c>
      <c r="B71" t="s">
        <v>368</v>
      </c>
      <c r="C71" t="s">
        <v>401</v>
      </c>
      <c r="D71">
        <v>31000</v>
      </c>
      <c r="E71" s="1">
        <v>0.21830063518442883</v>
      </c>
      <c r="H71" t="s">
        <v>130</v>
      </c>
      <c r="I71">
        <v>44491</v>
      </c>
    </row>
    <row r="72" spans="1:9" x14ac:dyDescent="0.3">
      <c r="A72" t="s">
        <v>68</v>
      </c>
      <c r="B72" t="s">
        <v>369</v>
      </c>
      <c r="C72" t="s">
        <v>399</v>
      </c>
      <c r="D72">
        <v>66972</v>
      </c>
      <c r="E72" s="1">
        <v>0.47161387547005057</v>
      </c>
      <c r="H72" t="s">
        <v>132</v>
      </c>
      <c r="I72">
        <v>44163</v>
      </c>
    </row>
    <row r="73" spans="1:9" x14ac:dyDescent="0.3">
      <c r="A73" t="s">
        <v>68</v>
      </c>
      <c r="B73" t="s">
        <v>404</v>
      </c>
      <c r="D73">
        <v>207</v>
      </c>
      <c r="E73" s="1">
        <v>1.4576848865540894E-3</v>
      </c>
      <c r="H73" t="s">
        <v>134</v>
      </c>
      <c r="I73">
        <v>44163</v>
      </c>
    </row>
    <row r="74" spans="1:9" x14ac:dyDescent="0.3">
      <c r="A74" t="s">
        <v>64</v>
      </c>
      <c r="B74" t="s">
        <v>371</v>
      </c>
      <c r="C74" t="s">
        <v>399</v>
      </c>
      <c r="D74">
        <v>14618</v>
      </c>
      <c r="E74" s="1">
        <v>9.4157809983896945E-2</v>
      </c>
      <c r="H74" t="s">
        <v>98</v>
      </c>
      <c r="I74">
        <v>48776</v>
      </c>
    </row>
    <row r="75" spans="1:9" x14ac:dyDescent="0.3">
      <c r="A75" t="s">
        <v>64</v>
      </c>
      <c r="B75" t="s">
        <v>372</v>
      </c>
      <c r="C75" t="s">
        <v>399</v>
      </c>
      <c r="D75">
        <v>73369</v>
      </c>
      <c r="E75" s="1">
        <v>0.47258615136876009</v>
      </c>
      <c r="H75" t="s">
        <v>100</v>
      </c>
      <c r="I75">
        <v>48776</v>
      </c>
    </row>
    <row r="76" spans="1:9" x14ac:dyDescent="0.3">
      <c r="A76" t="s">
        <v>64</v>
      </c>
      <c r="B76" t="s">
        <v>373</v>
      </c>
      <c r="C76" t="s">
        <v>409</v>
      </c>
      <c r="D76">
        <v>709</v>
      </c>
      <c r="E76" s="1">
        <v>4.5668276972624803E-3</v>
      </c>
      <c r="H76" t="s">
        <v>205</v>
      </c>
      <c r="I76">
        <v>33148</v>
      </c>
    </row>
    <row r="77" spans="1:9" x14ac:dyDescent="0.3">
      <c r="A77" t="s">
        <v>64</v>
      </c>
      <c r="B77" t="s">
        <v>374</v>
      </c>
      <c r="C77" t="s">
        <v>399</v>
      </c>
      <c r="D77">
        <v>15946</v>
      </c>
      <c r="E77" s="1">
        <v>0.10271175523349436</v>
      </c>
      <c r="H77" t="s">
        <v>206</v>
      </c>
      <c r="I77">
        <v>33148</v>
      </c>
    </row>
    <row r="78" spans="1:9" x14ac:dyDescent="0.3">
      <c r="A78" t="s">
        <v>64</v>
      </c>
      <c r="B78" t="s">
        <v>375</v>
      </c>
      <c r="C78" t="s">
        <v>405</v>
      </c>
      <c r="D78">
        <v>1420</v>
      </c>
      <c r="E78" s="1">
        <v>9.1465378421900154E-3</v>
      </c>
      <c r="H78" t="s">
        <v>114</v>
      </c>
      <c r="I78">
        <v>47074</v>
      </c>
    </row>
    <row r="79" spans="1:9" x14ac:dyDescent="0.3">
      <c r="A79" t="s">
        <v>64</v>
      </c>
      <c r="B79" t="s">
        <v>376</v>
      </c>
      <c r="C79" t="s">
        <v>401</v>
      </c>
      <c r="D79">
        <v>48823</v>
      </c>
      <c r="E79" s="1">
        <v>0.31447987117552334</v>
      </c>
      <c r="H79" t="s">
        <v>116</v>
      </c>
      <c r="I79">
        <v>47074</v>
      </c>
    </row>
    <row r="80" spans="1:9" x14ac:dyDescent="0.3">
      <c r="A80" t="s">
        <v>64</v>
      </c>
      <c r="B80" t="s">
        <v>402</v>
      </c>
      <c r="D80">
        <v>365</v>
      </c>
      <c r="E80" s="1">
        <v>2.3510466988727859E-3</v>
      </c>
      <c r="H80" t="s">
        <v>102</v>
      </c>
      <c r="I80">
        <v>48430</v>
      </c>
    </row>
    <row r="81" spans="1:9" x14ac:dyDescent="0.3">
      <c r="A81" t="s">
        <v>181</v>
      </c>
      <c r="B81" t="s">
        <v>410</v>
      </c>
      <c r="C81" t="s">
        <v>401</v>
      </c>
      <c r="D81">
        <v>24372</v>
      </c>
      <c r="E81" s="1">
        <v>0.91596512327119661</v>
      </c>
      <c r="H81" t="s">
        <v>104</v>
      </c>
      <c r="I81">
        <v>48430</v>
      </c>
    </row>
    <row r="82" spans="1:9" x14ac:dyDescent="0.3">
      <c r="A82" t="s">
        <v>181</v>
      </c>
      <c r="B82" t="s">
        <v>402</v>
      </c>
      <c r="D82">
        <v>2236</v>
      </c>
      <c r="E82" s="1">
        <v>8.4034876728803373E-2</v>
      </c>
      <c r="H82" t="s">
        <v>176</v>
      </c>
      <c r="I82">
        <v>39189</v>
      </c>
    </row>
    <row r="83" spans="1:9" x14ac:dyDescent="0.3">
      <c r="A83" t="s">
        <v>142</v>
      </c>
      <c r="B83" t="s">
        <v>411</v>
      </c>
      <c r="C83" t="s">
        <v>401</v>
      </c>
      <c r="D83">
        <v>23446</v>
      </c>
      <c r="E83" s="1">
        <v>0.58407652832444823</v>
      </c>
      <c r="H83" t="s">
        <v>177</v>
      </c>
      <c r="I83">
        <v>39189</v>
      </c>
    </row>
    <row r="84" spans="1:9" x14ac:dyDescent="0.3">
      <c r="A84" t="s">
        <v>142</v>
      </c>
      <c r="B84" t="s">
        <v>412</v>
      </c>
      <c r="C84" t="s">
        <v>400</v>
      </c>
      <c r="D84">
        <v>10777</v>
      </c>
      <c r="E84" s="1">
        <v>0.26847192466743064</v>
      </c>
      <c r="H84" t="s">
        <v>218</v>
      </c>
      <c r="I84">
        <v>29103</v>
      </c>
    </row>
    <row r="85" spans="1:9" x14ac:dyDescent="0.3">
      <c r="A85" t="s">
        <v>142</v>
      </c>
      <c r="B85" t="s">
        <v>413</v>
      </c>
      <c r="C85" t="s">
        <v>401</v>
      </c>
      <c r="D85">
        <v>3376</v>
      </c>
      <c r="E85" s="1">
        <v>8.410143988839619E-2</v>
      </c>
      <c r="H85" t="s">
        <v>219</v>
      </c>
      <c r="I85">
        <v>29103</v>
      </c>
    </row>
    <row r="86" spans="1:9" x14ac:dyDescent="0.3">
      <c r="A86" t="s">
        <v>142</v>
      </c>
      <c r="B86" t="s">
        <v>414</v>
      </c>
      <c r="C86" t="s">
        <v>401</v>
      </c>
      <c r="D86">
        <v>2282</v>
      </c>
      <c r="E86" s="1">
        <v>5.6848188929300984E-2</v>
      </c>
      <c r="H86" t="s">
        <v>72</v>
      </c>
      <c r="I86">
        <v>51269</v>
      </c>
    </row>
    <row r="87" spans="1:9" x14ac:dyDescent="0.3">
      <c r="A87" t="s">
        <v>142</v>
      </c>
      <c r="B87" t="s">
        <v>404</v>
      </c>
      <c r="D87">
        <v>261</v>
      </c>
      <c r="E87" s="1">
        <v>6.5019181904239949E-3</v>
      </c>
      <c r="H87" t="s">
        <v>74</v>
      </c>
      <c r="I87">
        <v>51269</v>
      </c>
    </row>
    <row r="88" spans="1:9" x14ac:dyDescent="0.3">
      <c r="A88" t="s">
        <v>196</v>
      </c>
      <c r="B88" t="s">
        <v>415</v>
      </c>
      <c r="C88" t="s">
        <v>401</v>
      </c>
      <c r="D88">
        <v>14235</v>
      </c>
      <c r="E88" s="1">
        <v>0.4636656786423895</v>
      </c>
      <c r="H88" t="s">
        <v>194</v>
      </c>
      <c r="I88">
        <v>34620</v>
      </c>
    </row>
    <row r="89" spans="1:9" x14ac:dyDescent="0.3">
      <c r="A89" t="s">
        <v>196</v>
      </c>
      <c r="B89" t="s">
        <v>416</v>
      </c>
      <c r="C89" t="s">
        <v>401</v>
      </c>
      <c r="D89">
        <v>15958</v>
      </c>
      <c r="E89" s="1">
        <v>0.51978762906745712</v>
      </c>
      <c r="H89" t="s">
        <v>195</v>
      </c>
      <c r="I89">
        <v>34620</v>
      </c>
    </row>
    <row r="90" spans="1:9" x14ac:dyDescent="0.3">
      <c r="A90" t="s">
        <v>196</v>
      </c>
      <c r="B90" t="s">
        <v>402</v>
      </c>
      <c r="D90">
        <v>508</v>
      </c>
      <c r="E90" s="1">
        <v>1.6546692290153417E-2</v>
      </c>
      <c r="H90" t="s">
        <v>231</v>
      </c>
      <c r="I90">
        <v>25539</v>
      </c>
    </row>
    <row r="91" spans="1:9" x14ac:dyDescent="0.3">
      <c r="A91" t="s">
        <v>212</v>
      </c>
      <c r="B91" t="s">
        <v>417</v>
      </c>
      <c r="C91" t="s">
        <v>401</v>
      </c>
      <c r="D91">
        <v>23395</v>
      </c>
      <c r="E91" s="1">
        <v>0.9724415994679525</v>
      </c>
      <c r="H91" t="s">
        <v>232</v>
      </c>
      <c r="I91">
        <v>25539</v>
      </c>
    </row>
    <row r="92" spans="1:9" x14ac:dyDescent="0.3">
      <c r="A92" t="s">
        <v>212</v>
      </c>
      <c r="B92" t="s">
        <v>402</v>
      </c>
      <c r="D92">
        <v>663</v>
      </c>
      <c r="E92" s="1">
        <v>2.7558400532047552E-2</v>
      </c>
      <c r="H92" t="s">
        <v>239</v>
      </c>
      <c r="I92">
        <v>19275</v>
      </c>
    </row>
    <row r="93" spans="1:9" x14ac:dyDescent="0.3">
      <c r="A93" t="s">
        <v>207</v>
      </c>
      <c r="B93" t="s">
        <v>418</v>
      </c>
      <c r="C93" t="s">
        <v>401</v>
      </c>
      <c r="D93">
        <v>23698</v>
      </c>
      <c r="E93" s="1">
        <v>0.95310489060489056</v>
      </c>
      <c r="H93" t="s">
        <v>240</v>
      </c>
      <c r="I93">
        <v>19275</v>
      </c>
    </row>
    <row r="94" spans="1:9" x14ac:dyDescent="0.3">
      <c r="A94" t="s">
        <v>207</v>
      </c>
      <c r="B94" t="s">
        <v>402</v>
      </c>
      <c r="D94">
        <v>1166</v>
      </c>
      <c r="E94" s="1">
        <v>4.6895109395109394E-2</v>
      </c>
      <c r="H94" t="s">
        <v>234</v>
      </c>
      <c r="I94">
        <v>23683</v>
      </c>
    </row>
    <row r="95" spans="1:9" x14ac:dyDescent="0.3">
      <c r="A95" t="s">
        <v>204</v>
      </c>
      <c r="B95" t="s">
        <v>419</v>
      </c>
      <c r="C95" t="s">
        <v>399</v>
      </c>
      <c r="D95">
        <v>23260</v>
      </c>
      <c r="E95" s="1">
        <v>0.72050305114146762</v>
      </c>
      <c r="H95" t="s">
        <v>235</v>
      </c>
      <c r="I95">
        <v>23683</v>
      </c>
    </row>
    <row r="96" spans="1:9" x14ac:dyDescent="0.3">
      <c r="A96" t="s">
        <v>204</v>
      </c>
      <c r="B96" t="s">
        <v>420</v>
      </c>
      <c r="C96" t="s">
        <v>401</v>
      </c>
      <c r="D96">
        <v>8863</v>
      </c>
      <c r="E96" s="1">
        <v>0.27454077997707771</v>
      </c>
      <c r="H96" t="s">
        <v>200</v>
      </c>
      <c r="I96">
        <v>34482</v>
      </c>
    </row>
    <row r="97" spans="1:9" x14ac:dyDescent="0.3">
      <c r="A97" t="s">
        <v>204</v>
      </c>
      <c r="B97" t="s">
        <v>402</v>
      </c>
      <c r="D97">
        <v>160</v>
      </c>
      <c r="E97" s="1">
        <v>4.9561688814546354E-3</v>
      </c>
      <c r="H97" t="s">
        <v>201</v>
      </c>
      <c r="I97">
        <v>34482</v>
      </c>
    </row>
    <row r="98" spans="1:9" x14ac:dyDescent="0.3">
      <c r="A98" t="s">
        <v>70</v>
      </c>
      <c r="B98" t="s">
        <v>421</v>
      </c>
      <c r="C98" t="s">
        <v>399</v>
      </c>
      <c r="D98">
        <v>28508</v>
      </c>
      <c r="E98" s="1">
        <v>0.56087196033682218</v>
      </c>
      <c r="H98" t="s">
        <v>166</v>
      </c>
      <c r="I98">
        <v>41147</v>
      </c>
    </row>
    <row r="99" spans="1:9" x14ac:dyDescent="0.3">
      <c r="A99" t="s">
        <v>70</v>
      </c>
      <c r="B99" t="s">
        <v>422</v>
      </c>
      <c r="C99" t="s">
        <v>401</v>
      </c>
      <c r="D99">
        <v>22279</v>
      </c>
      <c r="E99" s="1">
        <v>0.43832139765483591</v>
      </c>
      <c r="H99" t="s">
        <v>168</v>
      </c>
      <c r="I99">
        <v>41147</v>
      </c>
    </row>
    <row r="100" spans="1:9" x14ac:dyDescent="0.3">
      <c r="A100" t="s">
        <v>70</v>
      </c>
      <c r="B100" t="s">
        <v>402</v>
      </c>
      <c r="D100">
        <v>41</v>
      </c>
      <c r="E100" s="1">
        <v>8.0664200834185877E-4</v>
      </c>
      <c r="H100" t="s">
        <v>229</v>
      </c>
      <c r="I100">
        <v>26352</v>
      </c>
    </row>
    <row r="101" spans="1:9" x14ac:dyDescent="0.3">
      <c r="A101" t="s">
        <v>238</v>
      </c>
      <c r="B101" t="s">
        <v>423</v>
      </c>
      <c r="C101" t="s">
        <v>399</v>
      </c>
      <c r="D101">
        <v>12064</v>
      </c>
      <c r="E101" s="1">
        <v>0.70331720398764064</v>
      </c>
      <c r="H101" t="s">
        <v>230</v>
      </c>
      <c r="I101">
        <v>26352</v>
      </c>
    </row>
    <row r="102" spans="1:9" x14ac:dyDescent="0.3">
      <c r="A102" t="s">
        <v>238</v>
      </c>
      <c r="B102" t="s">
        <v>424</v>
      </c>
      <c r="C102" t="s">
        <v>399</v>
      </c>
      <c r="D102">
        <v>4438</v>
      </c>
      <c r="E102" s="1">
        <v>0.25873025126799976</v>
      </c>
      <c r="H102" t="s">
        <v>138</v>
      </c>
      <c r="I102">
        <v>44084</v>
      </c>
    </row>
    <row r="103" spans="1:9" x14ac:dyDescent="0.3">
      <c r="A103" t="s">
        <v>238</v>
      </c>
      <c r="B103" t="s">
        <v>402</v>
      </c>
      <c r="D103">
        <v>651</v>
      </c>
      <c r="E103" s="1">
        <v>3.7952544744359586E-2</v>
      </c>
      <c r="H103" t="s">
        <v>140</v>
      </c>
      <c r="I103">
        <v>44084</v>
      </c>
    </row>
    <row r="104" spans="1:9" x14ac:dyDescent="0.3">
      <c r="A104" t="s">
        <v>233</v>
      </c>
      <c r="B104" t="s">
        <v>425</v>
      </c>
      <c r="C104" t="s">
        <v>399</v>
      </c>
      <c r="D104">
        <v>14518</v>
      </c>
      <c r="E104" s="1">
        <v>0.62098464433893663</v>
      </c>
      <c r="H104" t="s">
        <v>78</v>
      </c>
      <c r="I104">
        <v>50910</v>
      </c>
    </row>
    <row r="105" spans="1:9" x14ac:dyDescent="0.3">
      <c r="A105" t="s">
        <v>233</v>
      </c>
      <c r="B105" t="s">
        <v>426</v>
      </c>
      <c r="C105" t="s">
        <v>401</v>
      </c>
      <c r="D105">
        <v>8846</v>
      </c>
      <c r="E105" s="1">
        <v>0.37837375422387615</v>
      </c>
      <c r="H105" t="s">
        <v>80</v>
      </c>
      <c r="I105">
        <v>50910</v>
      </c>
    </row>
    <row r="106" spans="1:9" x14ac:dyDescent="0.3">
      <c r="A106" t="s">
        <v>233</v>
      </c>
      <c r="B106" t="s">
        <v>402</v>
      </c>
      <c r="D106">
        <v>15</v>
      </c>
      <c r="E106" s="1">
        <v>6.4160143718721926E-4</v>
      </c>
      <c r="H106" t="s">
        <v>90</v>
      </c>
      <c r="I106">
        <v>49797</v>
      </c>
    </row>
    <row r="107" spans="1:9" x14ac:dyDescent="0.3">
      <c r="A107" t="s">
        <v>199</v>
      </c>
      <c r="B107" t="s">
        <v>427</v>
      </c>
      <c r="C107" t="s">
        <v>399</v>
      </c>
      <c r="D107">
        <v>15623</v>
      </c>
      <c r="E107" s="1">
        <v>0.45659925181201777</v>
      </c>
      <c r="H107" t="s">
        <v>92</v>
      </c>
      <c r="I107">
        <v>49797</v>
      </c>
    </row>
    <row r="108" spans="1:9" x14ac:dyDescent="0.3">
      <c r="A108" t="s">
        <v>199</v>
      </c>
      <c r="B108" t="s">
        <v>428</v>
      </c>
      <c r="C108" t="s">
        <v>401</v>
      </c>
      <c r="D108">
        <v>18567</v>
      </c>
      <c r="E108" s="1">
        <v>0.54264086976852932</v>
      </c>
      <c r="H108" t="s">
        <v>172</v>
      </c>
      <c r="I108">
        <v>40819</v>
      </c>
    </row>
    <row r="109" spans="1:9" x14ac:dyDescent="0.3">
      <c r="A109" t="s">
        <v>199</v>
      </c>
      <c r="B109" t="s">
        <v>402</v>
      </c>
      <c r="D109">
        <v>26</v>
      </c>
      <c r="E109" s="1">
        <v>7.5987841945288754E-4</v>
      </c>
      <c r="H109" t="s">
        <v>173</v>
      </c>
      <c r="I109">
        <v>40819</v>
      </c>
    </row>
    <row r="110" spans="1:9" x14ac:dyDescent="0.3">
      <c r="A110" t="s">
        <v>164</v>
      </c>
      <c r="B110" t="s">
        <v>429</v>
      </c>
      <c r="C110" t="s">
        <v>399</v>
      </c>
      <c r="D110">
        <v>17830</v>
      </c>
      <c r="E110" s="1">
        <v>0.44166460242754518</v>
      </c>
      <c r="H110" t="s">
        <v>221</v>
      </c>
      <c r="I110">
        <v>28627</v>
      </c>
    </row>
    <row r="111" spans="1:9" x14ac:dyDescent="0.3">
      <c r="A111" t="s">
        <v>164</v>
      </c>
      <c r="B111" t="s">
        <v>430</v>
      </c>
      <c r="C111" t="s">
        <v>401</v>
      </c>
      <c r="D111">
        <v>7296</v>
      </c>
      <c r="E111" s="1">
        <v>0.18072826356205102</v>
      </c>
      <c r="H111" t="s">
        <v>222</v>
      </c>
      <c r="I111">
        <v>28627</v>
      </c>
    </row>
    <row r="112" spans="1:9" x14ac:dyDescent="0.3">
      <c r="A112" t="s">
        <v>164</v>
      </c>
      <c r="B112" t="s">
        <v>431</v>
      </c>
      <c r="C112" t="s">
        <v>399</v>
      </c>
      <c r="D112">
        <v>15195</v>
      </c>
      <c r="E112" s="1">
        <v>0.37639336140698537</v>
      </c>
      <c r="H112" t="s">
        <v>189</v>
      </c>
      <c r="I112">
        <v>37332</v>
      </c>
    </row>
    <row r="113" spans="1:9" x14ac:dyDescent="0.3">
      <c r="A113" t="s">
        <v>164</v>
      </c>
      <c r="B113" t="s">
        <v>402</v>
      </c>
      <c r="D113">
        <v>49</v>
      </c>
      <c r="E113" s="1">
        <v>1.21377260341838E-3</v>
      </c>
      <c r="H113" t="s">
        <v>190</v>
      </c>
      <c r="I113">
        <v>37332</v>
      </c>
    </row>
    <row r="114" spans="1:9" x14ac:dyDescent="0.3">
      <c r="A114" t="s">
        <v>228</v>
      </c>
      <c r="B114" t="s">
        <v>432</v>
      </c>
      <c r="C114" t="s">
        <v>399</v>
      </c>
      <c r="D114">
        <v>19859</v>
      </c>
      <c r="E114" s="1">
        <v>0.95201342281879198</v>
      </c>
      <c r="H114" t="s">
        <v>106</v>
      </c>
      <c r="I114">
        <v>48106</v>
      </c>
    </row>
    <row r="115" spans="1:9" x14ac:dyDescent="0.3">
      <c r="A115" t="s">
        <v>228</v>
      </c>
      <c r="B115" t="s">
        <v>402</v>
      </c>
      <c r="D115">
        <v>1001</v>
      </c>
      <c r="E115" s="1">
        <v>4.7986577181208051E-2</v>
      </c>
      <c r="H115" t="s">
        <v>108</v>
      </c>
      <c r="I115">
        <v>48106</v>
      </c>
    </row>
    <row r="116" spans="1:9" x14ac:dyDescent="0.3">
      <c r="A116" t="s">
        <v>136</v>
      </c>
      <c r="B116" t="s">
        <v>433</v>
      </c>
      <c r="C116" t="s">
        <v>399</v>
      </c>
      <c r="D116">
        <v>34698</v>
      </c>
      <c r="E116" s="1">
        <v>0.9736236601380549</v>
      </c>
      <c r="H116" t="s">
        <v>187</v>
      </c>
      <c r="I116">
        <v>37512</v>
      </c>
    </row>
    <row r="117" spans="1:9" x14ac:dyDescent="0.3">
      <c r="A117" t="s">
        <v>136</v>
      </c>
      <c r="B117" t="s">
        <v>402</v>
      </c>
      <c r="D117">
        <v>940</v>
      </c>
      <c r="E117" s="1">
        <v>2.6376339861945115E-2</v>
      </c>
      <c r="H117" t="s">
        <v>188</v>
      </c>
      <c r="I117">
        <v>37512</v>
      </c>
    </row>
    <row r="118" spans="1:9" x14ac:dyDescent="0.3">
      <c r="A118" t="s">
        <v>76</v>
      </c>
      <c r="B118" t="s">
        <v>434</v>
      </c>
      <c r="C118" t="s">
        <v>399</v>
      </c>
      <c r="D118">
        <v>24439</v>
      </c>
      <c r="E118" s="1">
        <v>0.48847714417061422</v>
      </c>
      <c r="H118" t="s">
        <v>84</v>
      </c>
      <c r="I118">
        <v>50320</v>
      </c>
    </row>
    <row r="119" spans="1:9" x14ac:dyDescent="0.3">
      <c r="A119" t="s">
        <v>76</v>
      </c>
      <c r="B119" t="s">
        <v>435</v>
      </c>
      <c r="C119" t="s">
        <v>401</v>
      </c>
      <c r="D119">
        <v>25532</v>
      </c>
      <c r="E119" s="1">
        <v>0.51032359936839156</v>
      </c>
      <c r="H119" t="s">
        <v>86</v>
      </c>
      <c r="I119">
        <v>50320</v>
      </c>
    </row>
    <row r="120" spans="1:9" x14ac:dyDescent="0.3">
      <c r="A120" t="s">
        <v>76</v>
      </c>
      <c r="B120" t="s">
        <v>402</v>
      </c>
      <c r="D120">
        <v>60</v>
      </c>
      <c r="E120" s="1">
        <v>1.1992564609941837E-3</v>
      </c>
      <c r="H120" t="s">
        <v>179</v>
      </c>
      <c r="I120">
        <v>39025</v>
      </c>
    </row>
    <row r="121" spans="1:9" x14ac:dyDescent="0.3">
      <c r="A121" t="s">
        <v>88</v>
      </c>
      <c r="B121" t="s">
        <v>436</v>
      </c>
      <c r="C121" t="s">
        <v>399</v>
      </c>
      <c r="D121">
        <v>42424</v>
      </c>
      <c r="E121" s="1">
        <v>0.87698191214470289</v>
      </c>
      <c r="H121" t="s">
        <v>180</v>
      </c>
      <c r="I121">
        <v>39025</v>
      </c>
    </row>
    <row r="122" spans="1:9" x14ac:dyDescent="0.3">
      <c r="A122" t="s">
        <v>88</v>
      </c>
      <c r="B122" t="s">
        <v>437</v>
      </c>
      <c r="C122" t="s">
        <v>401</v>
      </c>
      <c r="D122">
        <v>5853</v>
      </c>
      <c r="E122" s="1">
        <v>0.1209922480620155</v>
      </c>
      <c r="H122" t="s">
        <v>192</v>
      </c>
      <c r="I122">
        <v>36621</v>
      </c>
    </row>
    <row r="123" spans="1:9" x14ac:dyDescent="0.3">
      <c r="A123" t="s">
        <v>88</v>
      </c>
      <c r="B123" t="s">
        <v>402</v>
      </c>
      <c r="D123">
        <v>98</v>
      </c>
      <c r="E123" s="1">
        <v>2.0258397932816537E-3</v>
      </c>
      <c r="H123" t="s">
        <v>193</v>
      </c>
      <c r="I123">
        <v>36621</v>
      </c>
    </row>
    <row r="124" spans="1:9" x14ac:dyDescent="0.3">
      <c r="A124" t="s">
        <v>170</v>
      </c>
      <c r="B124" t="s">
        <v>438</v>
      </c>
      <c r="C124" t="s">
        <v>399</v>
      </c>
      <c r="D124">
        <v>28121</v>
      </c>
      <c r="E124" s="1">
        <v>0.73760000000000003</v>
      </c>
      <c r="H124" t="s">
        <v>185</v>
      </c>
      <c r="I124">
        <v>37735</v>
      </c>
    </row>
    <row r="125" spans="1:9" x14ac:dyDescent="0.3">
      <c r="A125" t="s">
        <v>170</v>
      </c>
      <c r="B125" t="s">
        <v>439</v>
      </c>
      <c r="C125" t="s">
        <v>399</v>
      </c>
      <c r="D125">
        <v>9701</v>
      </c>
      <c r="E125" s="1">
        <v>0.25445245901639346</v>
      </c>
      <c r="H125" t="s">
        <v>186</v>
      </c>
      <c r="I125">
        <v>37735</v>
      </c>
    </row>
    <row r="126" spans="1:9" x14ac:dyDescent="0.3">
      <c r="A126" t="s">
        <v>170</v>
      </c>
      <c r="B126" t="s">
        <v>402</v>
      </c>
      <c r="D126">
        <v>303</v>
      </c>
      <c r="E126" s="1">
        <v>7.9475409836065568E-3</v>
      </c>
      <c r="H126" t="s">
        <v>120</v>
      </c>
      <c r="I126">
        <v>46587</v>
      </c>
    </row>
    <row r="127" spans="1:9" x14ac:dyDescent="0.3">
      <c r="A127" t="s">
        <v>220</v>
      </c>
      <c r="B127" t="s">
        <v>440</v>
      </c>
      <c r="C127" t="s">
        <v>399</v>
      </c>
      <c r="D127">
        <v>18590</v>
      </c>
      <c r="E127" s="1">
        <v>0.66184847621760179</v>
      </c>
      <c r="H127" t="s">
        <v>122</v>
      </c>
      <c r="I127">
        <v>46587</v>
      </c>
    </row>
    <row r="128" spans="1:9" x14ac:dyDescent="0.3">
      <c r="A128" t="s">
        <v>220</v>
      </c>
      <c r="B128" t="s">
        <v>441</v>
      </c>
      <c r="C128" t="s">
        <v>401</v>
      </c>
      <c r="D128">
        <v>9444</v>
      </c>
      <c r="E128" s="1">
        <v>0.33622899458843636</v>
      </c>
      <c r="H128" t="s">
        <v>216</v>
      </c>
      <c r="I128">
        <v>29599</v>
      </c>
    </row>
    <row r="129" spans="1:9" x14ac:dyDescent="0.3">
      <c r="A129" t="s">
        <v>220</v>
      </c>
      <c r="B129" t="s">
        <v>402</v>
      </c>
      <c r="D129">
        <v>54</v>
      </c>
      <c r="E129" s="1">
        <v>1.9225291939618343E-3</v>
      </c>
      <c r="H129" t="s">
        <v>217</v>
      </c>
      <c r="I129">
        <v>29599</v>
      </c>
    </row>
    <row r="130" spans="1:9" x14ac:dyDescent="0.3">
      <c r="A130" t="s">
        <v>82</v>
      </c>
      <c r="B130" t="s">
        <v>442</v>
      </c>
      <c r="C130" t="s">
        <v>399</v>
      </c>
      <c r="D130">
        <v>13099</v>
      </c>
      <c r="E130" s="1">
        <v>0.26447131983282524</v>
      </c>
      <c r="H130" t="s">
        <v>224</v>
      </c>
      <c r="I130">
        <v>26711</v>
      </c>
    </row>
    <row r="131" spans="1:9" x14ac:dyDescent="0.3">
      <c r="A131" t="s">
        <v>82</v>
      </c>
      <c r="B131" t="s">
        <v>443</v>
      </c>
      <c r="C131" t="s">
        <v>399</v>
      </c>
      <c r="D131">
        <v>13079</v>
      </c>
      <c r="E131" s="1">
        <v>0.26406751600072687</v>
      </c>
      <c r="H131" t="s">
        <v>225</v>
      </c>
      <c r="I131">
        <v>26711</v>
      </c>
    </row>
    <row r="132" spans="1:9" x14ac:dyDescent="0.3">
      <c r="A132" t="s">
        <v>82</v>
      </c>
      <c r="B132" t="s">
        <v>444</v>
      </c>
      <c r="C132" t="s">
        <v>405</v>
      </c>
      <c r="D132">
        <v>1239</v>
      </c>
      <c r="E132" s="1">
        <v>2.5015647398493813E-2</v>
      </c>
      <c r="H132" t="s">
        <v>202</v>
      </c>
      <c r="I132">
        <v>34453</v>
      </c>
    </row>
    <row r="133" spans="1:9" x14ac:dyDescent="0.3">
      <c r="A133" t="s">
        <v>82</v>
      </c>
      <c r="B133" t="s">
        <v>445</v>
      </c>
      <c r="C133" t="s">
        <v>401</v>
      </c>
      <c r="D133">
        <v>22077</v>
      </c>
      <c r="E133" s="1">
        <v>0.44573886006178198</v>
      </c>
      <c r="H133" t="s">
        <v>203</v>
      </c>
      <c r="I133">
        <v>34453</v>
      </c>
    </row>
    <row r="134" spans="1:9" x14ac:dyDescent="0.3">
      <c r="A134" t="s">
        <v>82</v>
      </c>
      <c r="B134" t="s">
        <v>402</v>
      </c>
      <c r="D134">
        <v>35</v>
      </c>
      <c r="E134" s="1">
        <v>7.0665670617214155E-4</v>
      </c>
    </row>
    <row r="135" spans="1:9" x14ac:dyDescent="0.3">
      <c r="A135" t="s">
        <v>178</v>
      </c>
      <c r="B135" t="s">
        <v>32</v>
      </c>
      <c r="C135" t="s">
        <v>399</v>
      </c>
      <c r="D135">
        <v>8953</v>
      </c>
      <c r="E135" s="1">
        <v>0.23543797827859153</v>
      </c>
    </row>
    <row r="136" spans="1:9" x14ac:dyDescent="0.3">
      <c r="A136" t="s">
        <v>178</v>
      </c>
      <c r="B136" t="s">
        <v>389</v>
      </c>
      <c r="C136" t="s">
        <v>405</v>
      </c>
      <c r="D136">
        <v>3624</v>
      </c>
      <c r="E136" s="1">
        <v>9.530070739211613E-2</v>
      </c>
    </row>
    <row r="137" spans="1:9" x14ac:dyDescent="0.3">
      <c r="A137" t="s">
        <v>178</v>
      </c>
      <c r="B137" t="s">
        <v>31</v>
      </c>
      <c r="C137" t="s">
        <v>399</v>
      </c>
      <c r="D137">
        <v>25355</v>
      </c>
      <c r="E137" s="1">
        <v>0.66676308938385886</v>
      </c>
    </row>
    <row r="138" spans="1:9" x14ac:dyDescent="0.3">
      <c r="A138" t="s">
        <v>178</v>
      </c>
      <c r="B138" t="s">
        <v>402</v>
      </c>
      <c r="D138">
        <v>95</v>
      </c>
      <c r="E138" s="1">
        <v>2.4982249454335078E-3</v>
      </c>
    </row>
    <row r="139" spans="1:9" x14ac:dyDescent="0.3">
      <c r="A139" t="s">
        <v>191</v>
      </c>
      <c r="B139" t="s">
        <v>446</v>
      </c>
      <c r="C139" t="s">
        <v>401</v>
      </c>
      <c r="D139">
        <v>13705</v>
      </c>
      <c r="E139" s="1">
        <v>0.37988191922831721</v>
      </c>
    </row>
    <row r="140" spans="1:9" x14ac:dyDescent="0.3">
      <c r="A140" t="s">
        <v>191</v>
      </c>
      <c r="B140" t="s">
        <v>447</v>
      </c>
      <c r="C140" t="s">
        <v>399</v>
      </c>
      <c r="D140">
        <v>22325</v>
      </c>
      <c r="E140" s="1">
        <v>0.61881531169443138</v>
      </c>
    </row>
    <row r="141" spans="1:9" x14ac:dyDescent="0.3">
      <c r="A141" t="s">
        <v>191</v>
      </c>
      <c r="B141" t="s">
        <v>402</v>
      </c>
      <c r="D141">
        <v>47</v>
      </c>
      <c r="E141" s="1">
        <v>1.3027690772514345E-3</v>
      </c>
    </row>
    <row r="142" spans="1:9" x14ac:dyDescent="0.3">
      <c r="A142" t="s">
        <v>184</v>
      </c>
      <c r="B142" t="s">
        <v>448</v>
      </c>
      <c r="C142" t="s">
        <v>399</v>
      </c>
      <c r="D142">
        <v>26498</v>
      </c>
      <c r="E142" s="1">
        <v>0.91704447136182732</v>
      </c>
    </row>
    <row r="143" spans="1:9" x14ac:dyDescent="0.3">
      <c r="A143" t="s">
        <v>184</v>
      </c>
      <c r="B143" t="s">
        <v>402</v>
      </c>
      <c r="D143">
        <v>2397</v>
      </c>
      <c r="E143" s="1">
        <v>8.2955528638172696E-2</v>
      </c>
    </row>
    <row r="144" spans="1:9" x14ac:dyDescent="0.3">
      <c r="A144" t="s">
        <v>118</v>
      </c>
      <c r="B144" t="s">
        <v>449</v>
      </c>
      <c r="C144" t="s">
        <v>399</v>
      </c>
      <c r="D144">
        <v>40843</v>
      </c>
      <c r="E144" s="1">
        <v>0.90548929189021421</v>
      </c>
    </row>
    <row r="145" spans="1:5" x14ac:dyDescent="0.3">
      <c r="A145" t="s">
        <v>118</v>
      </c>
      <c r="B145" t="s">
        <v>450</v>
      </c>
      <c r="C145" t="s">
        <v>401</v>
      </c>
      <c r="D145">
        <v>4146</v>
      </c>
      <c r="E145" s="1">
        <v>9.1916818161663638E-2</v>
      </c>
    </row>
    <row r="146" spans="1:5" x14ac:dyDescent="0.3">
      <c r="A146" t="s">
        <v>118</v>
      </c>
      <c r="B146" t="s">
        <v>402</v>
      </c>
      <c r="D146">
        <v>117</v>
      </c>
      <c r="E146" s="1">
        <v>2.5938899481222012E-3</v>
      </c>
    </row>
    <row r="147" spans="1:5" x14ac:dyDescent="0.3">
      <c r="A147" t="s">
        <v>215</v>
      </c>
      <c r="B147" t="s">
        <v>451</v>
      </c>
      <c r="C147" t="s">
        <v>399</v>
      </c>
      <c r="D147">
        <v>17229</v>
      </c>
      <c r="E147" s="1">
        <v>0.59299924278928895</v>
      </c>
    </row>
    <row r="148" spans="1:5" x14ac:dyDescent="0.3">
      <c r="A148" t="s">
        <v>215</v>
      </c>
      <c r="B148" t="s">
        <v>452</v>
      </c>
      <c r="C148" t="s">
        <v>401</v>
      </c>
      <c r="D148">
        <v>11792</v>
      </c>
      <c r="E148" s="1">
        <v>0.40586494114407656</v>
      </c>
    </row>
    <row r="149" spans="1:5" x14ac:dyDescent="0.3">
      <c r="A149" t="s">
        <v>215</v>
      </c>
      <c r="B149" t="s">
        <v>402</v>
      </c>
      <c r="D149">
        <v>33</v>
      </c>
      <c r="E149" s="1">
        <v>1.1358160666345425E-3</v>
      </c>
    </row>
    <row r="150" spans="1:5" x14ac:dyDescent="0.3">
      <c r="A150" t="s">
        <v>223</v>
      </c>
      <c r="B150" t="s">
        <v>453</v>
      </c>
      <c r="C150" t="s">
        <v>399</v>
      </c>
      <c r="D150">
        <v>19622</v>
      </c>
      <c r="E150" s="1">
        <v>0.95344995140913513</v>
      </c>
    </row>
    <row r="151" spans="1:5" x14ac:dyDescent="0.3">
      <c r="A151" t="s">
        <v>223</v>
      </c>
      <c r="B151" t="s">
        <v>402</v>
      </c>
      <c r="D151">
        <v>958</v>
      </c>
      <c r="E151" s="1">
        <v>4.6550048590864916E-2</v>
      </c>
    </row>
    <row r="152" spans="1:5" x14ac:dyDescent="0.3">
      <c r="A152" t="s">
        <v>174</v>
      </c>
      <c r="B152" t="s">
        <v>454</v>
      </c>
      <c r="C152" t="s">
        <v>399</v>
      </c>
      <c r="D152">
        <v>29363</v>
      </c>
      <c r="E152" s="1">
        <v>0.74747346180281549</v>
      </c>
    </row>
    <row r="153" spans="1:5" x14ac:dyDescent="0.3">
      <c r="A153" t="s">
        <v>174</v>
      </c>
      <c r="B153" t="s">
        <v>455</v>
      </c>
      <c r="C153" t="s">
        <v>401</v>
      </c>
      <c r="D153">
        <v>9850</v>
      </c>
      <c r="E153" s="1">
        <v>0.25074459689942213</v>
      </c>
    </row>
    <row r="154" spans="1:5" x14ac:dyDescent="0.3">
      <c r="A154" t="s">
        <v>174</v>
      </c>
      <c r="B154" t="s">
        <v>404</v>
      </c>
      <c r="D154">
        <v>70</v>
      </c>
      <c r="E154" s="1">
        <v>1.7819412977623909E-3</v>
      </c>
    </row>
    <row r="155" spans="1:5" x14ac:dyDescent="0.3">
      <c r="A155" t="s">
        <v>175</v>
      </c>
      <c r="B155" t="s">
        <v>456</v>
      </c>
      <c r="C155" t="s">
        <v>457</v>
      </c>
      <c r="D155">
        <v>2187</v>
      </c>
      <c r="E155" s="1">
        <v>5.5554144334086925E-2</v>
      </c>
    </row>
    <row r="156" spans="1:5" x14ac:dyDescent="0.3">
      <c r="A156" t="s">
        <v>175</v>
      </c>
      <c r="B156" t="s">
        <v>458</v>
      </c>
      <c r="C156" t="s">
        <v>399</v>
      </c>
      <c r="D156">
        <v>19108</v>
      </c>
      <c r="E156" s="1">
        <v>0.48538115680646227</v>
      </c>
    </row>
    <row r="157" spans="1:5" x14ac:dyDescent="0.3">
      <c r="A157" t="s">
        <v>175</v>
      </c>
      <c r="B157" t="s">
        <v>459</v>
      </c>
      <c r="C157" t="s">
        <v>401</v>
      </c>
      <c r="D157">
        <v>9080</v>
      </c>
      <c r="E157" s="1">
        <v>0.23065003683288032</v>
      </c>
    </row>
    <row r="158" spans="1:5" x14ac:dyDescent="0.3">
      <c r="A158" t="s">
        <v>175</v>
      </c>
      <c r="B158" t="s">
        <v>460</v>
      </c>
      <c r="C158" t="s">
        <v>399</v>
      </c>
      <c r="D158">
        <v>8959</v>
      </c>
      <c r="E158" s="1">
        <v>0.22757639647420427</v>
      </c>
    </row>
    <row r="159" spans="1:5" x14ac:dyDescent="0.3">
      <c r="A159" t="s">
        <v>175</v>
      </c>
      <c r="B159" t="s">
        <v>402</v>
      </c>
      <c r="D159">
        <v>33</v>
      </c>
      <c r="E159" s="1">
        <v>8.3826555236619503E-4</v>
      </c>
    </row>
    <row r="160" spans="1:5" x14ac:dyDescent="0.3">
      <c r="A160" t="s">
        <v>210</v>
      </c>
      <c r="B160" t="s">
        <v>461</v>
      </c>
      <c r="C160" t="s">
        <v>462</v>
      </c>
      <c r="D160">
        <v>13160</v>
      </c>
      <c r="E160" s="1">
        <v>0.41735379931498162</v>
      </c>
    </row>
    <row r="161" spans="1:5" x14ac:dyDescent="0.3">
      <c r="A161" t="s">
        <v>210</v>
      </c>
      <c r="B161" t="s">
        <v>463</v>
      </c>
      <c r="C161" t="s">
        <v>401</v>
      </c>
      <c r="D161">
        <v>18316</v>
      </c>
      <c r="E161" s="1">
        <v>0.58087022707091207</v>
      </c>
    </row>
    <row r="162" spans="1:5" x14ac:dyDescent="0.3">
      <c r="A162" t="s">
        <v>210</v>
      </c>
      <c r="B162" t="s">
        <v>402</v>
      </c>
      <c r="D162">
        <v>56</v>
      </c>
      <c r="E162" s="1">
        <v>1.7759736141063048E-3</v>
      </c>
    </row>
    <row r="163" spans="1:5" x14ac:dyDescent="0.3">
      <c r="A163" t="s">
        <v>211</v>
      </c>
      <c r="B163" t="s">
        <v>464</v>
      </c>
      <c r="C163" t="s">
        <v>399</v>
      </c>
      <c r="D163">
        <v>10607</v>
      </c>
      <c r="E163" s="1">
        <v>0.33563269309875643</v>
      </c>
    </row>
    <row r="164" spans="1:5" x14ac:dyDescent="0.3">
      <c r="A164" t="s">
        <v>211</v>
      </c>
      <c r="B164" t="s">
        <v>465</v>
      </c>
      <c r="C164" t="s">
        <v>399</v>
      </c>
      <c r="D164">
        <v>2975</v>
      </c>
      <c r="E164" s="1">
        <v>9.4136632598171066E-2</v>
      </c>
    </row>
    <row r="165" spans="1:5" x14ac:dyDescent="0.3">
      <c r="A165" t="s">
        <v>211</v>
      </c>
      <c r="B165" t="s">
        <v>466</v>
      </c>
      <c r="C165" t="s">
        <v>401</v>
      </c>
      <c r="D165">
        <v>17982</v>
      </c>
      <c r="E165" s="1">
        <v>0.56899661424548298</v>
      </c>
    </row>
    <row r="166" spans="1:5" x14ac:dyDescent="0.3">
      <c r="A166" t="s">
        <v>211</v>
      </c>
      <c r="B166" t="s">
        <v>402</v>
      </c>
      <c r="D166">
        <v>39</v>
      </c>
      <c r="E166" s="1">
        <v>1.2340600575894694E-3</v>
      </c>
    </row>
    <row r="167" spans="1:5" x14ac:dyDescent="0.3">
      <c r="A167" t="s">
        <v>156</v>
      </c>
      <c r="B167" t="s">
        <v>467</v>
      </c>
      <c r="C167" t="s">
        <v>468</v>
      </c>
      <c r="D167">
        <v>27036</v>
      </c>
      <c r="E167" s="1">
        <v>0.64357637649075194</v>
      </c>
    </row>
    <row r="168" spans="1:5" x14ac:dyDescent="0.3">
      <c r="A168" t="s">
        <v>156</v>
      </c>
      <c r="B168" t="s">
        <v>469</v>
      </c>
      <c r="C168" t="s">
        <v>405</v>
      </c>
      <c r="D168">
        <v>2196</v>
      </c>
      <c r="E168" s="1">
        <v>5.2274512604441908E-2</v>
      </c>
    </row>
    <row r="169" spans="1:5" x14ac:dyDescent="0.3">
      <c r="A169" t="s">
        <v>156</v>
      </c>
      <c r="B169" t="s">
        <v>470</v>
      </c>
      <c r="C169" t="s">
        <v>401</v>
      </c>
      <c r="D169">
        <v>12694</v>
      </c>
      <c r="E169" s="1">
        <v>0.30217334380727939</v>
      </c>
    </row>
    <row r="170" spans="1:5" x14ac:dyDescent="0.3">
      <c r="A170" t="s">
        <v>156</v>
      </c>
      <c r="B170" t="s">
        <v>402</v>
      </c>
      <c r="D170">
        <v>83</v>
      </c>
      <c r="E170" s="1">
        <v>1.9757670975267204E-3</v>
      </c>
    </row>
    <row r="171" spans="1:5" x14ac:dyDescent="0.3">
      <c r="A171" t="s">
        <v>158</v>
      </c>
      <c r="B171" t="s">
        <v>471</v>
      </c>
      <c r="C171" t="s">
        <v>401</v>
      </c>
      <c r="D171">
        <v>13775</v>
      </c>
      <c r="E171" s="1">
        <v>0.3289630797153365</v>
      </c>
    </row>
    <row r="172" spans="1:5" x14ac:dyDescent="0.3">
      <c r="A172" t="s">
        <v>158</v>
      </c>
      <c r="B172" t="s">
        <v>472</v>
      </c>
      <c r="C172" t="s">
        <v>399</v>
      </c>
      <c r="D172">
        <v>12647</v>
      </c>
      <c r="E172" s="1">
        <v>0.30202512298801165</v>
      </c>
    </row>
    <row r="173" spans="1:5" x14ac:dyDescent="0.3">
      <c r="A173" t="s">
        <v>158</v>
      </c>
      <c r="B173" t="s">
        <v>473</v>
      </c>
      <c r="C173" t="s">
        <v>399</v>
      </c>
      <c r="D173">
        <v>13564</v>
      </c>
      <c r="E173" s="1">
        <v>0.32392415341261882</v>
      </c>
    </row>
    <row r="174" spans="1:5" x14ac:dyDescent="0.3">
      <c r="A174" t="s">
        <v>158</v>
      </c>
      <c r="B174" t="s">
        <v>474</v>
      </c>
      <c r="C174" t="s">
        <v>399</v>
      </c>
      <c r="D174">
        <v>1845</v>
      </c>
      <c r="E174" s="1">
        <v>4.4060753689640353E-2</v>
      </c>
    </row>
    <row r="175" spans="1:5" x14ac:dyDescent="0.3">
      <c r="A175" t="s">
        <v>158</v>
      </c>
      <c r="B175" t="s">
        <v>404</v>
      </c>
      <c r="D175">
        <v>43</v>
      </c>
      <c r="E175" s="1">
        <v>1.0268901943927019E-3</v>
      </c>
    </row>
    <row r="176" spans="1:5" x14ac:dyDescent="0.3">
      <c r="A176" t="s">
        <v>148</v>
      </c>
      <c r="B176" t="s">
        <v>475</v>
      </c>
      <c r="C176" t="s">
        <v>401</v>
      </c>
      <c r="D176">
        <v>10577</v>
      </c>
      <c r="E176" s="1">
        <v>0.29583531451906131</v>
      </c>
    </row>
    <row r="177" spans="1:5" x14ac:dyDescent="0.3">
      <c r="A177" t="s">
        <v>148</v>
      </c>
      <c r="B177" t="s">
        <v>476</v>
      </c>
      <c r="C177" t="s">
        <v>401</v>
      </c>
      <c r="D177">
        <v>11266</v>
      </c>
      <c r="E177" s="1">
        <v>0.31510642463569488</v>
      </c>
    </row>
    <row r="178" spans="1:5" x14ac:dyDescent="0.3">
      <c r="A178" t="s">
        <v>148</v>
      </c>
      <c r="B178" t="s">
        <v>477</v>
      </c>
      <c r="C178" t="s">
        <v>401</v>
      </c>
      <c r="D178">
        <v>6494</v>
      </c>
      <c r="E178" s="1">
        <v>0.18163510754342294</v>
      </c>
    </row>
    <row r="179" spans="1:5" x14ac:dyDescent="0.3">
      <c r="A179" t="s">
        <v>148</v>
      </c>
      <c r="B179" t="s">
        <v>478</v>
      </c>
      <c r="C179" t="s">
        <v>401</v>
      </c>
      <c r="D179">
        <v>5998</v>
      </c>
      <c r="E179" s="1">
        <v>0.16776214583391605</v>
      </c>
    </row>
    <row r="180" spans="1:5" x14ac:dyDescent="0.3">
      <c r="A180" t="s">
        <v>148</v>
      </c>
      <c r="B180" t="s">
        <v>402</v>
      </c>
      <c r="D180">
        <v>1418</v>
      </c>
      <c r="E180" s="1">
        <v>3.9661007467904789E-2</v>
      </c>
    </row>
    <row r="181" spans="1:5" x14ac:dyDescent="0.3">
      <c r="A181" t="s">
        <v>150</v>
      </c>
      <c r="B181" t="s">
        <v>479</v>
      </c>
      <c r="C181" t="s">
        <v>401</v>
      </c>
      <c r="D181">
        <v>17746</v>
      </c>
      <c r="E181" s="1">
        <v>0.42896855133070655</v>
      </c>
    </row>
    <row r="182" spans="1:5" x14ac:dyDescent="0.3">
      <c r="A182" t="s">
        <v>150</v>
      </c>
      <c r="B182" t="s">
        <v>480</v>
      </c>
      <c r="C182" t="s">
        <v>401</v>
      </c>
      <c r="D182">
        <v>6724</v>
      </c>
      <c r="E182" s="1">
        <v>0.16253716551040634</v>
      </c>
    </row>
    <row r="183" spans="1:5" x14ac:dyDescent="0.3">
      <c r="A183" t="s">
        <v>150</v>
      </c>
      <c r="B183" t="s">
        <v>481</v>
      </c>
      <c r="C183" t="s">
        <v>399</v>
      </c>
      <c r="D183">
        <v>16760</v>
      </c>
      <c r="E183" s="1">
        <v>0.40513427929125673</v>
      </c>
    </row>
    <row r="184" spans="1:5" x14ac:dyDescent="0.3">
      <c r="A184" t="s">
        <v>150</v>
      </c>
      <c r="B184" t="s">
        <v>404</v>
      </c>
      <c r="D184">
        <v>139</v>
      </c>
      <c r="E184" s="1">
        <v>3.3600038676303511E-3</v>
      </c>
    </row>
    <row r="185" spans="1:5" x14ac:dyDescent="0.3">
      <c r="A185" t="s">
        <v>160</v>
      </c>
      <c r="B185" t="s">
        <v>482</v>
      </c>
      <c r="C185" t="s">
        <v>405</v>
      </c>
      <c r="D185">
        <v>1078</v>
      </c>
      <c r="E185" s="1">
        <v>2.6292041657520547E-2</v>
      </c>
    </row>
    <row r="186" spans="1:5" x14ac:dyDescent="0.3">
      <c r="A186" t="s">
        <v>160</v>
      </c>
      <c r="B186" t="s">
        <v>483</v>
      </c>
      <c r="C186" t="s">
        <v>399</v>
      </c>
      <c r="D186">
        <v>18259</v>
      </c>
      <c r="E186" s="1">
        <v>0.44533060169264166</v>
      </c>
    </row>
    <row r="187" spans="1:5" x14ac:dyDescent="0.3">
      <c r="A187" t="s">
        <v>160</v>
      </c>
      <c r="B187" t="s">
        <v>484</v>
      </c>
      <c r="C187" t="s">
        <v>399</v>
      </c>
      <c r="D187">
        <v>3984</v>
      </c>
      <c r="E187" s="1">
        <v>9.7168361747274459E-2</v>
      </c>
    </row>
    <row r="188" spans="1:5" x14ac:dyDescent="0.3">
      <c r="A188" t="s">
        <v>160</v>
      </c>
      <c r="B188" t="s">
        <v>485</v>
      </c>
      <c r="C188" t="s">
        <v>401</v>
      </c>
      <c r="D188">
        <v>17648</v>
      </c>
      <c r="E188" s="1">
        <v>0.43042852613350896</v>
      </c>
    </row>
    <row r="189" spans="1:5" x14ac:dyDescent="0.3">
      <c r="A189" t="s">
        <v>160</v>
      </c>
      <c r="B189" t="s">
        <v>404</v>
      </c>
      <c r="D189">
        <v>32</v>
      </c>
      <c r="E189" s="1">
        <v>7.8046876905441334E-4</v>
      </c>
    </row>
    <row r="190" spans="1:5" x14ac:dyDescent="0.3">
      <c r="A190" t="s">
        <v>162</v>
      </c>
      <c r="B190" t="s">
        <v>486</v>
      </c>
      <c r="C190" t="s">
        <v>401</v>
      </c>
      <c r="D190">
        <v>17414</v>
      </c>
      <c r="E190" s="1">
        <v>0.42250582298136646</v>
      </c>
    </row>
    <row r="191" spans="1:5" x14ac:dyDescent="0.3">
      <c r="A191" t="s">
        <v>162</v>
      </c>
      <c r="B191" t="s">
        <v>487</v>
      </c>
      <c r="C191" t="s">
        <v>399</v>
      </c>
      <c r="D191">
        <v>23763</v>
      </c>
      <c r="E191" s="1">
        <v>0.57654794254658381</v>
      </c>
    </row>
    <row r="192" spans="1:5" x14ac:dyDescent="0.3">
      <c r="A192" t="s">
        <v>162</v>
      </c>
      <c r="B192" t="s">
        <v>402</v>
      </c>
      <c r="D192">
        <v>39</v>
      </c>
      <c r="E192" s="1">
        <v>9.4623447204968949E-4</v>
      </c>
    </row>
    <row r="193" spans="1:5" x14ac:dyDescent="0.3">
      <c r="A193" t="s">
        <v>182</v>
      </c>
      <c r="B193" t="s">
        <v>378</v>
      </c>
      <c r="C193" t="s">
        <v>401</v>
      </c>
      <c r="D193">
        <v>1730</v>
      </c>
      <c r="E193" s="1">
        <v>4.768730359997795E-2</v>
      </c>
    </row>
    <row r="194" spans="1:5" x14ac:dyDescent="0.3">
      <c r="A194" t="s">
        <v>182</v>
      </c>
      <c r="B194" t="s">
        <v>379</v>
      </c>
      <c r="C194" t="s">
        <v>401</v>
      </c>
      <c r="D194">
        <v>7022</v>
      </c>
      <c r="E194" s="1">
        <v>0.19356083576823419</v>
      </c>
    </row>
    <row r="195" spans="1:5" x14ac:dyDescent="0.3">
      <c r="A195" t="s">
        <v>182</v>
      </c>
      <c r="B195" t="s">
        <v>380</v>
      </c>
      <c r="C195" t="s">
        <v>399</v>
      </c>
      <c r="D195">
        <v>11071</v>
      </c>
      <c r="E195" s="1">
        <v>0.30517117812448313</v>
      </c>
    </row>
    <row r="196" spans="1:5" x14ac:dyDescent="0.3">
      <c r="A196" t="s">
        <v>182</v>
      </c>
      <c r="B196" t="s">
        <v>381</v>
      </c>
      <c r="C196" t="s">
        <v>401</v>
      </c>
      <c r="D196">
        <v>2633</v>
      </c>
      <c r="E196" s="1">
        <v>7.2578422184243888E-2</v>
      </c>
    </row>
    <row r="197" spans="1:5" x14ac:dyDescent="0.3">
      <c r="A197" t="s">
        <v>182</v>
      </c>
      <c r="B197" t="s">
        <v>382</v>
      </c>
      <c r="C197" t="s">
        <v>399</v>
      </c>
      <c r="D197">
        <v>4296</v>
      </c>
      <c r="E197" s="1">
        <v>0.11841887645404929</v>
      </c>
    </row>
    <row r="198" spans="1:5" x14ac:dyDescent="0.3">
      <c r="A198" t="s">
        <v>182</v>
      </c>
      <c r="B198" t="s">
        <v>383</v>
      </c>
      <c r="C198" t="s">
        <v>401</v>
      </c>
      <c r="D198">
        <v>9431</v>
      </c>
      <c r="E198" s="1">
        <v>0.25996471690831907</v>
      </c>
    </row>
    <row r="199" spans="1:5" x14ac:dyDescent="0.3">
      <c r="A199" t="s">
        <v>182</v>
      </c>
      <c r="B199" t="s">
        <v>404</v>
      </c>
      <c r="D199">
        <v>95</v>
      </c>
      <c r="E199" s="1">
        <v>2.6186669606924305E-3</v>
      </c>
    </row>
    <row r="200" spans="1:5" x14ac:dyDescent="0.3">
      <c r="A200" t="s">
        <v>183</v>
      </c>
      <c r="B200" t="s">
        <v>40</v>
      </c>
      <c r="C200" t="s">
        <v>401</v>
      </c>
      <c r="D200">
        <v>18620</v>
      </c>
      <c r="E200" s="1">
        <v>0.5059370160041301</v>
      </c>
    </row>
    <row r="201" spans="1:5" x14ac:dyDescent="0.3">
      <c r="A201" t="s">
        <v>183</v>
      </c>
      <c r="B201" t="s">
        <v>41</v>
      </c>
      <c r="C201" t="s">
        <v>399</v>
      </c>
      <c r="D201">
        <v>9183</v>
      </c>
      <c r="E201" s="1">
        <v>0.24951770236122056</v>
      </c>
    </row>
    <row r="202" spans="1:5" x14ac:dyDescent="0.3">
      <c r="A202" t="s">
        <v>183</v>
      </c>
      <c r="B202" t="s">
        <v>42</v>
      </c>
      <c r="C202" t="s">
        <v>400</v>
      </c>
      <c r="D202">
        <v>8926</v>
      </c>
      <c r="E202" s="1">
        <v>0.24253457598565334</v>
      </c>
    </row>
    <row r="203" spans="1:5" x14ac:dyDescent="0.3">
      <c r="A203" t="s">
        <v>183</v>
      </c>
      <c r="B203" t="s">
        <v>402</v>
      </c>
      <c r="D203">
        <v>74</v>
      </c>
      <c r="E203" s="1">
        <v>2.0107056489960056E-3</v>
      </c>
    </row>
    <row r="204" spans="1:5" x14ac:dyDescent="0.3">
      <c r="A204" t="s">
        <v>144</v>
      </c>
      <c r="B204" t="s">
        <v>488</v>
      </c>
      <c r="C204" t="s">
        <v>401</v>
      </c>
      <c r="D204">
        <v>29655</v>
      </c>
      <c r="E204" s="1">
        <v>0.96681120203436244</v>
      </c>
    </row>
    <row r="205" spans="1:5" x14ac:dyDescent="0.3">
      <c r="A205" t="s">
        <v>144</v>
      </c>
      <c r="B205" t="s">
        <v>404</v>
      </c>
      <c r="D205">
        <v>1018</v>
      </c>
      <c r="E205" s="1">
        <v>3.3188797965637534E-2</v>
      </c>
    </row>
    <row r="206" spans="1:5" x14ac:dyDescent="0.3">
      <c r="A206" t="s">
        <v>146</v>
      </c>
      <c r="B206" t="s">
        <v>489</v>
      </c>
      <c r="C206" t="s">
        <v>401</v>
      </c>
      <c r="D206">
        <v>29429</v>
      </c>
      <c r="E206" s="1">
        <v>0.96720018404706343</v>
      </c>
    </row>
    <row r="207" spans="1:5" x14ac:dyDescent="0.3">
      <c r="A207" t="s">
        <v>146</v>
      </c>
      <c r="B207" t="s">
        <v>404</v>
      </c>
      <c r="D207">
        <v>998</v>
      </c>
      <c r="E207" s="1">
        <v>3.2799815952936538E-2</v>
      </c>
    </row>
    <row r="208" spans="1:5" x14ac:dyDescent="0.3">
      <c r="A208" t="s">
        <v>197</v>
      </c>
      <c r="B208" t="s">
        <v>490</v>
      </c>
      <c r="C208" t="s">
        <v>401</v>
      </c>
      <c r="D208">
        <v>23971</v>
      </c>
      <c r="E208" s="1">
        <v>0.9739557939216642</v>
      </c>
    </row>
    <row r="209" spans="1:5" x14ac:dyDescent="0.3">
      <c r="A209" t="s">
        <v>197</v>
      </c>
      <c r="B209" t="s">
        <v>402</v>
      </c>
      <c r="D209">
        <v>641</v>
      </c>
      <c r="E209" s="1">
        <v>2.6044206078335772E-2</v>
      </c>
    </row>
    <row r="210" spans="1:5" x14ac:dyDescent="0.3">
      <c r="A210" t="s">
        <v>198</v>
      </c>
      <c r="B210" t="s">
        <v>491</v>
      </c>
      <c r="C210" t="s">
        <v>401</v>
      </c>
      <c r="D210">
        <v>24181</v>
      </c>
      <c r="E210" s="1">
        <v>0.97386226339105919</v>
      </c>
    </row>
    <row r="211" spans="1:5" x14ac:dyDescent="0.3">
      <c r="A211" t="s">
        <v>198</v>
      </c>
      <c r="B211" t="s">
        <v>402</v>
      </c>
      <c r="D211">
        <v>649</v>
      </c>
      <c r="E211" s="1">
        <v>2.6137736608940799E-2</v>
      </c>
    </row>
    <row r="212" spans="1:5" x14ac:dyDescent="0.3">
      <c r="A212" t="s">
        <v>152</v>
      </c>
      <c r="B212" t="s">
        <v>492</v>
      </c>
      <c r="C212" t="s">
        <v>401</v>
      </c>
      <c r="D212">
        <v>29372</v>
      </c>
      <c r="E212" s="1">
        <v>0.94595813204508861</v>
      </c>
    </row>
    <row r="213" spans="1:5" x14ac:dyDescent="0.3">
      <c r="A213" t="s">
        <v>152</v>
      </c>
      <c r="B213" t="s">
        <v>402</v>
      </c>
      <c r="D213">
        <v>1678</v>
      </c>
      <c r="E213" s="1">
        <v>5.4041867954911435E-2</v>
      </c>
    </row>
    <row r="214" spans="1:5" x14ac:dyDescent="0.3">
      <c r="A214" t="s">
        <v>154</v>
      </c>
      <c r="B214" t="s">
        <v>493</v>
      </c>
      <c r="C214" t="s">
        <v>401</v>
      </c>
      <c r="D214">
        <v>25991</v>
      </c>
      <c r="E214" s="1">
        <v>0.6259271746459879</v>
      </c>
    </row>
    <row r="215" spans="1:5" x14ac:dyDescent="0.3">
      <c r="A215" t="s">
        <v>154</v>
      </c>
      <c r="B215" t="s">
        <v>494</v>
      </c>
      <c r="C215" t="s">
        <v>399</v>
      </c>
      <c r="D215">
        <v>15456</v>
      </c>
      <c r="E215" s="1">
        <v>0.3722184760620364</v>
      </c>
    </row>
    <row r="216" spans="1:5" x14ac:dyDescent="0.3">
      <c r="A216" t="s">
        <v>154</v>
      </c>
      <c r="B216" t="s">
        <v>402</v>
      </c>
      <c r="D216">
        <v>77</v>
      </c>
      <c r="E216" s="1">
        <v>1.8543492919757248E-3</v>
      </c>
    </row>
    <row r="217" spans="1:5" x14ac:dyDescent="0.3">
      <c r="A217" t="s">
        <v>94</v>
      </c>
      <c r="B217" t="s">
        <v>495</v>
      </c>
      <c r="C217" t="s">
        <v>399</v>
      </c>
      <c r="D217">
        <v>27926</v>
      </c>
      <c r="E217" s="1">
        <v>0.58071492441098793</v>
      </c>
    </row>
    <row r="218" spans="1:5" x14ac:dyDescent="0.3">
      <c r="A218" t="s">
        <v>94</v>
      </c>
      <c r="B218" t="s">
        <v>496</v>
      </c>
      <c r="C218" t="s">
        <v>401</v>
      </c>
      <c r="D218">
        <v>20123</v>
      </c>
      <c r="E218" s="1">
        <v>0.41845328453492481</v>
      </c>
    </row>
    <row r="219" spans="1:5" x14ac:dyDescent="0.3">
      <c r="A219" t="s">
        <v>94</v>
      </c>
      <c r="B219" t="s">
        <v>402</v>
      </c>
      <c r="D219">
        <v>40</v>
      </c>
      <c r="E219" s="1">
        <v>8.3179105408721324E-4</v>
      </c>
    </row>
    <row r="220" spans="1:5" x14ac:dyDescent="0.3">
      <c r="A220" t="s">
        <v>96</v>
      </c>
      <c r="B220" t="s">
        <v>497</v>
      </c>
      <c r="C220" t="s">
        <v>401</v>
      </c>
      <c r="D220">
        <v>9251</v>
      </c>
      <c r="E220" s="1">
        <v>0.19249656664863291</v>
      </c>
    </row>
    <row r="221" spans="1:5" x14ac:dyDescent="0.3">
      <c r="A221" t="s">
        <v>96</v>
      </c>
      <c r="B221" t="s">
        <v>498</v>
      </c>
      <c r="C221" t="s">
        <v>399</v>
      </c>
      <c r="D221">
        <v>28203</v>
      </c>
      <c r="E221" s="1">
        <v>0.58685338549252986</v>
      </c>
    </row>
    <row r="222" spans="1:5" x14ac:dyDescent="0.3">
      <c r="A222" t="s">
        <v>96</v>
      </c>
      <c r="B222" t="s">
        <v>499</v>
      </c>
      <c r="C222" t="s">
        <v>401</v>
      </c>
      <c r="D222">
        <v>10547</v>
      </c>
      <c r="E222" s="1">
        <v>0.21946398102293063</v>
      </c>
    </row>
    <row r="223" spans="1:5" x14ac:dyDescent="0.3">
      <c r="A223" t="s">
        <v>96</v>
      </c>
      <c r="B223" t="s">
        <v>402</v>
      </c>
      <c r="D223">
        <v>57</v>
      </c>
      <c r="E223" s="1">
        <v>1.1860668359066128E-3</v>
      </c>
    </row>
    <row r="224" spans="1:5" x14ac:dyDescent="0.3">
      <c r="A224" t="s">
        <v>226</v>
      </c>
      <c r="B224" t="s">
        <v>500</v>
      </c>
      <c r="C224" t="s">
        <v>399</v>
      </c>
      <c r="D224">
        <v>8273</v>
      </c>
      <c r="E224" s="1">
        <v>0.31930989231541163</v>
      </c>
    </row>
    <row r="225" spans="1:5" x14ac:dyDescent="0.3">
      <c r="A225" t="s">
        <v>226</v>
      </c>
      <c r="B225" t="s">
        <v>501</v>
      </c>
      <c r="C225" t="s">
        <v>401</v>
      </c>
      <c r="D225">
        <v>6625</v>
      </c>
      <c r="E225" s="1">
        <v>0.25570265158825117</v>
      </c>
    </row>
    <row r="226" spans="1:5" x14ac:dyDescent="0.3">
      <c r="A226" t="s">
        <v>226</v>
      </c>
      <c r="B226" t="s">
        <v>502</v>
      </c>
      <c r="C226" t="s">
        <v>399</v>
      </c>
      <c r="D226">
        <v>10978</v>
      </c>
      <c r="E226" s="1">
        <v>0.42371376741672778</v>
      </c>
    </row>
    <row r="227" spans="1:5" x14ac:dyDescent="0.3">
      <c r="A227" t="s">
        <v>226</v>
      </c>
      <c r="B227" t="s">
        <v>404</v>
      </c>
      <c r="D227">
        <v>33</v>
      </c>
      <c r="E227" s="1">
        <v>1.2736886796094022E-3</v>
      </c>
    </row>
    <row r="228" spans="1:5" x14ac:dyDescent="0.3">
      <c r="A228" t="s">
        <v>227</v>
      </c>
      <c r="B228" t="s">
        <v>503</v>
      </c>
      <c r="C228" t="s">
        <v>399</v>
      </c>
      <c r="D228">
        <v>19533</v>
      </c>
      <c r="E228" s="1">
        <v>0.94751394615571183</v>
      </c>
    </row>
    <row r="229" spans="1:5" x14ac:dyDescent="0.3">
      <c r="A229" t="s">
        <v>227</v>
      </c>
      <c r="B229" t="s">
        <v>404</v>
      </c>
      <c r="D229">
        <v>1082</v>
      </c>
      <c r="E229" s="1">
        <v>5.2486053844288137E-2</v>
      </c>
    </row>
    <row r="230" spans="1:5" x14ac:dyDescent="0.3">
      <c r="A230" t="s">
        <v>124</v>
      </c>
      <c r="B230" t="s">
        <v>504</v>
      </c>
      <c r="C230" t="s">
        <v>401</v>
      </c>
      <c r="D230">
        <v>22170</v>
      </c>
      <c r="E230" s="1">
        <v>0.50170857000611013</v>
      </c>
    </row>
    <row r="231" spans="1:5" x14ac:dyDescent="0.3">
      <c r="A231" t="s">
        <v>124</v>
      </c>
      <c r="B231" t="s">
        <v>505</v>
      </c>
      <c r="C231" t="s">
        <v>399</v>
      </c>
      <c r="D231">
        <v>21983</v>
      </c>
      <c r="E231" s="1">
        <v>0.4974767476068705</v>
      </c>
    </row>
    <row r="232" spans="1:5" x14ac:dyDescent="0.3">
      <c r="A232" t="s">
        <v>124</v>
      </c>
      <c r="B232" t="s">
        <v>402</v>
      </c>
      <c r="D232">
        <v>36</v>
      </c>
      <c r="E232" s="1">
        <v>8.1468238701939391E-4</v>
      </c>
    </row>
    <row r="233" spans="1:5" x14ac:dyDescent="0.3">
      <c r="A233" t="s">
        <v>126</v>
      </c>
      <c r="B233" t="s">
        <v>506</v>
      </c>
      <c r="C233" t="s">
        <v>401</v>
      </c>
      <c r="D233">
        <v>18212</v>
      </c>
      <c r="E233" s="1">
        <v>0.41147763217352012</v>
      </c>
    </row>
    <row r="234" spans="1:5" x14ac:dyDescent="0.3">
      <c r="A234" t="s">
        <v>126</v>
      </c>
      <c r="B234" t="s">
        <v>507</v>
      </c>
      <c r="C234" t="s">
        <v>401</v>
      </c>
      <c r="D234">
        <v>11020</v>
      </c>
      <c r="E234" s="1">
        <v>0.24898328061455038</v>
      </c>
    </row>
    <row r="235" spans="1:5" x14ac:dyDescent="0.3">
      <c r="A235" t="s">
        <v>126</v>
      </c>
      <c r="B235" t="s">
        <v>508</v>
      </c>
      <c r="C235" t="s">
        <v>399</v>
      </c>
      <c r="D235">
        <v>14998</v>
      </c>
      <c r="E235" s="1">
        <v>0.33886127428829643</v>
      </c>
    </row>
    <row r="236" spans="1:5" x14ac:dyDescent="0.3">
      <c r="A236" t="s">
        <v>126</v>
      </c>
      <c r="B236" t="s">
        <v>402</v>
      </c>
      <c r="D236">
        <v>30</v>
      </c>
      <c r="E236" s="1">
        <v>6.7781292363307732E-4</v>
      </c>
    </row>
    <row r="237" spans="1:5" x14ac:dyDescent="0.3">
      <c r="A237" t="s">
        <v>213</v>
      </c>
      <c r="B237" t="s">
        <v>509</v>
      </c>
      <c r="C237" t="s">
        <v>401</v>
      </c>
      <c r="D237">
        <v>21770</v>
      </c>
      <c r="E237" s="1">
        <v>0.70923603192702389</v>
      </c>
    </row>
    <row r="238" spans="1:5" x14ac:dyDescent="0.3">
      <c r="A238" t="s">
        <v>213</v>
      </c>
      <c r="B238" t="s">
        <v>510</v>
      </c>
      <c r="C238" t="s">
        <v>399</v>
      </c>
      <c r="D238">
        <v>8865</v>
      </c>
      <c r="E238" s="1">
        <v>0.28880925232122495</v>
      </c>
    </row>
    <row r="239" spans="1:5" x14ac:dyDescent="0.3">
      <c r="A239" t="s">
        <v>213</v>
      </c>
      <c r="B239" t="s">
        <v>402</v>
      </c>
      <c r="D239">
        <v>60</v>
      </c>
      <c r="E239" s="1">
        <v>1.9547157517510994E-3</v>
      </c>
    </row>
    <row r="240" spans="1:5" x14ac:dyDescent="0.3">
      <c r="A240" t="s">
        <v>214</v>
      </c>
      <c r="B240" t="s">
        <v>511</v>
      </c>
      <c r="C240" t="s">
        <v>401</v>
      </c>
      <c r="D240">
        <v>9687</v>
      </c>
      <c r="E240" s="1">
        <v>0.37233347426682556</v>
      </c>
    </row>
    <row r="241" spans="1:5" x14ac:dyDescent="0.3">
      <c r="A241" t="s">
        <v>214</v>
      </c>
      <c r="B241" t="s">
        <v>512</v>
      </c>
      <c r="C241" t="s">
        <v>401</v>
      </c>
      <c r="D241">
        <v>8886</v>
      </c>
      <c r="E241" s="1">
        <v>0.34154591228811931</v>
      </c>
    </row>
    <row r="242" spans="1:5" x14ac:dyDescent="0.3">
      <c r="A242" t="s">
        <v>214</v>
      </c>
      <c r="B242" t="s">
        <v>513</v>
      </c>
      <c r="C242" t="s">
        <v>401</v>
      </c>
      <c r="D242">
        <v>6970</v>
      </c>
      <c r="E242" s="1">
        <v>0.26790175654379828</v>
      </c>
    </row>
    <row r="243" spans="1:5" x14ac:dyDescent="0.3">
      <c r="A243" t="s">
        <v>214</v>
      </c>
      <c r="B243" t="s">
        <v>402</v>
      </c>
      <c r="D243">
        <v>474</v>
      </c>
      <c r="E243" s="1">
        <v>1.821885690125687E-2</v>
      </c>
    </row>
    <row r="244" spans="1:5" x14ac:dyDescent="0.3">
      <c r="A244" t="s">
        <v>241</v>
      </c>
      <c r="B244" t="s">
        <v>514</v>
      </c>
      <c r="C244" t="s">
        <v>399</v>
      </c>
      <c r="D244">
        <v>5618</v>
      </c>
      <c r="E244" s="1">
        <v>0.42839713283513803</v>
      </c>
    </row>
    <row r="245" spans="1:5" x14ac:dyDescent="0.3">
      <c r="A245" t="s">
        <v>241</v>
      </c>
      <c r="B245" t="s">
        <v>515</v>
      </c>
      <c r="C245" t="s">
        <v>405</v>
      </c>
      <c r="D245">
        <v>706</v>
      </c>
      <c r="E245" s="1">
        <v>5.3835595546743935E-2</v>
      </c>
    </row>
    <row r="246" spans="1:5" x14ac:dyDescent="0.3">
      <c r="A246" t="s">
        <v>241</v>
      </c>
      <c r="B246" t="s">
        <v>516</v>
      </c>
      <c r="C246" t="s">
        <v>401</v>
      </c>
      <c r="D246">
        <v>6744</v>
      </c>
      <c r="E246" s="1">
        <v>0.51425956992527067</v>
      </c>
    </row>
    <row r="247" spans="1:5" x14ac:dyDescent="0.3">
      <c r="A247" t="s">
        <v>241</v>
      </c>
      <c r="B247" t="s">
        <v>402</v>
      </c>
      <c r="D247">
        <v>46</v>
      </c>
      <c r="E247" s="1">
        <v>3.5077016928473388E-3</v>
      </c>
    </row>
    <row r="248" spans="1:5" x14ac:dyDescent="0.3">
      <c r="A248" t="s">
        <v>242</v>
      </c>
      <c r="B248" t="s">
        <v>44</v>
      </c>
      <c r="C248" t="s">
        <v>401</v>
      </c>
      <c r="D248">
        <v>6687</v>
      </c>
      <c r="E248" s="1">
        <v>0.51080895271560611</v>
      </c>
    </row>
    <row r="249" spans="1:5" x14ac:dyDescent="0.3">
      <c r="A249" t="s">
        <v>242</v>
      </c>
      <c r="B249" t="s">
        <v>386</v>
      </c>
      <c r="C249" t="s">
        <v>468</v>
      </c>
      <c r="D249">
        <v>2395</v>
      </c>
      <c r="E249" s="1">
        <v>0.18295011840195555</v>
      </c>
    </row>
    <row r="250" spans="1:5" x14ac:dyDescent="0.3">
      <c r="A250" t="s">
        <v>242</v>
      </c>
      <c r="B250" t="s">
        <v>46</v>
      </c>
      <c r="C250" t="s">
        <v>399</v>
      </c>
      <c r="D250">
        <v>3979</v>
      </c>
      <c r="E250" s="1">
        <v>0.30394927813001299</v>
      </c>
    </row>
    <row r="251" spans="1:5" x14ac:dyDescent="0.3">
      <c r="A251" t="s">
        <v>242</v>
      </c>
      <c r="B251" t="s">
        <v>402</v>
      </c>
      <c r="D251">
        <v>30</v>
      </c>
      <c r="E251" s="1">
        <v>2.2916507524253305E-3</v>
      </c>
    </row>
    <row r="252" spans="1:5" x14ac:dyDescent="0.3">
      <c r="A252" t="s">
        <v>208</v>
      </c>
      <c r="B252" t="s">
        <v>517</v>
      </c>
      <c r="C252" t="s">
        <v>401</v>
      </c>
      <c r="D252">
        <v>20886</v>
      </c>
      <c r="E252" s="1">
        <v>0.67151078674082887</v>
      </c>
    </row>
    <row r="253" spans="1:5" x14ac:dyDescent="0.3">
      <c r="A253" t="s">
        <v>208</v>
      </c>
      <c r="B253" t="s">
        <v>518</v>
      </c>
      <c r="C253" t="s">
        <v>399</v>
      </c>
      <c r="D253">
        <v>10150</v>
      </c>
      <c r="E253" s="1">
        <v>0.32633508021734237</v>
      </c>
    </row>
    <row r="254" spans="1:5" x14ac:dyDescent="0.3">
      <c r="A254" t="s">
        <v>208</v>
      </c>
      <c r="B254" t="s">
        <v>402</v>
      </c>
      <c r="D254">
        <v>67</v>
      </c>
      <c r="E254" s="1">
        <v>2.1541330418287626E-3</v>
      </c>
    </row>
    <row r="255" spans="1:5" x14ac:dyDescent="0.3">
      <c r="A255" t="s">
        <v>209</v>
      </c>
      <c r="B255" t="s">
        <v>519</v>
      </c>
      <c r="C255" t="s">
        <v>401</v>
      </c>
      <c r="D255">
        <v>14702</v>
      </c>
      <c r="E255" s="1">
        <v>0.48355479542165503</v>
      </c>
    </row>
    <row r="256" spans="1:5" x14ac:dyDescent="0.3">
      <c r="A256" t="s">
        <v>209</v>
      </c>
      <c r="B256" t="s">
        <v>520</v>
      </c>
      <c r="C256" t="s">
        <v>401</v>
      </c>
      <c r="D256">
        <v>6442</v>
      </c>
      <c r="E256" s="1">
        <v>0.2118800157873964</v>
      </c>
    </row>
    <row r="257" spans="1:5" x14ac:dyDescent="0.3">
      <c r="A257" t="s">
        <v>209</v>
      </c>
      <c r="B257" t="s">
        <v>521</v>
      </c>
      <c r="C257" t="s">
        <v>522</v>
      </c>
      <c r="D257">
        <v>9129</v>
      </c>
      <c r="E257" s="1">
        <v>0.3002565451914222</v>
      </c>
    </row>
    <row r="258" spans="1:5" x14ac:dyDescent="0.3">
      <c r="A258" t="s">
        <v>209</v>
      </c>
      <c r="B258" t="s">
        <v>402</v>
      </c>
      <c r="D258">
        <v>131</v>
      </c>
      <c r="E258" s="1">
        <v>4.3086435995263782E-3</v>
      </c>
    </row>
    <row r="259" spans="1:5" x14ac:dyDescent="0.3">
      <c r="A259" t="s">
        <v>236</v>
      </c>
      <c r="B259" t="s">
        <v>523</v>
      </c>
      <c r="C259" t="s">
        <v>401</v>
      </c>
      <c r="D259">
        <v>20509</v>
      </c>
      <c r="E259" s="1">
        <v>0.60265640151626454</v>
      </c>
    </row>
    <row r="260" spans="1:5" x14ac:dyDescent="0.3">
      <c r="A260" t="s">
        <v>236</v>
      </c>
      <c r="B260" t="s">
        <v>524</v>
      </c>
      <c r="C260" t="s">
        <v>399</v>
      </c>
      <c r="D260">
        <v>13491</v>
      </c>
      <c r="E260" s="1">
        <v>0.39643266433545887</v>
      </c>
    </row>
    <row r="261" spans="1:5" x14ac:dyDescent="0.3">
      <c r="A261" t="s">
        <v>236</v>
      </c>
      <c r="B261" t="s">
        <v>402</v>
      </c>
      <c r="D261">
        <v>31</v>
      </c>
      <c r="E261" s="1">
        <v>9.1093414827657132E-4</v>
      </c>
    </row>
    <row r="262" spans="1:5" x14ac:dyDescent="0.3">
      <c r="A262" t="s">
        <v>237</v>
      </c>
      <c r="B262" t="s">
        <v>525</v>
      </c>
      <c r="C262" t="s">
        <v>401</v>
      </c>
      <c r="D262">
        <v>19675</v>
      </c>
      <c r="E262" s="1">
        <v>0.57876158258567434</v>
      </c>
    </row>
    <row r="263" spans="1:5" x14ac:dyDescent="0.3">
      <c r="A263" t="s">
        <v>237</v>
      </c>
      <c r="B263" t="s">
        <v>526</v>
      </c>
      <c r="C263" t="s">
        <v>399</v>
      </c>
      <c r="D263">
        <v>14295</v>
      </c>
      <c r="E263" s="1">
        <v>0.42050301514928667</v>
      </c>
    </row>
    <row r="264" spans="1:5" x14ac:dyDescent="0.3">
      <c r="A264" t="s">
        <v>237</v>
      </c>
      <c r="B264" t="s">
        <v>402</v>
      </c>
      <c r="D264">
        <v>25</v>
      </c>
      <c r="E264" s="1">
        <v>7.3540226503897635E-4</v>
      </c>
    </row>
    <row r="265" spans="1:5" x14ac:dyDescent="0.3">
      <c r="A265" t="s">
        <v>110</v>
      </c>
      <c r="B265" t="s">
        <v>527</v>
      </c>
      <c r="C265" t="s">
        <v>401</v>
      </c>
      <c r="D265">
        <v>20657</v>
      </c>
      <c r="E265" s="1">
        <v>0.4389782604075908</v>
      </c>
    </row>
    <row r="266" spans="1:5" x14ac:dyDescent="0.3">
      <c r="A266" t="s">
        <v>110</v>
      </c>
      <c r="B266" t="s">
        <v>528</v>
      </c>
      <c r="C266" t="s">
        <v>529</v>
      </c>
      <c r="D266">
        <v>1707</v>
      </c>
      <c r="E266" s="1">
        <v>3.6275155662281913E-2</v>
      </c>
    </row>
    <row r="267" spans="1:5" x14ac:dyDescent="0.3">
      <c r="A267" t="s">
        <v>110</v>
      </c>
      <c r="B267" t="s">
        <v>530</v>
      </c>
      <c r="C267" t="s">
        <v>399</v>
      </c>
      <c r="D267">
        <v>24632</v>
      </c>
      <c r="E267" s="1">
        <v>0.52345028369849333</v>
      </c>
    </row>
    <row r="268" spans="1:5" x14ac:dyDescent="0.3">
      <c r="A268" t="s">
        <v>110</v>
      </c>
      <c r="B268" t="s">
        <v>402</v>
      </c>
      <c r="D268">
        <v>61</v>
      </c>
      <c r="E268" s="1">
        <v>1.2963002316339759E-3</v>
      </c>
    </row>
    <row r="269" spans="1:5" x14ac:dyDescent="0.3">
      <c r="A269" t="s">
        <v>112</v>
      </c>
      <c r="B269" t="s">
        <v>531</v>
      </c>
      <c r="C269" t="s">
        <v>399</v>
      </c>
      <c r="D269">
        <v>25750</v>
      </c>
      <c r="E269" s="1">
        <v>0.54861939662519177</v>
      </c>
    </row>
    <row r="270" spans="1:5" x14ac:dyDescent="0.3">
      <c r="A270" t="s">
        <v>112</v>
      </c>
      <c r="B270" t="s">
        <v>532</v>
      </c>
      <c r="C270" t="s">
        <v>401</v>
      </c>
      <c r="D270">
        <v>21113</v>
      </c>
      <c r="E270" s="1">
        <v>0.44982529401738536</v>
      </c>
    </row>
    <row r="271" spans="1:5" x14ac:dyDescent="0.3">
      <c r="A271" t="s">
        <v>112</v>
      </c>
      <c r="B271" t="s">
        <v>402</v>
      </c>
      <c r="D271">
        <v>73</v>
      </c>
      <c r="E271" s="1">
        <v>1.5553093574228738E-3</v>
      </c>
    </row>
    <row r="272" spans="1:5" x14ac:dyDescent="0.3">
      <c r="A272" t="s">
        <v>128</v>
      </c>
      <c r="B272" t="s">
        <v>533</v>
      </c>
      <c r="C272" t="s">
        <v>401</v>
      </c>
      <c r="D272">
        <v>20995</v>
      </c>
      <c r="E272" s="1">
        <v>0.47813709861079479</v>
      </c>
    </row>
    <row r="273" spans="1:5" x14ac:dyDescent="0.3">
      <c r="A273" t="s">
        <v>128</v>
      </c>
      <c r="B273" t="s">
        <v>534</v>
      </c>
      <c r="C273" t="s">
        <v>399</v>
      </c>
      <c r="D273">
        <v>22843</v>
      </c>
      <c r="E273" s="1">
        <v>0.52022318378501475</v>
      </c>
    </row>
    <row r="274" spans="1:5" x14ac:dyDescent="0.3">
      <c r="A274" t="s">
        <v>128</v>
      </c>
      <c r="B274" t="s">
        <v>402</v>
      </c>
      <c r="D274">
        <v>72</v>
      </c>
      <c r="E274" s="1">
        <v>1.6397176041903895E-3</v>
      </c>
    </row>
    <row r="275" spans="1:5" x14ac:dyDescent="0.3">
      <c r="A275" t="s">
        <v>130</v>
      </c>
      <c r="B275" t="s">
        <v>535</v>
      </c>
      <c r="C275" t="s">
        <v>401</v>
      </c>
      <c r="D275">
        <v>20307</v>
      </c>
      <c r="E275" s="1">
        <v>0.46379956148364698</v>
      </c>
    </row>
    <row r="276" spans="1:5" x14ac:dyDescent="0.3">
      <c r="A276" t="s">
        <v>130</v>
      </c>
      <c r="B276" t="s">
        <v>536</v>
      </c>
      <c r="C276" t="s">
        <v>399</v>
      </c>
      <c r="D276">
        <v>23391</v>
      </c>
      <c r="E276" s="1">
        <v>0.53423625068518177</v>
      </c>
    </row>
    <row r="277" spans="1:5" x14ac:dyDescent="0.3">
      <c r="A277" t="s">
        <v>130</v>
      </c>
      <c r="B277" t="s">
        <v>402</v>
      </c>
      <c r="D277">
        <v>86</v>
      </c>
      <c r="E277" s="1">
        <v>1.964187831171204E-3</v>
      </c>
    </row>
    <row r="278" spans="1:5" x14ac:dyDescent="0.3">
      <c r="A278" t="s">
        <v>132</v>
      </c>
      <c r="B278" t="s">
        <v>537</v>
      </c>
      <c r="C278" t="s">
        <v>401</v>
      </c>
      <c r="D278">
        <v>23976</v>
      </c>
      <c r="E278" s="1">
        <v>0.55512850196804819</v>
      </c>
    </row>
    <row r="279" spans="1:5" x14ac:dyDescent="0.3">
      <c r="A279" t="s">
        <v>132</v>
      </c>
      <c r="B279" t="s">
        <v>538</v>
      </c>
      <c r="C279" t="s">
        <v>399</v>
      </c>
      <c r="D279">
        <v>19146</v>
      </c>
      <c r="E279" s="1">
        <v>0.44329705950451492</v>
      </c>
    </row>
    <row r="280" spans="1:5" x14ac:dyDescent="0.3">
      <c r="A280" t="s">
        <v>132</v>
      </c>
      <c r="B280" t="s">
        <v>402</v>
      </c>
      <c r="D280">
        <v>68</v>
      </c>
      <c r="E280" s="1">
        <v>1.5744385274369067E-3</v>
      </c>
    </row>
    <row r="281" spans="1:5" x14ac:dyDescent="0.3">
      <c r="A281" t="s">
        <v>134</v>
      </c>
      <c r="B281" t="s">
        <v>539</v>
      </c>
      <c r="C281" t="s">
        <v>401</v>
      </c>
      <c r="D281">
        <v>2934</v>
      </c>
      <c r="E281" s="1">
        <v>6.9522771432633523E-2</v>
      </c>
    </row>
    <row r="282" spans="1:5" x14ac:dyDescent="0.3">
      <c r="A282" t="s">
        <v>134</v>
      </c>
      <c r="B282" t="s">
        <v>540</v>
      </c>
      <c r="C282" t="s">
        <v>401</v>
      </c>
      <c r="D282">
        <v>3375</v>
      </c>
      <c r="E282" s="1">
        <v>7.9972513151035499E-2</v>
      </c>
    </row>
    <row r="283" spans="1:5" x14ac:dyDescent="0.3">
      <c r="A283" t="s">
        <v>134</v>
      </c>
      <c r="B283" t="s">
        <v>541</v>
      </c>
      <c r="C283" t="s">
        <v>399</v>
      </c>
      <c r="D283">
        <v>18235</v>
      </c>
      <c r="E283" s="1">
        <v>0.43208852661011327</v>
      </c>
    </row>
    <row r="284" spans="1:5" x14ac:dyDescent="0.3">
      <c r="A284" t="s">
        <v>134</v>
      </c>
      <c r="B284" t="s">
        <v>542</v>
      </c>
      <c r="C284" t="s">
        <v>401</v>
      </c>
      <c r="D284">
        <v>17586</v>
      </c>
      <c r="E284" s="1">
        <v>0.41671010852566231</v>
      </c>
    </row>
    <row r="285" spans="1:5" x14ac:dyDescent="0.3">
      <c r="A285" t="s">
        <v>134</v>
      </c>
      <c r="B285" t="s">
        <v>402</v>
      </c>
      <c r="D285">
        <v>72</v>
      </c>
      <c r="E285" s="1">
        <v>1.706080280555424E-3</v>
      </c>
    </row>
    <row r="286" spans="1:5" x14ac:dyDescent="0.3">
      <c r="A286" t="s">
        <v>98</v>
      </c>
      <c r="B286" t="s">
        <v>543</v>
      </c>
      <c r="C286" t="s">
        <v>401</v>
      </c>
      <c r="D286">
        <v>31173</v>
      </c>
      <c r="E286" s="1">
        <v>0.65530796720622242</v>
      </c>
    </row>
    <row r="287" spans="1:5" x14ac:dyDescent="0.3">
      <c r="A287" t="s">
        <v>98</v>
      </c>
      <c r="B287" t="s">
        <v>544</v>
      </c>
      <c r="C287" t="s">
        <v>399</v>
      </c>
      <c r="D287">
        <v>16304</v>
      </c>
      <c r="E287" s="1">
        <v>0.34273701912970361</v>
      </c>
    </row>
    <row r="288" spans="1:5" x14ac:dyDescent="0.3">
      <c r="A288" t="s">
        <v>98</v>
      </c>
      <c r="B288" t="s">
        <v>402</v>
      </c>
      <c r="D288">
        <v>93</v>
      </c>
      <c r="E288" s="1">
        <v>1.9550136640739961E-3</v>
      </c>
    </row>
    <row r="289" spans="1:5" x14ac:dyDescent="0.3">
      <c r="A289" t="s">
        <v>100</v>
      </c>
      <c r="B289" t="s">
        <v>545</v>
      </c>
      <c r="C289" t="s">
        <v>399</v>
      </c>
      <c r="D289">
        <v>17607</v>
      </c>
      <c r="E289" s="1">
        <v>0.37029948683435687</v>
      </c>
    </row>
    <row r="290" spans="1:5" x14ac:dyDescent="0.3">
      <c r="A290" t="s">
        <v>100</v>
      </c>
      <c r="B290" t="s">
        <v>546</v>
      </c>
      <c r="C290" t="s">
        <v>401</v>
      </c>
      <c r="D290">
        <v>29852</v>
      </c>
      <c r="E290" s="1">
        <v>0.62782872045091276</v>
      </c>
    </row>
    <row r="291" spans="1:5" x14ac:dyDescent="0.3">
      <c r="A291" t="s">
        <v>100</v>
      </c>
      <c r="B291" t="s">
        <v>402</v>
      </c>
      <c r="D291">
        <v>89</v>
      </c>
      <c r="E291" s="1">
        <v>1.8717927147303777E-3</v>
      </c>
    </row>
    <row r="292" spans="1:5" x14ac:dyDescent="0.3">
      <c r="A292" t="s">
        <v>205</v>
      </c>
      <c r="B292" t="s">
        <v>547</v>
      </c>
      <c r="C292" t="s">
        <v>399</v>
      </c>
      <c r="D292">
        <v>13362</v>
      </c>
      <c r="E292" s="1">
        <v>0.44195276840642983</v>
      </c>
    </row>
    <row r="293" spans="1:5" x14ac:dyDescent="0.3">
      <c r="A293" t="s">
        <v>205</v>
      </c>
      <c r="B293" t="s">
        <v>548</v>
      </c>
      <c r="C293" t="s">
        <v>399</v>
      </c>
      <c r="D293">
        <v>16322</v>
      </c>
      <c r="E293" s="1">
        <v>0.5398557914930211</v>
      </c>
    </row>
    <row r="294" spans="1:5" x14ac:dyDescent="0.3">
      <c r="A294" t="s">
        <v>205</v>
      </c>
      <c r="B294" t="s">
        <v>402</v>
      </c>
      <c r="D294">
        <v>550</v>
      </c>
      <c r="E294" s="1">
        <v>1.8191440100549051E-2</v>
      </c>
    </row>
    <row r="295" spans="1:5" x14ac:dyDescent="0.3">
      <c r="A295" t="s">
        <v>206</v>
      </c>
      <c r="B295" t="s">
        <v>549</v>
      </c>
      <c r="C295" t="s">
        <v>399</v>
      </c>
      <c r="D295">
        <v>22879</v>
      </c>
      <c r="E295" s="1">
        <v>0.726017833909815</v>
      </c>
    </row>
    <row r="296" spans="1:5" x14ac:dyDescent="0.3">
      <c r="A296" t="s">
        <v>206</v>
      </c>
      <c r="B296" t="s">
        <v>550</v>
      </c>
      <c r="C296" t="s">
        <v>457</v>
      </c>
      <c r="D296">
        <v>8419</v>
      </c>
      <c r="E296" s="1">
        <v>0.26715958493320219</v>
      </c>
    </row>
    <row r="297" spans="1:5" x14ac:dyDescent="0.3">
      <c r="A297" t="s">
        <v>206</v>
      </c>
      <c r="B297" t="s">
        <v>402</v>
      </c>
      <c r="D297">
        <v>215</v>
      </c>
      <c r="E297" s="1">
        <v>6.8225811569828324E-3</v>
      </c>
    </row>
    <row r="298" spans="1:5" x14ac:dyDescent="0.3">
      <c r="A298" t="s">
        <v>114</v>
      </c>
      <c r="B298" t="s">
        <v>551</v>
      </c>
      <c r="C298" t="s">
        <v>399</v>
      </c>
      <c r="D298">
        <v>33647</v>
      </c>
      <c r="E298" s="1">
        <v>0.73090040186814376</v>
      </c>
    </row>
    <row r="299" spans="1:5" x14ac:dyDescent="0.3">
      <c r="A299" t="s">
        <v>114</v>
      </c>
      <c r="B299" t="s">
        <v>552</v>
      </c>
      <c r="C299" t="s">
        <v>401</v>
      </c>
      <c r="D299">
        <v>12260</v>
      </c>
      <c r="E299" s="1">
        <v>0.26631910502878242</v>
      </c>
    </row>
    <row r="300" spans="1:5" x14ac:dyDescent="0.3">
      <c r="A300" t="s">
        <v>114</v>
      </c>
      <c r="B300" t="s">
        <v>402</v>
      </c>
      <c r="D300">
        <v>128</v>
      </c>
      <c r="E300" s="1">
        <v>2.7804931030737481E-3</v>
      </c>
    </row>
    <row r="301" spans="1:5" x14ac:dyDescent="0.3">
      <c r="A301" t="s">
        <v>116</v>
      </c>
      <c r="B301" t="s">
        <v>553</v>
      </c>
      <c r="C301" t="s">
        <v>399</v>
      </c>
      <c r="D301">
        <v>27936</v>
      </c>
      <c r="E301" s="1">
        <v>0.68291490453956538</v>
      </c>
    </row>
    <row r="302" spans="1:5" x14ac:dyDescent="0.3">
      <c r="A302" t="s">
        <v>116</v>
      </c>
      <c r="B302" t="s">
        <v>554</v>
      </c>
      <c r="C302" t="s">
        <v>399</v>
      </c>
      <c r="D302">
        <v>11760</v>
      </c>
      <c r="E302" s="1">
        <v>0.28748136015840808</v>
      </c>
    </row>
    <row r="303" spans="1:5" x14ac:dyDescent="0.3">
      <c r="A303" t="s">
        <v>116</v>
      </c>
      <c r="B303" t="s">
        <v>402</v>
      </c>
      <c r="D303">
        <v>1211</v>
      </c>
      <c r="E303" s="1">
        <v>2.9603735302026549E-2</v>
      </c>
    </row>
    <row r="304" spans="1:5" x14ac:dyDescent="0.3">
      <c r="A304" t="s">
        <v>102</v>
      </c>
      <c r="B304" t="s">
        <v>555</v>
      </c>
      <c r="C304" t="s">
        <v>399</v>
      </c>
      <c r="D304">
        <v>16661</v>
      </c>
      <c r="E304" s="1">
        <v>0.38972187785081053</v>
      </c>
    </row>
    <row r="305" spans="1:5" x14ac:dyDescent="0.3">
      <c r="A305" t="s">
        <v>102</v>
      </c>
      <c r="B305" t="s">
        <v>556</v>
      </c>
      <c r="C305" t="s">
        <v>399</v>
      </c>
      <c r="D305">
        <v>24490</v>
      </c>
      <c r="E305" s="1">
        <v>0.57285209702697015</v>
      </c>
    </row>
    <row r="306" spans="1:5" x14ac:dyDescent="0.3">
      <c r="A306" t="s">
        <v>102</v>
      </c>
      <c r="B306" t="s">
        <v>402</v>
      </c>
      <c r="D306">
        <v>1600</v>
      </c>
      <c r="E306" s="1">
        <v>3.7426025122219361E-2</v>
      </c>
    </row>
    <row r="307" spans="1:5" x14ac:dyDescent="0.3">
      <c r="A307" t="s">
        <v>104</v>
      </c>
      <c r="B307" t="s">
        <v>557</v>
      </c>
      <c r="C307" t="s">
        <v>399</v>
      </c>
      <c r="D307">
        <v>27801</v>
      </c>
      <c r="E307" s="1">
        <v>0.58137978627742115</v>
      </c>
    </row>
    <row r="308" spans="1:5" x14ac:dyDescent="0.3">
      <c r="A308" t="s">
        <v>104</v>
      </c>
      <c r="B308" t="s">
        <v>558</v>
      </c>
      <c r="C308" t="s">
        <v>401</v>
      </c>
      <c r="D308">
        <v>14126</v>
      </c>
      <c r="E308" s="1">
        <v>0.29540559191952992</v>
      </c>
    </row>
    <row r="309" spans="1:5" x14ac:dyDescent="0.3">
      <c r="A309" t="s">
        <v>104</v>
      </c>
      <c r="B309" t="s">
        <v>559</v>
      </c>
      <c r="C309" t="s">
        <v>399</v>
      </c>
      <c r="D309">
        <v>5855</v>
      </c>
      <c r="E309" s="1">
        <v>0.12244087078357975</v>
      </c>
    </row>
    <row r="310" spans="1:5" x14ac:dyDescent="0.3">
      <c r="A310" t="s">
        <v>104</v>
      </c>
      <c r="B310" t="s">
        <v>404</v>
      </c>
      <c r="D310">
        <v>37</v>
      </c>
      <c r="E310" s="1">
        <v>7.7375101946924863E-4</v>
      </c>
    </row>
    <row r="311" spans="1:5" x14ac:dyDescent="0.3">
      <c r="A311" t="s">
        <v>176</v>
      </c>
      <c r="B311" t="s">
        <v>560</v>
      </c>
      <c r="C311" t="s">
        <v>401</v>
      </c>
      <c r="D311">
        <v>11730</v>
      </c>
      <c r="E311" s="1">
        <v>0.21804189824711415</v>
      </c>
    </row>
    <row r="312" spans="1:5" x14ac:dyDescent="0.3">
      <c r="A312" t="s">
        <v>176</v>
      </c>
      <c r="B312" t="s">
        <v>561</v>
      </c>
      <c r="C312" t="s">
        <v>400</v>
      </c>
      <c r="D312">
        <v>3632</v>
      </c>
      <c r="E312" s="1">
        <v>6.7513058348978569E-2</v>
      </c>
    </row>
    <row r="313" spans="1:5" x14ac:dyDescent="0.3">
      <c r="A313" t="s">
        <v>176</v>
      </c>
      <c r="B313" t="s">
        <v>562</v>
      </c>
      <c r="C313" t="s">
        <v>399</v>
      </c>
      <c r="D313">
        <v>32482</v>
      </c>
      <c r="E313" s="1">
        <v>0.6037883153335688</v>
      </c>
    </row>
    <row r="314" spans="1:5" x14ac:dyDescent="0.3">
      <c r="A314" t="s">
        <v>176</v>
      </c>
      <c r="B314" t="s">
        <v>563</v>
      </c>
      <c r="C314" t="s">
        <v>401</v>
      </c>
      <c r="D314">
        <v>5911</v>
      </c>
      <c r="E314" s="1">
        <v>0.10987601539119282</v>
      </c>
    </row>
    <row r="315" spans="1:5" x14ac:dyDescent="0.3">
      <c r="A315" t="s">
        <v>176</v>
      </c>
      <c r="B315" t="s">
        <v>402</v>
      </c>
      <c r="D315">
        <v>42</v>
      </c>
      <c r="E315" s="1">
        <v>7.8071267914567723E-4</v>
      </c>
    </row>
    <row r="316" spans="1:5" x14ac:dyDescent="0.3">
      <c r="A316" t="s">
        <v>177</v>
      </c>
      <c r="B316" t="s">
        <v>564</v>
      </c>
      <c r="C316" t="s">
        <v>399</v>
      </c>
      <c r="D316">
        <v>2361</v>
      </c>
      <c r="E316" s="1">
        <v>4.519871353089823E-2</v>
      </c>
    </row>
    <row r="317" spans="1:5" x14ac:dyDescent="0.3">
      <c r="A317" t="s">
        <v>177</v>
      </c>
      <c r="B317" t="s">
        <v>565</v>
      </c>
      <c r="C317" t="s">
        <v>399</v>
      </c>
      <c r="D317">
        <v>12658</v>
      </c>
      <c r="E317" s="1">
        <v>0.24232330193736121</v>
      </c>
    </row>
    <row r="318" spans="1:5" x14ac:dyDescent="0.3">
      <c r="A318" t="s">
        <v>177</v>
      </c>
      <c r="B318" t="s">
        <v>566</v>
      </c>
      <c r="C318" t="s">
        <v>399</v>
      </c>
      <c r="D318">
        <v>13569</v>
      </c>
      <c r="E318" s="1">
        <v>0.25976338157592466</v>
      </c>
    </row>
    <row r="319" spans="1:5" x14ac:dyDescent="0.3">
      <c r="A319" t="s">
        <v>177</v>
      </c>
      <c r="B319" t="s">
        <v>567</v>
      </c>
      <c r="C319" t="s">
        <v>399</v>
      </c>
      <c r="D319">
        <v>3638</v>
      </c>
      <c r="E319" s="1">
        <v>6.9645455241595836E-2</v>
      </c>
    </row>
    <row r="320" spans="1:5" x14ac:dyDescent="0.3">
      <c r="A320" t="s">
        <v>177</v>
      </c>
      <c r="B320" t="s">
        <v>568</v>
      </c>
      <c r="C320" t="s">
        <v>405</v>
      </c>
      <c r="D320">
        <v>19742</v>
      </c>
      <c r="E320" s="1">
        <v>0.37793858641549888</v>
      </c>
    </row>
    <row r="321" spans="1:5" x14ac:dyDescent="0.3">
      <c r="A321" t="s">
        <v>177</v>
      </c>
      <c r="B321" t="s">
        <v>402</v>
      </c>
      <c r="D321">
        <v>268</v>
      </c>
      <c r="E321" s="1">
        <v>5.130561298721188E-3</v>
      </c>
    </row>
    <row r="322" spans="1:5" x14ac:dyDescent="0.3">
      <c r="A322" t="s">
        <v>218</v>
      </c>
      <c r="B322" t="s">
        <v>569</v>
      </c>
      <c r="C322" t="s">
        <v>399</v>
      </c>
      <c r="D322">
        <v>10445</v>
      </c>
      <c r="E322" s="1">
        <v>0.36278698204299953</v>
      </c>
    </row>
    <row r="323" spans="1:5" x14ac:dyDescent="0.3">
      <c r="A323" t="s">
        <v>218</v>
      </c>
      <c r="B323" t="s">
        <v>570</v>
      </c>
      <c r="C323" t="s">
        <v>399</v>
      </c>
      <c r="D323">
        <v>3876</v>
      </c>
      <c r="E323" s="1">
        <v>0.1346254037720121</v>
      </c>
    </row>
    <row r="324" spans="1:5" x14ac:dyDescent="0.3">
      <c r="A324" t="s">
        <v>218</v>
      </c>
      <c r="B324" t="s">
        <v>571</v>
      </c>
      <c r="C324" t="s">
        <v>401</v>
      </c>
      <c r="D324">
        <v>14452</v>
      </c>
      <c r="E324" s="1">
        <v>0.50196241881143411</v>
      </c>
    </row>
    <row r="325" spans="1:5" x14ac:dyDescent="0.3">
      <c r="A325" t="s">
        <v>218</v>
      </c>
      <c r="B325" t="s">
        <v>402</v>
      </c>
      <c r="D325">
        <v>18</v>
      </c>
      <c r="E325" s="1">
        <v>6.2519537355423566E-4</v>
      </c>
    </row>
    <row r="326" spans="1:5" x14ac:dyDescent="0.3">
      <c r="A326" t="s">
        <v>219</v>
      </c>
      <c r="B326" t="s">
        <v>572</v>
      </c>
      <c r="C326" t="s">
        <v>399</v>
      </c>
      <c r="D326">
        <v>13454</v>
      </c>
      <c r="E326" s="1">
        <v>0.46712033886535659</v>
      </c>
    </row>
    <row r="327" spans="1:5" x14ac:dyDescent="0.3">
      <c r="A327" t="s">
        <v>219</v>
      </c>
      <c r="B327" t="s">
        <v>573</v>
      </c>
      <c r="C327" t="s">
        <v>401</v>
      </c>
      <c r="D327">
        <v>1331</v>
      </c>
      <c r="E327" s="1">
        <v>4.621206860634678E-2</v>
      </c>
    </row>
    <row r="328" spans="1:5" x14ac:dyDescent="0.3">
      <c r="A328" t="s">
        <v>219</v>
      </c>
      <c r="B328" t="s">
        <v>574</v>
      </c>
      <c r="C328" t="s">
        <v>401</v>
      </c>
      <c r="D328">
        <v>13998</v>
      </c>
      <c r="E328" s="1">
        <v>0.48600791611693633</v>
      </c>
    </row>
    <row r="329" spans="1:5" x14ac:dyDescent="0.3">
      <c r="A329" t="s">
        <v>219</v>
      </c>
      <c r="B329" t="s">
        <v>402</v>
      </c>
      <c r="D329">
        <v>19</v>
      </c>
      <c r="E329" s="1">
        <v>6.5967641136032221E-4</v>
      </c>
    </row>
    <row r="330" spans="1:5" x14ac:dyDescent="0.3">
      <c r="A330" t="s">
        <v>72</v>
      </c>
      <c r="B330" t="s">
        <v>575</v>
      </c>
      <c r="C330" t="s">
        <v>401</v>
      </c>
      <c r="D330">
        <v>22209</v>
      </c>
      <c r="E330" s="1">
        <v>0.43848842030444823</v>
      </c>
    </row>
    <row r="331" spans="1:5" x14ac:dyDescent="0.3">
      <c r="A331" t="s">
        <v>72</v>
      </c>
      <c r="B331" t="s">
        <v>576</v>
      </c>
      <c r="C331" t="s">
        <v>399</v>
      </c>
      <c r="D331">
        <v>11438</v>
      </c>
      <c r="E331" s="1">
        <v>0.22582874291693814</v>
      </c>
    </row>
    <row r="332" spans="1:5" x14ac:dyDescent="0.3">
      <c r="A332" t="s">
        <v>72</v>
      </c>
      <c r="B332" t="s">
        <v>577</v>
      </c>
      <c r="C332" t="s">
        <v>399</v>
      </c>
      <c r="D332">
        <v>16976</v>
      </c>
      <c r="E332" s="1">
        <v>0.33516949989140948</v>
      </c>
    </row>
    <row r="333" spans="1:5" x14ac:dyDescent="0.3">
      <c r="A333" t="s">
        <v>72</v>
      </c>
      <c r="B333" t="s">
        <v>402</v>
      </c>
      <c r="D333">
        <v>26</v>
      </c>
      <c r="E333" s="1">
        <v>5.1333688720409088E-4</v>
      </c>
    </row>
    <row r="334" spans="1:5" x14ac:dyDescent="0.3">
      <c r="A334" t="s">
        <v>74</v>
      </c>
      <c r="B334" t="s">
        <v>578</v>
      </c>
      <c r="C334" t="s">
        <v>405</v>
      </c>
      <c r="D334">
        <v>1211</v>
      </c>
      <c r="E334" s="1">
        <v>2.3977349225834554E-2</v>
      </c>
    </row>
    <row r="335" spans="1:5" x14ac:dyDescent="0.3">
      <c r="A335" t="s">
        <v>74</v>
      </c>
      <c r="B335" t="s">
        <v>579</v>
      </c>
      <c r="C335" t="s">
        <v>399</v>
      </c>
      <c r="D335">
        <v>6707</v>
      </c>
      <c r="E335" s="1">
        <v>0.13279610343325546</v>
      </c>
    </row>
    <row r="336" spans="1:5" x14ac:dyDescent="0.3">
      <c r="A336" t="s">
        <v>74</v>
      </c>
      <c r="B336" t="s">
        <v>580</v>
      </c>
      <c r="C336" t="s">
        <v>399</v>
      </c>
      <c r="D336">
        <v>19975</v>
      </c>
      <c r="E336" s="1">
        <v>0.39549756464578467</v>
      </c>
    </row>
    <row r="337" spans="1:5" x14ac:dyDescent="0.3">
      <c r="A337" t="s">
        <v>74</v>
      </c>
      <c r="B337" t="s">
        <v>581</v>
      </c>
      <c r="C337" t="s">
        <v>401</v>
      </c>
      <c r="D337">
        <v>22585</v>
      </c>
      <c r="E337" s="1">
        <v>0.4471745931176494</v>
      </c>
    </row>
    <row r="338" spans="1:5" x14ac:dyDescent="0.3">
      <c r="A338" t="s">
        <v>74</v>
      </c>
      <c r="B338" t="s">
        <v>402</v>
      </c>
      <c r="D338">
        <v>28</v>
      </c>
      <c r="E338" s="1">
        <v>5.5438957747594344E-4</v>
      </c>
    </row>
    <row r="339" spans="1:5" x14ac:dyDescent="0.3">
      <c r="A339" t="s">
        <v>194</v>
      </c>
      <c r="B339" t="s">
        <v>582</v>
      </c>
      <c r="C339" t="s">
        <v>399</v>
      </c>
      <c r="D339">
        <v>26083</v>
      </c>
      <c r="E339" s="1">
        <v>0.77250918137661417</v>
      </c>
    </row>
    <row r="340" spans="1:5" x14ac:dyDescent="0.3">
      <c r="A340" t="s">
        <v>194</v>
      </c>
      <c r="B340" t="s">
        <v>583</v>
      </c>
      <c r="C340" t="s">
        <v>401</v>
      </c>
      <c r="D340">
        <v>7577</v>
      </c>
      <c r="E340" s="1">
        <v>0.2244106148560597</v>
      </c>
    </row>
    <row r="341" spans="1:5" x14ac:dyDescent="0.3">
      <c r="A341" t="s">
        <v>194</v>
      </c>
      <c r="B341" t="s">
        <v>402</v>
      </c>
      <c r="D341">
        <v>104</v>
      </c>
      <c r="E341" s="1">
        <v>3.0802037673261463E-3</v>
      </c>
    </row>
    <row r="342" spans="1:5" x14ac:dyDescent="0.3">
      <c r="A342" t="s">
        <v>195</v>
      </c>
      <c r="B342" t="s">
        <v>584</v>
      </c>
      <c r="C342" t="s">
        <v>399</v>
      </c>
      <c r="D342">
        <v>26318</v>
      </c>
      <c r="E342" s="1">
        <v>0.94928581734237483</v>
      </c>
    </row>
    <row r="343" spans="1:5" x14ac:dyDescent="0.3">
      <c r="A343" t="s">
        <v>195</v>
      </c>
      <c r="B343" t="s">
        <v>402</v>
      </c>
      <c r="D343">
        <v>1406</v>
      </c>
      <c r="E343" s="1">
        <v>5.0714182657625159E-2</v>
      </c>
    </row>
    <row r="344" spans="1:5" x14ac:dyDescent="0.3">
      <c r="A344" t="s">
        <v>231</v>
      </c>
      <c r="B344" t="s">
        <v>585</v>
      </c>
      <c r="C344" t="s">
        <v>399</v>
      </c>
      <c r="D344">
        <v>16304</v>
      </c>
      <c r="E344" s="1">
        <v>0.64478367476073717</v>
      </c>
    </row>
    <row r="345" spans="1:5" x14ac:dyDescent="0.3">
      <c r="A345" t="s">
        <v>231</v>
      </c>
      <c r="B345" t="s">
        <v>586</v>
      </c>
      <c r="C345" t="s">
        <v>401</v>
      </c>
      <c r="D345">
        <v>8922</v>
      </c>
      <c r="E345" s="1">
        <v>0.35284347069524641</v>
      </c>
    </row>
    <row r="346" spans="1:5" x14ac:dyDescent="0.3">
      <c r="A346" t="s">
        <v>231</v>
      </c>
      <c r="B346" t="s">
        <v>402</v>
      </c>
      <c r="D346">
        <v>60</v>
      </c>
      <c r="E346" s="1">
        <v>2.3728545440164519E-3</v>
      </c>
    </row>
    <row r="347" spans="1:5" x14ac:dyDescent="0.3">
      <c r="A347" t="s">
        <v>232</v>
      </c>
      <c r="B347" t="s">
        <v>587</v>
      </c>
      <c r="C347" t="s">
        <v>399</v>
      </c>
      <c r="D347">
        <v>17761</v>
      </c>
      <c r="E347" s="1">
        <v>0.90139058059277299</v>
      </c>
    </row>
    <row r="348" spans="1:5" x14ac:dyDescent="0.3">
      <c r="A348" t="s">
        <v>232</v>
      </c>
      <c r="B348" t="s">
        <v>402</v>
      </c>
      <c r="D348">
        <v>1943</v>
      </c>
      <c r="E348" s="1">
        <v>9.8609419407226964E-2</v>
      </c>
    </row>
    <row r="349" spans="1:5" x14ac:dyDescent="0.3">
      <c r="A349" t="s">
        <v>239</v>
      </c>
      <c r="B349" t="s">
        <v>588</v>
      </c>
      <c r="C349" t="s">
        <v>399</v>
      </c>
      <c r="D349">
        <v>7855</v>
      </c>
      <c r="E349" s="1">
        <v>0.46564704487521491</v>
      </c>
    </row>
    <row r="350" spans="1:5" x14ac:dyDescent="0.3">
      <c r="A350" t="s">
        <v>239</v>
      </c>
      <c r="B350" t="s">
        <v>589</v>
      </c>
      <c r="C350" t="s">
        <v>399</v>
      </c>
      <c r="D350">
        <v>8241</v>
      </c>
      <c r="E350" s="1">
        <v>0.48852925484616755</v>
      </c>
    </row>
    <row r="351" spans="1:5" x14ac:dyDescent="0.3">
      <c r="A351" t="s">
        <v>239</v>
      </c>
      <c r="B351" t="s">
        <v>402</v>
      </c>
      <c r="D351">
        <v>773</v>
      </c>
      <c r="E351" s="1">
        <v>4.5823700278617582E-2</v>
      </c>
    </row>
    <row r="352" spans="1:5" x14ac:dyDescent="0.3">
      <c r="A352" t="s">
        <v>239</v>
      </c>
      <c r="B352" t="s">
        <v>402</v>
      </c>
      <c r="D352">
        <v>0</v>
      </c>
      <c r="E352" s="1">
        <v>0</v>
      </c>
    </row>
    <row r="353" spans="1:5" x14ac:dyDescent="0.3">
      <c r="A353" t="s">
        <v>240</v>
      </c>
      <c r="B353" t="s">
        <v>590</v>
      </c>
      <c r="C353" t="s">
        <v>401</v>
      </c>
      <c r="D353">
        <v>3330</v>
      </c>
      <c r="E353" s="1">
        <v>0.17629308062893748</v>
      </c>
    </row>
    <row r="354" spans="1:5" x14ac:dyDescent="0.3">
      <c r="A354" t="s">
        <v>240</v>
      </c>
      <c r="B354" t="s">
        <v>591</v>
      </c>
      <c r="C354" t="s">
        <v>399</v>
      </c>
      <c r="D354">
        <v>3782</v>
      </c>
      <c r="E354" s="1">
        <v>0.20022235163322569</v>
      </c>
    </row>
    <row r="355" spans="1:5" x14ac:dyDescent="0.3">
      <c r="A355" t="s">
        <v>240</v>
      </c>
      <c r="B355" t="s">
        <v>592</v>
      </c>
      <c r="C355" t="s">
        <v>399</v>
      </c>
      <c r="D355">
        <v>1791</v>
      </c>
      <c r="E355" s="1">
        <v>9.4817089311239347E-2</v>
      </c>
    </row>
    <row r="356" spans="1:5" x14ac:dyDescent="0.3">
      <c r="A356" t="s">
        <v>240</v>
      </c>
      <c r="B356" t="s">
        <v>593</v>
      </c>
      <c r="C356" t="s">
        <v>399</v>
      </c>
      <c r="D356">
        <v>3609</v>
      </c>
      <c r="E356" s="1">
        <v>0.19106358197892953</v>
      </c>
    </row>
    <row r="357" spans="1:5" x14ac:dyDescent="0.3">
      <c r="A357" t="s">
        <v>240</v>
      </c>
      <c r="B357" t="s">
        <v>594</v>
      </c>
      <c r="C357" t="s">
        <v>401</v>
      </c>
      <c r="D357">
        <v>2255</v>
      </c>
      <c r="E357" s="1">
        <v>0.11938165069617238</v>
      </c>
    </row>
    <row r="358" spans="1:5" x14ac:dyDescent="0.3">
      <c r="A358" t="s">
        <v>240</v>
      </c>
      <c r="B358" t="s">
        <v>595</v>
      </c>
      <c r="C358" t="s">
        <v>399</v>
      </c>
      <c r="D358">
        <v>4091</v>
      </c>
      <c r="E358" s="1">
        <v>0.21658107893482981</v>
      </c>
    </row>
    <row r="359" spans="1:5" x14ac:dyDescent="0.3">
      <c r="A359" t="s">
        <v>240</v>
      </c>
      <c r="B359" t="s">
        <v>402</v>
      </c>
      <c r="D359">
        <v>31</v>
      </c>
      <c r="E359" s="1">
        <v>1.6411668166657844E-3</v>
      </c>
    </row>
    <row r="360" spans="1:5" x14ac:dyDescent="0.3">
      <c r="A360" t="s">
        <v>234</v>
      </c>
      <c r="B360" t="s">
        <v>596</v>
      </c>
      <c r="C360" t="s">
        <v>399</v>
      </c>
      <c r="D360">
        <v>14913</v>
      </c>
      <c r="E360" s="1">
        <v>0.63927469135802473</v>
      </c>
    </row>
    <row r="361" spans="1:5" x14ac:dyDescent="0.3">
      <c r="A361" t="s">
        <v>234</v>
      </c>
      <c r="B361" t="s">
        <v>597</v>
      </c>
      <c r="C361" t="s">
        <v>401</v>
      </c>
      <c r="D361">
        <v>8387</v>
      </c>
      <c r="E361" s="1">
        <v>0.35952503429355281</v>
      </c>
    </row>
    <row r="362" spans="1:5" x14ac:dyDescent="0.3">
      <c r="A362" t="s">
        <v>234</v>
      </c>
      <c r="B362" t="s">
        <v>402</v>
      </c>
      <c r="D362">
        <v>28</v>
      </c>
      <c r="E362" s="1">
        <v>1.2002743484224967E-3</v>
      </c>
    </row>
    <row r="363" spans="1:5" x14ac:dyDescent="0.3">
      <c r="A363" t="s">
        <v>235</v>
      </c>
      <c r="B363" t="s">
        <v>598</v>
      </c>
      <c r="C363" t="s">
        <v>399</v>
      </c>
      <c r="D363">
        <v>14672</v>
      </c>
      <c r="E363" s="1">
        <v>0.63702674539770754</v>
      </c>
    </row>
    <row r="364" spans="1:5" x14ac:dyDescent="0.3">
      <c r="A364" t="s">
        <v>235</v>
      </c>
      <c r="B364" t="s">
        <v>599</v>
      </c>
      <c r="C364" t="s">
        <v>400</v>
      </c>
      <c r="D364">
        <v>8258</v>
      </c>
      <c r="E364" s="1">
        <v>0.35854463355331712</v>
      </c>
    </row>
    <row r="365" spans="1:5" x14ac:dyDescent="0.3">
      <c r="A365" t="s">
        <v>235</v>
      </c>
      <c r="B365" t="s">
        <v>402</v>
      </c>
      <c r="D365">
        <v>102</v>
      </c>
      <c r="E365" s="1">
        <v>4.4286210489753383E-3</v>
      </c>
    </row>
    <row r="366" spans="1:5" x14ac:dyDescent="0.3">
      <c r="A366" t="s">
        <v>200</v>
      </c>
      <c r="B366" t="s">
        <v>600</v>
      </c>
      <c r="C366" t="s">
        <v>401</v>
      </c>
      <c r="D366">
        <v>19660</v>
      </c>
      <c r="E366" s="1">
        <v>0.57879706774222039</v>
      </c>
    </row>
    <row r="367" spans="1:5" x14ac:dyDescent="0.3">
      <c r="A367" t="s">
        <v>200</v>
      </c>
      <c r="B367" t="s">
        <v>601</v>
      </c>
      <c r="C367" t="s">
        <v>399</v>
      </c>
      <c r="D367">
        <v>14284</v>
      </c>
      <c r="E367" s="1">
        <v>0.42052580445726734</v>
      </c>
    </row>
    <row r="368" spans="1:5" x14ac:dyDescent="0.3">
      <c r="A368" t="s">
        <v>200</v>
      </c>
      <c r="B368" t="s">
        <v>402</v>
      </c>
      <c r="D368">
        <v>23</v>
      </c>
      <c r="E368" s="1">
        <v>6.7712780051226186E-4</v>
      </c>
    </row>
    <row r="369" spans="1:5" x14ac:dyDescent="0.3">
      <c r="A369" t="s">
        <v>201</v>
      </c>
      <c r="B369" t="s">
        <v>602</v>
      </c>
      <c r="C369" t="s">
        <v>468</v>
      </c>
      <c r="D369">
        <v>14900</v>
      </c>
      <c r="E369" s="1">
        <v>0.43882900394651586</v>
      </c>
    </row>
    <row r="370" spans="1:5" x14ac:dyDescent="0.3">
      <c r="A370" t="s">
        <v>201</v>
      </c>
      <c r="B370" t="s">
        <v>603</v>
      </c>
      <c r="C370" t="s">
        <v>401</v>
      </c>
      <c r="D370">
        <v>19022</v>
      </c>
      <c r="E370" s="1">
        <v>0.56022854450138426</v>
      </c>
    </row>
    <row r="371" spans="1:5" x14ac:dyDescent="0.3">
      <c r="A371" t="s">
        <v>201</v>
      </c>
      <c r="B371" t="s">
        <v>402</v>
      </c>
      <c r="D371">
        <v>32</v>
      </c>
      <c r="E371" s="1">
        <v>9.4245155209989983E-4</v>
      </c>
    </row>
    <row r="372" spans="1:5" x14ac:dyDescent="0.3">
      <c r="A372" t="s">
        <v>166</v>
      </c>
      <c r="B372" t="s">
        <v>604</v>
      </c>
      <c r="C372" t="s">
        <v>399</v>
      </c>
      <c r="D372">
        <v>3689</v>
      </c>
      <c r="E372" s="1">
        <v>9.1885025405997814E-2</v>
      </c>
    </row>
    <row r="373" spans="1:5" x14ac:dyDescent="0.3">
      <c r="A373" t="s">
        <v>166</v>
      </c>
      <c r="B373" t="s">
        <v>605</v>
      </c>
      <c r="C373" t="s">
        <v>399</v>
      </c>
      <c r="D373">
        <v>4405</v>
      </c>
      <c r="E373" s="1">
        <v>0.10971903955365149</v>
      </c>
    </row>
    <row r="374" spans="1:5" x14ac:dyDescent="0.3">
      <c r="A374" t="s">
        <v>166</v>
      </c>
      <c r="B374" t="s">
        <v>606</v>
      </c>
      <c r="C374" t="s">
        <v>399</v>
      </c>
      <c r="D374">
        <v>10669</v>
      </c>
      <c r="E374" s="1">
        <v>0.26574175550463286</v>
      </c>
    </row>
    <row r="375" spans="1:5" x14ac:dyDescent="0.3">
      <c r="A375" t="s">
        <v>166</v>
      </c>
      <c r="B375" t="s">
        <v>607</v>
      </c>
      <c r="C375" t="s">
        <v>399</v>
      </c>
      <c r="D375">
        <v>9722</v>
      </c>
      <c r="E375" s="1">
        <v>0.24215403008867192</v>
      </c>
    </row>
    <row r="376" spans="1:5" x14ac:dyDescent="0.3">
      <c r="A376" t="s">
        <v>166</v>
      </c>
      <c r="B376" t="s">
        <v>608</v>
      </c>
      <c r="C376" t="s">
        <v>401</v>
      </c>
      <c r="D376">
        <v>7596</v>
      </c>
      <c r="E376" s="1">
        <v>0.18919996014745441</v>
      </c>
    </row>
    <row r="377" spans="1:5" x14ac:dyDescent="0.3">
      <c r="A377" t="s">
        <v>166</v>
      </c>
      <c r="B377" t="s">
        <v>609</v>
      </c>
      <c r="C377" t="s">
        <v>399</v>
      </c>
      <c r="D377">
        <v>4034</v>
      </c>
      <c r="E377" s="1">
        <v>0.10047823054697619</v>
      </c>
    </row>
    <row r="378" spans="1:5" x14ac:dyDescent="0.3">
      <c r="A378" t="s">
        <v>166</v>
      </c>
      <c r="B378" t="s">
        <v>402</v>
      </c>
      <c r="D378">
        <v>33</v>
      </c>
      <c r="E378" s="1">
        <v>8.2195875261532327E-4</v>
      </c>
    </row>
    <row r="379" spans="1:5" x14ac:dyDescent="0.3">
      <c r="A379" t="s">
        <v>168</v>
      </c>
      <c r="B379" t="s">
        <v>610</v>
      </c>
      <c r="C379" t="s">
        <v>399</v>
      </c>
      <c r="D379">
        <v>26653</v>
      </c>
      <c r="E379" s="1">
        <v>0.71628594463853801</v>
      </c>
    </row>
    <row r="380" spans="1:5" x14ac:dyDescent="0.3">
      <c r="A380" t="s">
        <v>168</v>
      </c>
      <c r="B380" t="s">
        <v>611</v>
      </c>
      <c r="C380" t="s">
        <v>399</v>
      </c>
      <c r="D380">
        <v>9766</v>
      </c>
      <c r="E380" s="1">
        <v>0.26245632894383231</v>
      </c>
    </row>
    <row r="381" spans="1:5" x14ac:dyDescent="0.3">
      <c r="A381" t="s">
        <v>168</v>
      </c>
      <c r="B381" t="s">
        <v>402</v>
      </c>
      <c r="D381">
        <v>791</v>
      </c>
      <c r="E381" s="1">
        <v>2.1257726417629668E-2</v>
      </c>
    </row>
    <row r="382" spans="1:5" x14ac:dyDescent="0.3">
      <c r="A382" t="s">
        <v>229</v>
      </c>
      <c r="B382" t="s">
        <v>612</v>
      </c>
      <c r="C382" t="s">
        <v>399</v>
      </c>
      <c r="D382">
        <v>18321</v>
      </c>
      <c r="E382" s="1">
        <v>0.70814007421150282</v>
      </c>
    </row>
    <row r="383" spans="1:5" x14ac:dyDescent="0.3">
      <c r="A383" t="s">
        <v>229</v>
      </c>
      <c r="B383" t="s">
        <v>613</v>
      </c>
      <c r="C383" t="s">
        <v>401</v>
      </c>
      <c r="D383">
        <v>3563</v>
      </c>
      <c r="E383" s="1">
        <v>0.13771645021645021</v>
      </c>
    </row>
    <row r="384" spans="1:5" x14ac:dyDescent="0.3">
      <c r="A384" t="s">
        <v>229</v>
      </c>
      <c r="B384" t="s">
        <v>614</v>
      </c>
      <c r="C384" t="s">
        <v>401</v>
      </c>
      <c r="D384">
        <v>3923</v>
      </c>
      <c r="E384" s="1">
        <v>0.15163110698824986</v>
      </c>
    </row>
    <row r="385" spans="1:5" x14ac:dyDescent="0.3">
      <c r="A385" t="s">
        <v>229</v>
      </c>
      <c r="B385" t="s">
        <v>402</v>
      </c>
      <c r="D385">
        <v>65</v>
      </c>
      <c r="E385" s="1">
        <v>2.5123685837971552E-3</v>
      </c>
    </row>
    <row r="386" spans="1:5" x14ac:dyDescent="0.3">
      <c r="A386" t="s">
        <v>230</v>
      </c>
      <c r="B386" t="s">
        <v>615</v>
      </c>
      <c r="C386" t="s">
        <v>399</v>
      </c>
      <c r="D386">
        <v>13772</v>
      </c>
      <c r="E386" s="1">
        <v>0.53309592010528761</v>
      </c>
    </row>
    <row r="387" spans="1:5" x14ac:dyDescent="0.3">
      <c r="A387" t="s">
        <v>230</v>
      </c>
      <c r="B387" t="s">
        <v>616</v>
      </c>
      <c r="C387" t="s">
        <v>401</v>
      </c>
      <c r="D387">
        <v>6303</v>
      </c>
      <c r="E387" s="1">
        <v>0.24398080049547108</v>
      </c>
    </row>
    <row r="388" spans="1:5" x14ac:dyDescent="0.3">
      <c r="A388" t="s">
        <v>230</v>
      </c>
      <c r="B388" t="s">
        <v>617</v>
      </c>
      <c r="C388" t="s">
        <v>399</v>
      </c>
      <c r="D388">
        <v>5706</v>
      </c>
      <c r="E388" s="1">
        <v>0.22087171943949835</v>
      </c>
    </row>
    <row r="389" spans="1:5" x14ac:dyDescent="0.3">
      <c r="A389" t="s">
        <v>230</v>
      </c>
      <c r="B389" t="s">
        <v>402</v>
      </c>
      <c r="D389">
        <v>53</v>
      </c>
      <c r="E389" s="1">
        <v>2.0515599597429744E-3</v>
      </c>
    </row>
    <row r="390" spans="1:5" x14ac:dyDescent="0.3">
      <c r="A390" t="s">
        <v>138</v>
      </c>
      <c r="B390" t="s">
        <v>618</v>
      </c>
      <c r="C390" t="s">
        <v>399</v>
      </c>
      <c r="D390">
        <v>34129</v>
      </c>
      <c r="E390" s="1">
        <v>0.97314020130592227</v>
      </c>
    </row>
    <row r="391" spans="1:5" x14ac:dyDescent="0.3">
      <c r="A391" t="s">
        <v>138</v>
      </c>
      <c r="B391" t="s">
        <v>402</v>
      </c>
      <c r="D391">
        <v>942</v>
      </c>
      <c r="E391" s="1">
        <v>2.6859798694077727E-2</v>
      </c>
    </row>
    <row r="392" spans="1:5" x14ac:dyDescent="0.3">
      <c r="A392" t="s">
        <v>140</v>
      </c>
      <c r="B392" t="s">
        <v>619</v>
      </c>
      <c r="C392" t="s">
        <v>399</v>
      </c>
      <c r="D392">
        <v>30605</v>
      </c>
      <c r="E392" s="1">
        <v>0.74520928194014946</v>
      </c>
    </row>
    <row r="393" spans="1:5" x14ac:dyDescent="0.3">
      <c r="A393" t="s">
        <v>140</v>
      </c>
      <c r="B393" t="s">
        <v>620</v>
      </c>
      <c r="C393" t="s">
        <v>399</v>
      </c>
      <c r="D393">
        <v>9972</v>
      </c>
      <c r="E393" s="1">
        <v>0.24281087925199055</v>
      </c>
    </row>
    <row r="394" spans="1:5" x14ac:dyDescent="0.3">
      <c r="A394" t="s">
        <v>140</v>
      </c>
      <c r="B394" t="s">
        <v>402</v>
      </c>
      <c r="D394">
        <v>492</v>
      </c>
      <c r="E394" s="1">
        <v>1.1979838807859943E-2</v>
      </c>
    </row>
    <row r="395" spans="1:5" x14ac:dyDescent="0.3">
      <c r="A395" t="s">
        <v>78</v>
      </c>
      <c r="B395" t="s">
        <v>621</v>
      </c>
      <c r="C395" t="s">
        <v>401</v>
      </c>
      <c r="D395">
        <v>26547</v>
      </c>
      <c r="E395" s="1">
        <v>0.53280481685900649</v>
      </c>
    </row>
    <row r="396" spans="1:5" x14ac:dyDescent="0.3">
      <c r="A396" t="s">
        <v>78</v>
      </c>
      <c r="B396" t="s">
        <v>622</v>
      </c>
      <c r="C396" t="s">
        <v>399</v>
      </c>
      <c r="D396">
        <v>9264</v>
      </c>
      <c r="E396" s="1">
        <v>0.18593075765178124</v>
      </c>
    </row>
    <row r="397" spans="1:5" x14ac:dyDescent="0.3">
      <c r="A397" t="s">
        <v>78</v>
      </c>
      <c r="B397" t="s">
        <v>623</v>
      </c>
      <c r="C397" t="s">
        <v>399</v>
      </c>
      <c r="D397">
        <v>13982</v>
      </c>
      <c r="E397" s="1">
        <v>0.28062217762167585</v>
      </c>
    </row>
    <row r="398" spans="1:5" x14ac:dyDescent="0.3">
      <c r="A398" t="s">
        <v>78</v>
      </c>
      <c r="B398" t="s">
        <v>402</v>
      </c>
      <c r="D398">
        <v>32</v>
      </c>
      <c r="E398" s="1">
        <v>6.4224786753637735E-4</v>
      </c>
    </row>
    <row r="399" spans="1:5" x14ac:dyDescent="0.3">
      <c r="A399" t="s">
        <v>80</v>
      </c>
      <c r="B399" t="s">
        <v>624</v>
      </c>
      <c r="C399" t="s">
        <v>401</v>
      </c>
      <c r="D399">
        <v>26535</v>
      </c>
      <c r="E399" s="1">
        <v>0.5325212225812278</v>
      </c>
    </row>
    <row r="400" spans="1:5" x14ac:dyDescent="0.3">
      <c r="A400" t="s">
        <v>80</v>
      </c>
      <c r="B400" t="s">
        <v>625</v>
      </c>
      <c r="C400" t="s">
        <v>399</v>
      </c>
      <c r="D400">
        <v>23239</v>
      </c>
      <c r="E400" s="1">
        <v>0.46637500250857933</v>
      </c>
    </row>
    <row r="401" spans="1:5" x14ac:dyDescent="0.3">
      <c r="A401" t="s">
        <v>80</v>
      </c>
      <c r="B401" t="s">
        <v>402</v>
      </c>
      <c r="D401">
        <v>55</v>
      </c>
      <c r="E401" s="1">
        <v>1.1037749101928595E-3</v>
      </c>
    </row>
    <row r="402" spans="1:5" x14ac:dyDescent="0.3">
      <c r="A402" t="s">
        <v>90</v>
      </c>
      <c r="B402" t="s">
        <v>626</v>
      </c>
      <c r="C402" t="s">
        <v>399</v>
      </c>
      <c r="D402">
        <v>40577</v>
      </c>
      <c r="E402" s="1">
        <v>0.98201839303000971</v>
      </c>
    </row>
    <row r="403" spans="1:5" x14ac:dyDescent="0.3">
      <c r="A403" t="s">
        <v>90</v>
      </c>
      <c r="B403" t="s">
        <v>402</v>
      </c>
      <c r="D403">
        <v>743</v>
      </c>
      <c r="E403" s="1">
        <v>1.7981606969990318E-2</v>
      </c>
    </row>
    <row r="404" spans="1:5" x14ac:dyDescent="0.3">
      <c r="A404" t="s">
        <v>92</v>
      </c>
      <c r="B404" t="s">
        <v>627</v>
      </c>
      <c r="C404" t="s">
        <v>399</v>
      </c>
      <c r="D404">
        <v>40753</v>
      </c>
      <c r="E404" s="1">
        <v>0.9813378925062608</v>
      </c>
    </row>
    <row r="405" spans="1:5" x14ac:dyDescent="0.3">
      <c r="A405" t="s">
        <v>92</v>
      </c>
      <c r="B405" t="s">
        <v>402</v>
      </c>
      <c r="D405">
        <v>775</v>
      </c>
      <c r="E405" s="1">
        <v>1.8662107493739165E-2</v>
      </c>
    </row>
    <row r="406" spans="1:5" x14ac:dyDescent="0.3">
      <c r="A406" t="s">
        <v>172</v>
      </c>
      <c r="B406" t="s">
        <v>34</v>
      </c>
      <c r="C406" t="s">
        <v>399</v>
      </c>
      <c r="D406">
        <v>18473</v>
      </c>
      <c r="E406" s="1">
        <v>0.47903430749682335</v>
      </c>
    </row>
    <row r="407" spans="1:5" x14ac:dyDescent="0.3">
      <c r="A407" t="s">
        <v>172</v>
      </c>
      <c r="B407" t="s">
        <v>35</v>
      </c>
      <c r="C407" t="s">
        <v>399</v>
      </c>
      <c r="D407">
        <v>19842</v>
      </c>
      <c r="E407" s="1">
        <v>0.51453465757332162</v>
      </c>
    </row>
    <row r="408" spans="1:5" x14ac:dyDescent="0.3">
      <c r="A408" t="s">
        <v>172</v>
      </c>
      <c r="B408" t="s">
        <v>402</v>
      </c>
      <c r="D408">
        <v>248</v>
      </c>
      <c r="E408" s="1">
        <v>6.4310349298550423E-3</v>
      </c>
    </row>
    <row r="409" spans="1:5" x14ac:dyDescent="0.3">
      <c r="A409" t="s">
        <v>172</v>
      </c>
      <c r="B409" t="s">
        <v>402</v>
      </c>
      <c r="D409">
        <v>0</v>
      </c>
      <c r="E409" s="1">
        <v>0</v>
      </c>
    </row>
    <row r="410" spans="1:5" x14ac:dyDescent="0.3">
      <c r="A410" t="s">
        <v>173</v>
      </c>
      <c r="B410" t="s">
        <v>628</v>
      </c>
      <c r="C410" t="s">
        <v>399</v>
      </c>
      <c r="D410">
        <v>33591</v>
      </c>
      <c r="E410" s="1">
        <v>0.88322991165334452</v>
      </c>
    </row>
    <row r="411" spans="1:5" x14ac:dyDescent="0.3">
      <c r="A411" t="s">
        <v>173</v>
      </c>
      <c r="B411" t="s">
        <v>629</v>
      </c>
      <c r="C411" t="s">
        <v>400</v>
      </c>
      <c r="D411">
        <v>4125</v>
      </c>
      <c r="E411" s="1">
        <v>0.10846129575094657</v>
      </c>
    </row>
    <row r="412" spans="1:5" x14ac:dyDescent="0.3">
      <c r="A412" t="s">
        <v>173</v>
      </c>
      <c r="B412" t="s">
        <v>402</v>
      </c>
      <c r="D412">
        <v>316</v>
      </c>
      <c r="E412" s="1">
        <v>8.3087925957088769E-3</v>
      </c>
    </row>
    <row r="413" spans="1:5" x14ac:dyDescent="0.3">
      <c r="A413" t="s">
        <v>221</v>
      </c>
      <c r="B413" t="s">
        <v>630</v>
      </c>
      <c r="C413" t="s">
        <v>399</v>
      </c>
      <c r="D413">
        <v>13693</v>
      </c>
      <c r="E413" s="1">
        <v>0.51091377187418385</v>
      </c>
    </row>
    <row r="414" spans="1:5" x14ac:dyDescent="0.3">
      <c r="A414" t="s">
        <v>221</v>
      </c>
      <c r="B414" t="s">
        <v>631</v>
      </c>
      <c r="C414" t="s">
        <v>403</v>
      </c>
      <c r="D414">
        <v>7621</v>
      </c>
      <c r="E414" s="1">
        <v>0.28435506137830679</v>
      </c>
    </row>
    <row r="415" spans="1:5" x14ac:dyDescent="0.3">
      <c r="A415" t="s">
        <v>221</v>
      </c>
      <c r="B415" t="s">
        <v>632</v>
      </c>
      <c r="C415" t="s">
        <v>399</v>
      </c>
      <c r="D415">
        <v>5172</v>
      </c>
      <c r="E415" s="1">
        <v>0.19297787395992688</v>
      </c>
    </row>
    <row r="416" spans="1:5" x14ac:dyDescent="0.3">
      <c r="A416" t="s">
        <v>221</v>
      </c>
      <c r="B416" t="s">
        <v>402</v>
      </c>
      <c r="D416">
        <v>315</v>
      </c>
      <c r="E416" s="1">
        <v>1.1753292787582553E-2</v>
      </c>
    </row>
    <row r="417" spans="1:5" x14ac:dyDescent="0.3">
      <c r="A417" t="s">
        <v>222</v>
      </c>
      <c r="B417" t="s">
        <v>633</v>
      </c>
      <c r="C417" t="s">
        <v>399</v>
      </c>
      <c r="D417">
        <v>20424</v>
      </c>
      <c r="E417" s="1">
        <v>0.92554493134544791</v>
      </c>
    </row>
    <row r="418" spans="1:5" x14ac:dyDescent="0.3">
      <c r="A418" t="s">
        <v>222</v>
      </c>
      <c r="B418" t="s">
        <v>402</v>
      </c>
      <c r="D418">
        <v>1643</v>
      </c>
      <c r="E418" s="1">
        <v>7.4455068654552051E-2</v>
      </c>
    </row>
    <row r="419" spans="1:5" x14ac:dyDescent="0.3">
      <c r="A419" t="s">
        <v>189</v>
      </c>
      <c r="B419" t="s">
        <v>634</v>
      </c>
      <c r="C419" t="s">
        <v>401</v>
      </c>
      <c r="D419">
        <v>15805</v>
      </c>
      <c r="E419" s="1">
        <v>0.43114736210376997</v>
      </c>
    </row>
    <row r="420" spans="1:5" x14ac:dyDescent="0.3">
      <c r="A420" t="s">
        <v>189</v>
      </c>
      <c r="B420" t="s">
        <v>635</v>
      </c>
      <c r="C420" t="s">
        <v>399</v>
      </c>
      <c r="D420">
        <v>15919</v>
      </c>
      <c r="E420" s="1">
        <v>0.43425718806263297</v>
      </c>
    </row>
    <row r="421" spans="1:5" x14ac:dyDescent="0.3">
      <c r="A421" t="s">
        <v>189</v>
      </c>
      <c r="B421" t="s">
        <v>636</v>
      </c>
      <c r="C421" t="s">
        <v>401</v>
      </c>
      <c r="D421">
        <v>4904</v>
      </c>
      <c r="E421" s="1">
        <v>0.13377707458126467</v>
      </c>
    </row>
    <row r="422" spans="1:5" x14ac:dyDescent="0.3">
      <c r="A422" t="s">
        <v>189</v>
      </c>
      <c r="B422" t="s">
        <v>402</v>
      </c>
      <c r="D422">
        <v>30</v>
      </c>
      <c r="E422" s="1">
        <v>8.183752523323695E-4</v>
      </c>
    </row>
    <row r="423" spans="1:5" x14ac:dyDescent="0.3">
      <c r="A423" t="s">
        <v>190</v>
      </c>
      <c r="B423" t="s">
        <v>637</v>
      </c>
      <c r="C423" t="s">
        <v>401</v>
      </c>
      <c r="D423">
        <v>9053</v>
      </c>
      <c r="E423" s="1">
        <v>0.24776944550878538</v>
      </c>
    </row>
    <row r="424" spans="1:5" x14ac:dyDescent="0.3">
      <c r="A424" t="s">
        <v>190</v>
      </c>
      <c r="B424" t="s">
        <v>638</v>
      </c>
      <c r="C424" t="s">
        <v>399</v>
      </c>
      <c r="D424">
        <v>16719</v>
      </c>
      <c r="E424" s="1">
        <v>0.45757841151677703</v>
      </c>
    </row>
    <row r="425" spans="1:5" x14ac:dyDescent="0.3">
      <c r="A425" t="s">
        <v>190</v>
      </c>
      <c r="B425" t="s">
        <v>639</v>
      </c>
      <c r="C425" t="s">
        <v>401</v>
      </c>
      <c r="D425">
        <v>935</v>
      </c>
      <c r="E425" s="1">
        <v>2.5589796923750616E-2</v>
      </c>
    </row>
    <row r="426" spans="1:5" x14ac:dyDescent="0.3">
      <c r="A426" t="s">
        <v>190</v>
      </c>
      <c r="B426" t="s">
        <v>640</v>
      </c>
      <c r="C426" t="s">
        <v>401</v>
      </c>
      <c r="D426">
        <v>9801</v>
      </c>
      <c r="E426" s="1">
        <v>0.26824128304778588</v>
      </c>
    </row>
    <row r="427" spans="1:5" x14ac:dyDescent="0.3">
      <c r="A427" t="s">
        <v>190</v>
      </c>
      <c r="B427" t="s">
        <v>402</v>
      </c>
      <c r="D427">
        <v>30</v>
      </c>
      <c r="E427" s="1">
        <v>8.2106300290108933E-4</v>
      </c>
    </row>
    <row r="428" spans="1:5" x14ac:dyDescent="0.3">
      <c r="A428" t="s">
        <v>106</v>
      </c>
      <c r="B428" t="s">
        <v>641</v>
      </c>
      <c r="C428" t="s">
        <v>399</v>
      </c>
      <c r="D428">
        <v>34400</v>
      </c>
      <c r="E428" s="1">
        <v>0.72596813337554078</v>
      </c>
    </row>
    <row r="429" spans="1:5" x14ac:dyDescent="0.3">
      <c r="A429" t="s">
        <v>106</v>
      </c>
      <c r="B429" t="s">
        <v>642</v>
      </c>
      <c r="C429" t="s">
        <v>401</v>
      </c>
      <c r="D429">
        <v>12926</v>
      </c>
      <c r="E429" s="1">
        <v>0.27278674686082094</v>
      </c>
    </row>
    <row r="430" spans="1:5" x14ac:dyDescent="0.3">
      <c r="A430" t="s">
        <v>106</v>
      </c>
      <c r="B430" t="s">
        <v>402</v>
      </c>
      <c r="D430">
        <v>59</v>
      </c>
      <c r="E430" s="1">
        <v>1.2451197636382822E-3</v>
      </c>
    </row>
    <row r="431" spans="1:5" x14ac:dyDescent="0.3">
      <c r="A431" t="s">
        <v>108</v>
      </c>
      <c r="B431" t="s">
        <v>643</v>
      </c>
      <c r="C431" t="s">
        <v>400</v>
      </c>
      <c r="D431">
        <v>4890</v>
      </c>
      <c r="E431" s="1">
        <v>0.1065173825912695</v>
      </c>
    </row>
    <row r="432" spans="1:5" x14ac:dyDescent="0.3">
      <c r="A432" t="s">
        <v>108</v>
      </c>
      <c r="B432" t="s">
        <v>644</v>
      </c>
      <c r="C432" t="s">
        <v>399</v>
      </c>
      <c r="D432">
        <v>31114</v>
      </c>
      <c r="E432" s="1">
        <v>0.67774679794371351</v>
      </c>
    </row>
    <row r="433" spans="1:5" x14ac:dyDescent="0.3">
      <c r="A433" t="s">
        <v>108</v>
      </c>
      <c r="B433" t="s">
        <v>645</v>
      </c>
      <c r="C433" t="s">
        <v>405</v>
      </c>
      <c r="D433">
        <v>5960</v>
      </c>
      <c r="E433" s="1">
        <v>0.12982486712555547</v>
      </c>
    </row>
    <row r="434" spans="1:5" x14ac:dyDescent="0.3">
      <c r="A434" t="s">
        <v>108</v>
      </c>
      <c r="B434" t="s">
        <v>646</v>
      </c>
      <c r="C434" t="s">
        <v>400</v>
      </c>
      <c r="D434">
        <v>3823</v>
      </c>
      <c r="E434" s="1">
        <v>8.3275246144462842E-2</v>
      </c>
    </row>
    <row r="435" spans="1:5" x14ac:dyDescent="0.3">
      <c r="A435" t="s">
        <v>108</v>
      </c>
      <c r="B435" t="s">
        <v>402</v>
      </c>
      <c r="D435">
        <v>121</v>
      </c>
      <c r="E435" s="1">
        <v>2.6357061949986932E-3</v>
      </c>
    </row>
    <row r="436" spans="1:5" x14ac:dyDescent="0.3">
      <c r="A436" t="s">
        <v>187</v>
      </c>
      <c r="B436" t="s">
        <v>647</v>
      </c>
      <c r="C436" t="s">
        <v>399</v>
      </c>
      <c r="D436">
        <v>26518</v>
      </c>
      <c r="E436" s="1">
        <v>0.72028465884398085</v>
      </c>
    </row>
    <row r="437" spans="1:5" x14ac:dyDescent="0.3">
      <c r="A437" t="s">
        <v>187</v>
      </c>
      <c r="B437" t="s">
        <v>648</v>
      </c>
      <c r="C437" t="s">
        <v>401</v>
      </c>
      <c r="D437">
        <v>9858</v>
      </c>
      <c r="E437" s="1">
        <v>0.26776401564537156</v>
      </c>
    </row>
    <row r="438" spans="1:5" x14ac:dyDescent="0.3">
      <c r="A438" t="s">
        <v>187</v>
      </c>
      <c r="B438" t="s">
        <v>649</v>
      </c>
      <c r="C438" t="s">
        <v>650</v>
      </c>
      <c r="D438">
        <v>383</v>
      </c>
      <c r="E438" s="1">
        <v>1.0403085614950021E-2</v>
      </c>
    </row>
    <row r="439" spans="1:5" x14ac:dyDescent="0.3">
      <c r="A439" t="s">
        <v>187</v>
      </c>
      <c r="B439" t="s">
        <v>402</v>
      </c>
      <c r="D439">
        <v>57</v>
      </c>
      <c r="E439" s="1">
        <v>1.5482398956975227E-3</v>
      </c>
    </row>
    <row r="440" spans="1:5" x14ac:dyDescent="0.3">
      <c r="A440" t="s">
        <v>188</v>
      </c>
      <c r="B440" t="s">
        <v>651</v>
      </c>
      <c r="C440" t="s">
        <v>400</v>
      </c>
      <c r="D440">
        <v>12084</v>
      </c>
      <c r="E440" s="1">
        <v>0.33412597467234417</v>
      </c>
    </row>
    <row r="441" spans="1:5" x14ac:dyDescent="0.3">
      <c r="A441" t="s">
        <v>188</v>
      </c>
      <c r="B441" t="s">
        <v>652</v>
      </c>
      <c r="C441" t="s">
        <v>399</v>
      </c>
      <c r="D441">
        <v>23981</v>
      </c>
      <c r="E441" s="1">
        <v>0.66308134712160594</v>
      </c>
    </row>
    <row r="442" spans="1:5" x14ac:dyDescent="0.3">
      <c r="A442" t="s">
        <v>188</v>
      </c>
      <c r="B442" t="s">
        <v>402</v>
      </c>
      <c r="D442">
        <v>101</v>
      </c>
      <c r="E442" s="1">
        <v>2.792678206049881E-3</v>
      </c>
    </row>
    <row r="443" spans="1:5" x14ac:dyDescent="0.3">
      <c r="A443" t="s">
        <v>84</v>
      </c>
      <c r="B443" t="s">
        <v>653</v>
      </c>
      <c r="C443" t="s">
        <v>399</v>
      </c>
      <c r="D443">
        <v>27858</v>
      </c>
      <c r="E443" s="1">
        <v>0.56208385456599819</v>
      </c>
    </row>
    <row r="444" spans="1:5" x14ac:dyDescent="0.3">
      <c r="A444" t="s">
        <v>84</v>
      </c>
      <c r="B444" t="s">
        <v>654</v>
      </c>
      <c r="C444" t="s">
        <v>401</v>
      </c>
      <c r="D444">
        <v>21602</v>
      </c>
      <c r="E444" s="1">
        <v>0.43585811710584721</v>
      </c>
    </row>
    <row r="445" spans="1:5" x14ac:dyDescent="0.3">
      <c r="A445" t="s">
        <v>84</v>
      </c>
      <c r="B445" t="s">
        <v>402</v>
      </c>
      <c r="D445">
        <v>102</v>
      </c>
      <c r="E445" s="1">
        <v>2.0580283281546345E-3</v>
      </c>
    </row>
    <row r="446" spans="1:5" x14ac:dyDescent="0.3">
      <c r="A446" t="s">
        <v>86</v>
      </c>
      <c r="B446" t="s">
        <v>655</v>
      </c>
      <c r="C446" t="s">
        <v>399</v>
      </c>
      <c r="D446">
        <v>26730</v>
      </c>
      <c r="E446" s="1">
        <v>0.53840111184965855</v>
      </c>
    </row>
    <row r="447" spans="1:5" x14ac:dyDescent="0.3">
      <c r="A447" t="s">
        <v>86</v>
      </c>
      <c r="B447" t="s">
        <v>656</v>
      </c>
      <c r="C447" t="s">
        <v>401</v>
      </c>
      <c r="D447">
        <v>22857</v>
      </c>
      <c r="E447" s="1">
        <v>0.46039035591274396</v>
      </c>
    </row>
    <row r="448" spans="1:5" x14ac:dyDescent="0.3">
      <c r="A448" t="s">
        <v>86</v>
      </c>
      <c r="B448" t="s">
        <v>402</v>
      </c>
      <c r="D448">
        <v>60</v>
      </c>
      <c r="E448" s="1">
        <v>1.2085322375974378E-3</v>
      </c>
    </row>
    <row r="449" spans="1:5" x14ac:dyDescent="0.3">
      <c r="A449" t="s">
        <v>179</v>
      </c>
      <c r="B449" t="s">
        <v>657</v>
      </c>
      <c r="C449" t="s">
        <v>399</v>
      </c>
      <c r="D449">
        <v>32742</v>
      </c>
      <c r="E449" s="1">
        <v>0.91542483294657084</v>
      </c>
    </row>
    <row r="450" spans="1:5" x14ac:dyDescent="0.3">
      <c r="A450" t="s">
        <v>179</v>
      </c>
      <c r="B450" t="s">
        <v>658</v>
      </c>
      <c r="C450" t="s">
        <v>399</v>
      </c>
      <c r="D450">
        <v>2633</v>
      </c>
      <c r="E450" s="1">
        <v>7.3615343752621132E-2</v>
      </c>
    </row>
    <row r="451" spans="1:5" x14ac:dyDescent="0.3">
      <c r="A451" t="s">
        <v>179</v>
      </c>
      <c r="B451" t="s">
        <v>402</v>
      </c>
      <c r="D451">
        <v>392</v>
      </c>
      <c r="E451" s="1">
        <v>1.0959823300808007E-2</v>
      </c>
    </row>
    <row r="452" spans="1:5" x14ac:dyDescent="0.3">
      <c r="A452" t="s">
        <v>180</v>
      </c>
      <c r="B452" t="s">
        <v>659</v>
      </c>
      <c r="C452" t="s">
        <v>399</v>
      </c>
      <c r="D452">
        <v>29356</v>
      </c>
      <c r="E452" s="1">
        <v>0.96791849385076989</v>
      </c>
    </row>
    <row r="453" spans="1:5" x14ac:dyDescent="0.3">
      <c r="A453" t="s">
        <v>180</v>
      </c>
      <c r="B453" t="s">
        <v>402</v>
      </c>
      <c r="D453">
        <v>973</v>
      </c>
      <c r="E453" s="1">
        <v>3.208150614923011E-2</v>
      </c>
    </row>
    <row r="454" spans="1:5" x14ac:dyDescent="0.3">
      <c r="A454" t="s">
        <v>192</v>
      </c>
      <c r="B454" t="s">
        <v>660</v>
      </c>
      <c r="C454" t="s">
        <v>401</v>
      </c>
      <c r="D454">
        <v>14466</v>
      </c>
      <c r="E454" s="1">
        <v>0.40251537327137649</v>
      </c>
    </row>
    <row r="455" spans="1:5" x14ac:dyDescent="0.3">
      <c r="A455" t="s">
        <v>192</v>
      </c>
      <c r="B455" t="s">
        <v>661</v>
      </c>
      <c r="C455" t="s">
        <v>399</v>
      </c>
      <c r="D455">
        <v>21438</v>
      </c>
      <c r="E455" s="1">
        <v>0.59651075433373213</v>
      </c>
    </row>
    <row r="456" spans="1:5" x14ac:dyDescent="0.3">
      <c r="A456" t="s">
        <v>192</v>
      </c>
      <c r="B456" t="s">
        <v>402</v>
      </c>
      <c r="D456">
        <v>35</v>
      </c>
      <c r="E456" s="1">
        <v>9.7387239489134367E-4</v>
      </c>
    </row>
    <row r="457" spans="1:5" x14ac:dyDescent="0.3">
      <c r="A457" t="s">
        <v>193</v>
      </c>
      <c r="B457" t="s">
        <v>662</v>
      </c>
      <c r="C457" t="s">
        <v>401</v>
      </c>
      <c r="D457">
        <v>13842</v>
      </c>
      <c r="E457" s="1">
        <v>0.38487418323369943</v>
      </c>
    </row>
    <row r="458" spans="1:5" x14ac:dyDescent="0.3">
      <c r="A458" t="s">
        <v>193</v>
      </c>
      <c r="B458" t="s">
        <v>663</v>
      </c>
      <c r="C458" t="s">
        <v>399</v>
      </c>
      <c r="D458">
        <v>22086</v>
      </c>
      <c r="E458" s="1">
        <v>0.61409703878771027</v>
      </c>
    </row>
    <row r="459" spans="1:5" x14ac:dyDescent="0.3">
      <c r="A459" t="s">
        <v>193</v>
      </c>
      <c r="B459" t="s">
        <v>402</v>
      </c>
      <c r="D459">
        <v>37</v>
      </c>
      <c r="E459" s="1">
        <v>1.0287779785902961E-3</v>
      </c>
    </row>
    <row r="460" spans="1:5" x14ac:dyDescent="0.3">
      <c r="A460" t="s">
        <v>185</v>
      </c>
      <c r="B460" t="s">
        <v>664</v>
      </c>
      <c r="C460" t="s">
        <v>401</v>
      </c>
      <c r="D460">
        <v>9941</v>
      </c>
      <c r="E460" s="1">
        <v>0.26856679724436039</v>
      </c>
    </row>
    <row r="461" spans="1:5" x14ac:dyDescent="0.3">
      <c r="A461" t="s">
        <v>185</v>
      </c>
      <c r="B461" t="s">
        <v>665</v>
      </c>
      <c r="C461" t="s">
        <v>399</v>
      </c>
      <c r="D461">
        <v>26987</v>
      </c>
      <c r="E461" s="1">
        <v>0.72908280426853977</v>
      </c>
    </row>
    <row r="462" spans="1:5" x14ac:dyDescent="0.3">
      <c r="A462" t="s">
        <v>185</v>
      </c>
      <c r="B462" t="s">
        <v>402</v>
      </c>
      <c r="D462">
        <v>87</v>
      </c>
      <c r="E462" s="1">
        <v>2.3503984870998245E-3</v>
      </c>
    </row>
    <row r="463" spans="1:5" x14ac:dyDescent="0.3">
      <c r="A463" t="s">
        <v>186</v>
      </c>
      <c r="B463" t="s">
        <v>666</v>
      </c>
      <c r="C463" t="s">
        <v>399</v>
      </c>
      <c r="D463">
        <v>22847</v>
      </c>
      <c r="E463" s="1">
        <v>0.62733737884071505</v>
      </c>
    </row>
    <row r="464" spans="1:5" x14ac:dyDescent="0.3">
      <c r="A464" t="s">
        <v>186</v>
      </c>
      <c r="B464" t="s">
        <v>667</v>
      </c>
      <c r="C464" t="s">
        <v>401</v>
      </c>
      <c r="D464">
        <v>7609</v>
      </c>
      <c r="E464" s="1">
        <v>0.20892940498091656</v>
      </c>
    </row>
    <row r="465" spans="1:5" x14ac:dyDescent="0.3">
      <c r="A465" t="s">
        <v>186</v>
      </c>
      <c r="B465" t="s">
        <v>668</v>
      </c>
      <c r="C465" t="s">
        <v>399</v>
      </c>
      <c r="D465">
        <v>5858</v>
      </c>
      <c r="E465" s="1">
        <v>0.16085010571405037</v>
      </c>
    </row>
    <row r="466" spans="1:5" x14ac:dyDescent="0.3">
      <c r="A466" t="s">
        <v>186</v>
      </c>
      <c r="B466" t="s">
        <v>402</v>
      </c>
      <c r="D466">
        <v>105</v>
      </c>
      <c r="E466" s="1">
        <v>2.8831104643180757E-3</v>
      </c>
    </row>
    <row r="467" spans="1:5" x14ac:dyDescent="0.3">
      <c r="A467" t="s">
        <v>120</v>
      </c>
      <c r="B467" t="s">
        <v>391</v>
      </c>
      <c r="C467" t="s">
        <v>399</v>
      </c>
      <c r="D467">
        <v>22736</v>
      </c>
      <c r="E467" s="1">
        <v>0.51605874208411828</v>
      </c>
    </row>
    <row r="468" spans="1:5" x14ac:dyDescent="0.3">
      <c r="A468" t="s">
        <v>120</v>
      </c>
      <c r="B468" t="s">
        <v>393</v>
      </c>
      <c r="C468" t="s">
        <v>399</v>
      </c>
      <c r="D468">
        <v>7405</v>
      </c>
      <c r="E468" s="1">
        <v>0.16807771750232653</v>
      </c>
    </row>
    <row r="469" spans="1:5" x14ac:dyDescent="0.3">
      <c r="A469" t="s">
        <v>120</v>
      </c>
      <c r="B469" t="s">
        <v>392</v>
      </c>
      <c r="C469" t="s">
        <v>399</v>
      </c>
      <c r="D469">
        <v>13552</v>
      </c>
      <c r="E469" s="1">
        <v>0.30760151621762716</v>
      </c>
    </row>
    <row r="470" spans="1:5" x14ac:dyDescent="0.3">
      <c r="A470" t="s">
        <v>120</v>
      </c>
      <c r="B470" t="s">
        <v>402</v>
      </c>
      <c r="D470">
        <v>364</v>
      </c>
      <c r="E470" s="1">
        <v>8.2620241959280027E-3</v>
      </c>
    </row>
    <row r="471" spans="1:5" x14ac:dyDescent="0.3">
      <c r="A471" t="s">
        <v>122</v>
      </c>
      <c r="B471" t="s">
        <v>669</v>
      </c>
      <c r="C471" t="s">
        <v>399</v>
      </c>
      <c r="D471">
        <v>39237</v>
      </c>
      <c r="E471" s="1">
        <v>0.89386276653909236</v>
      </c>
    </row>
    <row r="472" spans="1:5" x14ac:dyDescent="0.3">
      <c r="A472" t="s">
        <v>122</v>
      </c>
      <c r="B472" t="s">
        <v>670</v>
      </c>
      <c r="C472" t="s">
        <v>400</v>
      </c>
      <c r="D472">
        <v>4380</v>
      </c>
      <c r="E472" s="1">
        <v>9.9781301257517774E-2</v>
      </c>
    </row>
    <row r="473" spans="1:5" x14ac:dyDescent="0.3">
      <c r="A473" t="s">
        <v>122</v>
      </c>
      <c r="B473" t="s">
        <v>402</v>
      </c>
      <c r="D473">
        <v>279</v>
      </c>
      <c r="E473" s="1">
        <v>6.3559322033898309E-3</v>
      </c>
    </row>
    <row r="474" spans="1:5" x14ac:dyDescent="0.3">
      <c r="A474" t="s">
        <v>216</v>
      </c>
      <c r="B474" t="s">
        <v>397</v>
      </c>
      <c r="C474" t="s">
        <v>399</v>
      </c>
      <c r="D474">
        <v>5634</v>
      </c>
      <c r="E474" s="1">
        <v>0.20159587791176156</v>
      </c>
    </row>
    <row r="475" spans="1:5" x14ac:dyDescent="0.3">
      <c r="A475" t="s">
        <v>216</v>
      </c>
      <c r="B475" t="s">
        <v>671</v>
      </c>
      <c r="C475" t="s">
        <v>457</v>
      </c>
      <c r="D475">
        <v>8352</v>
      </c>
      <c r="E475" s="1">
        <v>0.2988513972877232</v>
      </c>
    </row>
    <row r="476" spans="1:5" x14ac:dyDescent="0.3">
      <c r="A476" t="s">
        <v>216</v>
      </c>
      <c r="B476" t="s">
        <v>398</v>
      </c>
      <c r="C476" t="s">
        <v>672</v>
      </c>
      <c r="D476">
        <v>3042</v>
      </c>
      <c r="E476" s="1">
        <v>0.10884889254660608</v>
      </c>
    </row>
    <row r="477" spans="1:5" x14ac:dyDescent="0.3">
      <c r="A477" t="s">
        <v>216</v>
      </c>
      <c r="B477" t="s">
        <v>395</v>
      </c>
      <c r="C477" t="s">
        <v>399</v>
      </c>
      <c r="D477">
        <v>10605</v>
      </c>
      <c r="E477" s="1">
        <v>0.37946827924285254</v>
      </c>
    </row>
    <row r="478" spans="1:5" x14ac:dyDescent="0.3">
      <c r="A478" t="s">
        <v>216</v>
      </c>
      <c r="B478" t="s">
        <v>402</v>
      </c>
      <c r="D478">
        <v>314</v>
      </c>
      <c r="E478" s="1">
        <v>1.1235553011056642E-2</v>
      </c>
    </row>
    <row r="479" spans="1:5" x14ac:dyDescent="0.3">
      <c r="A479" t="s">
        <v>217</v>
      </c>
      <c r="B479" t="s">
        <v>673</v>
      </c>
      <c r="C479" t="s">
        <v>399</v>
      </c>
      <c r="D479">
        <v>17429</v>
      </c>
      <c r="E479" s="1">
        <v>0.60143552227475072</v>
      </c>
    </row>
    <row r="480" spans="1:5" x14ac:dyDescent="0.3">
      <c r="A480" t="s">
        <v>217</v>
      </c>
      <c r="B480" t="s">
        <v>674</v>
      </c>
      <c r="C480" t="s">
        <v>401</v>
      </c>
      <c r="D480">
        <v>11504</v>
      </c>
      <c r="E480" s="1">
        <v>0.39697712136374619</v>
      </c>
    </row>
    <row r="481" spans="1:5" x14ac:dyDescent="0.3">
      <c r="A481" t="s">
        <v>217</v>
      </c>
      <c r="B481" t="s">
        <v>402</v>
      </c>
      <c r="D481">
        <v>46</v>
      </c>
      <c r="E481" s="1">
        <v>1.5873563615031575E-3</v>
      </c>
    </row>
    <row r="482" spans="1:5" x14ac:dyDescent="0.3">
      <c r="A482" t="s">
        <v>224</v>
      </c>
      <c r="B482" t="s">
        <v>675</v>
      </c>
      <c r="C482" t="s">
        <v>399</v>
      </c>
      <c r="D482">
        <v>18338</v>
      </c>
      <c r="E482" s="1">
        <v>0.70587782439662805</v>
      </c>
    </row>
    <row r="483" spans="1:5" x14ac:dyDescent="0.3">
      <c r="A483" t="s">
        <v>224</v>
      </c>
      <c r="B483" t="s">
        <v>676</v>
      </c>
      <c r="C483" t="s">
        <v>401</v>
      </c>
      <c r="D483">
        <v>7582</v>
      </c>
      <c r="E483" s="1">
        <v>0.29185111051233686</v>
      </c>
    </row>
    <row r="484" spans="1:5" x14ac:dyDescent="0.3">
      <c r="A484" t="s">
        <v>224</v>
      </c>
      <c r="B484" t="s">
        <v>402</v>
      </c>
      <c r="D484">
        <v>59</v>
      </c>
      <c r="E484" s="1">
        <v>2.2710650910350667E-3</v>
      </c>
    </row>
    <row r="485" spans="1:5" x14ac:dyDescent="0.3">
      <c r="A485" t="s">
        <v>225</v>
      </c>
      <c r="B485" t="s">
        <v>677</v>
      </c>
      <c r="C485" t="s">
        <v>399</v>
      </c>
      <c r="D485">
        <v>11680</v>
      </c>
      <c r="E485" s="1">
        <v>0.48972746331236899</v>
      </c>
    </row>
    <row r="486" spans="1:5" x14ac:dyDescent="0.3">
      <c r="A486" t="s">
        <v>225</v>
      </c>
      <c r="B486" t="s">
        <v>678</v>
      </c>
      <c r="C486" t="s">
        <v>399</v>
      </c>
      <c r="D486">
        <v>11656</v>
      </c>
      <c r="E486" s="1">
        <v>0.48872117400419285</v>
      </c>
    </row>
    <row r="487" spans="1:5" x14ac:dyDescent="0.3">
      <c r="A487" t="s">
        <v>225</v>
      </c>
      <c r="B487" t="s">
        <v>402</v>
      </c>
      <c r="D487">
        <v>514</v>
      </c>
      <c r="E487" s="1">
        <v>2.1551362683438154E-2</v>
      </c>
    </row>
    <row r="488" spans="1:5" x14ac:dyDescent="0.3">
      <c r="A488" t="s">
        <v>202</v>
      </c>
      <c r="B488" t="s">
        <v>679</v>
      </c>
      <c r="C488" t="s">
        <v>399</v>
      </c>
      <c r="D488">
        <v>17791</v>
      </c>
      <c r="E488" s="1">
        <v>0.5252575949927667</v>
      </c>
    </row>
    <row r="489" spans="1:5" x14ac:dyDescent="0.3">
      <c r="A489" t="s">
        <v>202</v>
      </c>
      <c r="B489" t="s">
        <v>680</v>
      </c>
      <c r="C489" t="s">
        <v>401</v>
      </c>
      <c r="D489">
        <v>9649</v>
      </c>
      <c r="E489" s="1">
        <v>0.28487496678574592</v>
      </c>
    </row>
    <row r="490" spans="1:5" x14ac:dyDescent="0.3">
      <c r="A490" t="s">
        <v>202</v>
      </c>
      <c r="B490" t="s">
        <v>681</v>
      </c>
      <c r="C490" t="s">
        <v>399</v>
      </c>
      <c r="D490">
        <v>6378</v>
      </c>
      <c r="E490" s="1">
        <v>0.18830267780697352</v>
      </c>
    </row>
    <row r="491" spans="1:5" x14ac:dyDescent="0.3">
      <c r="A491" t="s">
        <v>202</v>
      </c>
      <c r="B491" t="s">
        <v>402</v>
      </c>
      <c r="D491">
        <v>53</v>
      </c>
      <c r="E491" s="1">
        <v>1.564760414513891E-3</v>
      </c>
    </row>
    <row r="492" spans="1:5" x14ac:dyDescent="0.3">
      <c r="A492" t="s">
        <v>203</v>
      </c>
      <c r="B492" t="s">
        <v>682</v>
      </c>
      <c r="C492" t="s">
        <v>399</v>
      </c>
      <c r="D492">
        <v>24373</v>
      </c>
      <c r="E492" s="1">
        <v>0.72599189801024666</v>
      </c>
    </row>
    <row r="493" spans="1:5" x14ac:dyDescent="0.3">
      <c r="A493" t="s">
        <v>203</v>
      </c>
      <c r="B493" t="s">
        <v>683</v>
      </c>
      <c r="C493" t="s">
        <v>401</v>
      </c>
      <c r="D493">
        <v>9092</v>
      </c>
      <c r="E493" s="1">
        <v>0.27082092219706899</v>
      </c>
    </row>
    <row r="494" spans="1:5" x14ac:dyDescent="0.3">
      <c r="A494" t="s">
        <v>203</v>
      </c>
      <c r="B494" t="s">
        <v>402</v>
      </c>
      <c r="D494">
        <v>107</v>
      </c>
      <c r="E494" s="1">
        <v>3.18717979268438E-3</v>
      </c>
    </row>
  </sheetData>
  <conditionalFormatting sqref="E2:E494">
    <cfRule type="cellIs" dxfId="0" priority="1" operator="greaterThanOrEqual">
      <formula>0.5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F1" sqref="AF1:AJ1"/>
    </sheetView>
  </sheetViews>
  <sheetFormatPr defaultRowHeight="14.4" x14ac:dyDescent="0.3"/>
  <cols>
    <col min="1" max="1" width="41" customWidth="1"/>
    <col min="2" max="2" width="15.21875" customWidth="1"/>
    <col min="3" max="3" width="22.5546875" customWidth="1"/>
    <col min="4" max="4" width="23.109375" customWidth="1"/>
    <col min="5" max="5" width="17.88671875" customWidth="1"/>
    <col min="6" max="6" width="18.21875" style="1" customWidth="1"/>
    <col min="7" max="7" width="14.44140625" customWidth="1"/>
    <col min="8" max="8" width="21.109375" style="1" customWidth="1"/>
    <col min="9" max="9" width="18.33203125" customWidth="1"/>
    <col min="10" max="10" width="9.109375" customWidth="1"/>
    <col min="11" max="11" width="9.109375" style="1" customWidth="1"/>
    <col min="12" max="12" width="18" customWidth="1"/>
    <col min="13" max="13" width="18" style="1" customWidth="1"/>
    <col min="14" max="15" width="18" customWidth="1"/>
    <col min="16" max="16" width="18" style="1" customWidth="1"/>
    <col min="17" max="17" width="18" customWidth="1"/>
    <col min="18" max="18" width="18" style="1" customWidth="1"/>
    <col min="19" max="20" width="18" customWidth="1"/>
    <col min="21" max="21" width="18" style="1" customWidth="1"/>
    <col min="23" max="23" width="9.109375" style="1" customWidth="1"/>
    <col min="26" max="26" width="9.109375" style="1" customWidth="1"/>
    <col min="28" max="28" width="9.109375" style="1" customWidth="1"/>
    <col min="31" max="31" width="9.109375" style="1" customWidth="1"/>
    <col min="32" max="32" width="22.88671875" customWidth="1"/>
    <col min="33" max="33" width="15.44140625" style="1" customWidth="1"/>
    <col min="34" max="34" width="14" customWidth="1"/>
    <col min="35" max="35" width="15.6640625" customWidth="1"/>
    <col min="36" max="36" width="13.33203125" style="1" customWidth="1"/>
  </cols>
  <sheetData>
    <row r="1" spans="1:36" x14ac:dyDescent="0.3">
      <c r="A1" t="s">
        <v>47</v>
      </c>
      <c r="B1" t="s">
        <v>695</v>
      </c>
      <c r="C1" t="s">
        <v>27</v>
      </c>
      <c r="D1" t="s">
        <v>28</v>
      </c>
      <c r="E1" t="s">
        <v>245</v>
      </c>
      <c r="F1" s="1" t="s">
        <v>246</v>
      </c>
      <c r="G1" t="s">
        <v>250</v>
      </c>
      <c r="H1" s="1" t="s">
        <v>251</v>
      </c>
      <c r="I1" t="s">
        <v>696</v>
      </c>
      <c r="J1" t="s">
        <v>253</v>
      </c>
      <c r="K1" s="1" t="s">
        <v>254</v>
      </c>
      <c r="L1" t="s">
        <v>255</v>
      </c>
      <c r="M1" s="1" t="s">
        <v>256</v>
      </c>
      <c r="N1" t="s">
        <v>697</v>
      </c>
      <c r="O1" t="s">
        <v>258</v>
      </c>
      <c r="P1" s="1" t="s">
        <v>259</v>
      </c>
      <c r="Q1" t="s">
        <v>260</v>
      </c>
      <c r="R1" s="1" t="s">
        <v>261</v>
      </c>
      <c r="S1" t="s">
        <v>698</v>
      </c>
      <c r="T1" t="s">
        <v>263</v>
      </c>
      <c r="U1" s="1" t="s">
        <v>264</v>
      </c>
      <c r="V1" t="s">
        <v>265</v>
      </c>
      <c r="W1" s="1" t="s">
        <v>266</v>
      </c>
      <c r="X1" t="s">
        <v>267</v>
      </c>
      <c r="Y1" t="s">
        <v>268</v>
      </c>
      <c r="Z1" s="1" t="s">
        <v>269</v>
      </c>
      <c r="AA1" t="s">
        <v>270</v>
      </c>
      <c r="AB1" s="1" t="s">
        <v>271</v>
      </c>
      <c r="AC1" t="s">
        <v>272</v>
      </c>
      <c r="AD1" t="s">
        <v>273</v>
      </c>
      <c r="AE1" s="1" t="s">
        <v>274</v>
      </c>
      <c r="AF1" t="s">
        <v>275</v>
      </c>
      <c r="AG1" s="1" t="s">
        <v>276</v>
      </c>
      <c r="AH1" t="s">
        <v>277</v>
      </c>
      <c r="AI1" t="s">
        <v>278</v>
      </c>
      <c r="AJ1" s="1" t="s">
        <v>279</v>
      </c>
    </row>
    <row r="2" spans="1:36" x14ac:dyDescent="0.3">
      <c r="A2" t="s">
        <v>62</v>
      </c>
      <c r="B2">
        <v>179213</v>
      </c>
      <c r="C2" t="s">
        <v>699</v>
      </c>
      <c r="E2">
        <v>98597</v>
      </c>
      <c r="F2" s="1" t="s">
        <v>700</v>
      </c>
      <c r="G2">
        <v>113370</v>
      </c>
      <c r="H2" s="1" t="s">
        <v>700</v>
      </c>
      <c r="I2" t="s">
        <v>700</v>
      </c>
      <c r="J2">
        <v>14773</v>
      </c>
      <c r="K2" s="1" t="s">
        <v>700</v>
      </c>
      <c r="L2">
        <v>150766</v>
      </c>
      <c r="M2" s="1" t="s">
        <v>700</v>
      </c>
      <c r="N2" t="s">
        <v>700</v>
      </c>
      <c r="O2">
        <v>37396</v>
      </c>
      <c r="P2" s="1" t="s">
        <v>700</v>
      </c>
      <c r="Q2">
        <v>159269</v>
      </c>
      <c r="R2" s="1" t="s">
        <v>700</v>
      </c>
      <c r="S2" t="s">
        <v>700</v>
      </c>
      <c r="T2">
        <v>8503</v>
      </c>
      <c r="U2" s="1" t="s">
        <v>700</v>
      </c>
      <c r="V2">
        <v>161993</v>
      </c>
      <c r="Y2">
        <v>2724</v>
      </c>
      <c r="AA2">
        <v>162264</v>
      </c>
      <c r="AD2">
        <v>271</v>
      </c>
      <c r="AF2">
        <v>163014</v>
      </c>
      <c r="AI2">
        <v>750</v>
      </c>
    </row>
    <row r="3" spans="1:36" x14ac:dyDescent="0.3">
      <c r="A3" t="s">
        <v>62</v>
      </c>
      <c r="B3">
        <v>179213</v>
      </c>
      <c r="C3" t="s">
        <v>299</v>
      </c>
      <c r="D3" t="s">
        <v>399</v>
      </c>
      <c r="E3">
        <v>2036</v>
      </c>
      <c r="F3" s="1">
        <v>2.1000000000000001E-2</v>
      </c>
      <c r="G3">
        <v>2378</v>
      </c>
      <c r="H3" s="1">
        <v>2.1299999999999999E-2</v>
      </c>
      <c r="I3">
        <v>0.03</v>
      </c>
      <c r="J3">
        <v>342</v>
      </c>
      <c r="K3" s="1">
        <v>2.3599999999999999E-2</v>
      </c>
      <c r="L3">
        <v>3257</v>
      </c>
      <c r="M3" s="1">
        <v>2.1984178411361306E-2</v>
      </c>
      <c r="N3">
        <v>0.1</v>
      </c>
      <c r="O3">
        <v>879</v>
      </c>
      <c r="P3" s="1">
        <v>2.4013768986995955E-2</v>
      </c>
      <c r="Q3">
        <v>3463</v>
      </c>
      <c r="R3" s="1">
        <v>2.2096874022932766E-2</v>
      </c>
      <c r="S3">
        <v>0.11</v>
      </c>
      <c r="T3">
        <v>206</v>
      </c>
      <c r="U3" s="1">
        <v>2.4045756974436793E-2</v>
      </c>
      <c r="V3">
        <v>3530</v>
      </c>
      <c r="W3" s="1">
        <v>2.2138601442458453E-2</v>
      </c>
      <c r="X3">
        <v>0.11</v>
      </c>
      <c r="Y3">
        <v>67</v>
      </c>
      <c r="Z3" s="1">
        <v>2.4533138044672283E-2</v>
      </c>
      <c r="AA3">
        <v>3558</v>
      </c>
      <c r="AB3" s="1">
        <v>2.2257949491094945E-2</v>
      </c>
      <c r="AC3">
        <v>0.13</v>
      </c>
      <c r="AD3">
        <v>28</v>
      </c>
      <c r="AE3" s="1">
        <v>6.9478908188585611E-2</v>
      </c>
      <c r="AF3">
        <v>3580</v>
      </c>
      <c r="AG3" s="1">
        <v>2.2295155474457099E-2</v>
      </c>
      <c r="AH3">
        <v>0.13</v>
      </c>
      <c r="AI3">
        <v>22</v>
      </c>
      <c r="AJ3" s="1">
        <v>3.0555555555555555E-2</v>
      </c>
    </row>
    <row r="4" spans="1:36" x14ac:dyDescent="0.3">
      <c r="A4" t="s">
        <v>62</v>
      </c>
      <c r="B4">
        <v>179213</v>
      </c>
      <c r="C4" t="s">
        <v>300</v>
      </c>
      <c r="D4" t="s">
        <v>399</v>
      </c>
      <c r="E4">
        <v>52846</v>
      </c>
      <c r="F4" s="1">
        <v>0.54430000000000001</v>
      </c>
      <c r="G4">
        <v>60317</v>
      </c>
      <c r="H4" s="1">
        <v>0.54069999999999996</v>
      </c>
      <c r="I4">
        <v>-0.36</v>
      </c>
      <c r="J4">
        <v>7471</v>
      </c>
      <c r="K4" s="1">
        <v>0.51659999999999995</v>
      </c>
      <c r="L4">
        <v>78529</v>
      </c>
      <c r="M4" s="1">
        <v>0.53005696851881856</v>
      </c>
      <c r="N4">
        <v>-1.42</v>
      </c>
      <c r="O4">
        <v>18212</v>
      </c>
      <c r="P4" s="1">
        <v>0.49754125232215057</v>
      </c>
      <c r="Q4">
        <v>83191</v>
      </c>
      <c r="R4" s="1">
        <v>0.53082906348304926</v>
      </c>
      <c r="S4">
        <v>-1.35</v>
      </c>
      <c r="T4">
        <v>4662</v>
      </c>
      <c r="U4" s="1">
        <v>0.5441811602661375</v>
      </c>
      <c r="V4">
        <v>84644</v>
      </c>
      <c r="W4" s="1">
        <v>0.53084979617434935</v>
      </c>
      <c r="X4">
        <v>-1.35</v>
      </c>
      <c r="Y4">
        <v>1453</v>
      </c>
      <c r="Z4" s="1">
        <v>0.53203954595386305</v>
      </c>
      <c r="AA4">
        <v>84817</v>
      </c>
      <c r="AB4" s="1">
        <v>0.5305937329921866</v>
      </c>
      <c r="AC4">
        <v>-1.37</v>
      </c>
      <c r="AD4">
        <v>173</v>
      </c>
      <c r="AE4" s="1">
        <v>0.4292803970223325</v>
      </c>
      <c r="AF4">
        <v>85156</v>
      </c>
      <c r="AG4" s="1">
        <v>0.53032577083320354</v>
      </c>
      <c r="AH4">
        <v>-1.4</v>
      </c>
      <c r="AI4">
        <v>339</v>
      </c>
      <c r="AJ4" s="1">
        <v>0.47083333333333333</v>
      </c>
    </row>
    <row r="5" spans="1:36" x14ac:dyDescent="0.3">
      <c r="A5" t="s">
        <v>62</v>
      </c>
      <c r="B5">
        <v>179213</v>
      </c>
      <c r="C5" t="s">
        <v>301</v>
      </c>
      <c r="D5" t="s">
        <v>399</v>
      </c>
      <c r="E5">
        <v>2116</v>
      </c>
      <c r="F5" s="1">
        <v>2.18E-2</v>
      </c>
      <c r="G5">
        <v>2509</v>
      </c>
      <c r="H5" s="1">
        <v>2.2499999999999999E-2</v>
      </c>
      <c r="I5">
        <v>7.0000000000000007E-2</v>
      </c>
      <c r="J5">
        <v>393</v>
      </c>
      <c r="K5" s="1">
        <v>2.7200000000000002E-2</v>
      </c>
      <c r="L5">
        <v>3599</v>
      </c>
      <c r="M5" s="1">
        <v>2.4292618391921809E-2</v>
      </c>
      <c r="N5">
        <v>0.25</v>
      </c>
      <c r="O5">
        <v>1090</v>
      </c>
      <c r="P5" s="1">
        <v>2.9778166320620698E-2</v>
      </c>
      <c r="Q5">
        <v>3828</v>
      </c>
      <c r="R5" s="1">
        <v>2.4425883268780427E-2</v>
      </c>
      <c r="S5">
        <v>0.26</v>
      </c>
      <c r="T5">
        <v>229</v>
      </c>
      <c r="U5" s="1">
        <v>2.673047741333022E-2</v>
      </c>
      <c r="V5">
        <v>3892</v>
      </c>
      <c r="W5" s="1">
        <v>2.4408905613044842E-2</v>
      </c>
      <c r="X5">
        <v>0.26</v>
      </c>
      <c r="Y5">
        <v>64</v>
      </c>
      <c r="Z5" s="1">
        <v>2.3434639326254118E-2</v>
      </c>
      <c r="AA5">
        <v>3907</v>
      </c>
      <c r="AB5" s="1">
        <v>2.4441205357422131E-2</v>
      </c>
      <c r="AC5">
        <v>0.26</v>
      </c>
      <c r="AD5">
        <v>15</v>
      </c>
      <c r="AE5" s="1">
        <v>3.7220843672456573E-2</v>
      </c>
      <c r="AF5">
        <v>3929</v>
      </c>
      <c r="AG5" s="1">
        <v>2.4468621748363673E-2</v>
      </c>
      <c r="AH5">
        <v>0.27</v>
      </c>
      <c r="AI5">
        <v>22</v>
      </c>
      <c r="AJ5" s="1">
        <v>3.0555555555555555E-2</v>
      </c>
    </row>
    <row r="6" spans="1:36" x14ac:dyDescent="0.3">
      <c r="A6" t="s">
        <v>62</v>
      </c>
      <c r="B6">
        <v>179213</v>
      </c>
      <c r="C6" t="s">
        <v>302</v>
      </c>
      <c r="D6" t="s">
        <v>400</v>
      </c>
      <c r="E6">
        <v>6767</v>
      </c>
      <c r="F6" s="1">
        <v>6.9699999999999998E-2</v>
      </c>
      <c r="G6">
        <v>7898</v>
      </c>
      <c r="H6" s="1">
        <v>7.0800000000000002E-2</v>
      </c>
      <c r="I6">
        <v>0.11</v>
      </c>
      <c r="J6">
        <v>1131</v>
      </c>
      <c r="K6" s="1">
        <v>7.8200000000000006E-2</v>
      </c>
      <c r="L6">
        <v>10917</v>
      </c>
      <c r="M6" s="1">
        <v>7.3687834116312981E-2</v>
      </c>
      <c r="N6">
        <v>0.4</v>
      </c>
      <c r="O6">
        <v>3019</v>
      </c>
      <c r="P6" s="1">
        <v>8.2477324882526501E-2</v>
      </c>
      <c r="Q6">
        <v>11689</v>
      </c>
      <c r="R6" s="1">
        <v>7.4585723492365322E-2</v>
      </c>
      <c r="S6">
        <v>0.49</v>
      </c>
      <c r="T6">
        <v>772</v>
      </c>
      <c r="U6" s="1">
        <v>9.0113225166335936E-2</v>
      </c>
      <c r="V6">
        <v>11920</v>
      </c>
      <c r="W6" s="1">
        <v>7.4756977108811545E-2</v>
      </c>
      <c r="X6">
        <v>0.51</v>
      </c>
      <c r="Y6">
        <v>231</v>
      </c>
      <c r="Z6" s="1">
        <v>8.4584401318198457E-2</v>
      </c>
      <c r="AA6">
        <v>11967</v>
      </c>
      <c r="AB6" s="1">
        <v>7.4862529949391007E-2</v>
      </c>
      <c r="AC6">
        <v>0.52</v>
      </c>
      <c r="AD6">
        <v>47</v>
      </c>
      <c r="AE6" s="1">
        <v>0.11662531017369727</v>
      </c>
      <c r="AF6">
        <v>12023</v>
      </c>
      <c r="AG6" s="1">
        <v>7.4875601751228413E-2</v>
      </c>
      <c r="AH6">
        <v>0.52</v>
      </c>
      <c r="AI6">
        <v>56</v>
      </c>
      <c r="AJ6" s="1">
        <v>7.7777777777777779E-2</v>
      </c>
    </row>
    <row r="7" spans="1:36" x14ac:dyDescent="0.3">
      <c r="A7" t="s">
        <v>62</v>
      </c>
      <c r="B7">
        <v>179213</v>
      </c>
      <c r="C7" t="s">
        <v>303</v>
      </c>
      <c r="D7" t="s">
        <v>399</v>
      </c>
      <c r="E7">
        <v>4809</v>
      </c>
      <c r="F7" s="1">
        <v>4.9500000000000002E-2</v>
      </c>
      <c r="G7">
        <v>5780</v>
      </c>
      <c r="H7" s="1">
        <v>5.1799999999999999E-2</v>
      </c>
      <c r="I7">
        <v>0.23</v>
      </c>
      <c r="J7">
        <v>971</v>
      </c>
      <c r="K7" s="1">
        <v>6.7099999999999993E-2</v>
      </c>
      <c r="L7">
        <v>8734</v>
      </c>
      <c r="M7" s="1">
        <v>5.8952967222852204E-2</v>
      </c>
      <c r="N7">
        <v>0.95</v>
      </c>
      <c r="O7">
        <v>2954</v>
      </c>
      <c r="P7" s="1">
        <v>8.0701562670746366E-2</v>
      </c>
      <c r="Q7">
        <v>9629</v>
      </c>
      <c r="R7" s="1">
        <v>6.144117815963604E-2</v>
      </c>
      <c r="S7">
        <v>1.19</v>
      </c>
      <c r="T7">
        <v>895</v>
      </c>
      <c r="U7" s="1">
        <v>0.10447064316563558</v>
      </c>
      <c r="V7">
        <v>9869</v>
      </c>
      <c r="W7" s="1">
        <v>6.1894010661649422E-2</v>
      </c>
      <c r="X7">
        <v>1.24</v>
      </c>
      <c r="Y7">
        <v>240</v>
      </c>
      <c r="Z7" s="1">
        <v>8.7879897473452942E-2</v>
      </c>
      <c r="AA7">
        <v>9909</v>
      </c>
      <c r="AB7" s="1">
        <v>6.1988201660275376E-2</v>
      </c>
      <c r="AC7">
        <v>1.25</v>
      </c>
      <c r="AD7">
        <v>40</v>
      </c>
      <c r="AE7" s="1">
        <v>9.9255583126550875E-2</v>
      </c>
      <c r="AF7">
        <v>10014</v>
      </c>
      <c r="AG7" s="1">
        <v>6.2364158357880839E-2</v>
      </c>
      <c r="AH7">
        <v>1.29</v>
      </c>
      <c r="AI7">
        <v>105</v>
      </c>
      <c r="AJ7" s="1">
        <v>0.14583333333333334</v>
      </c>
    </row>
    <row r="8" spans="1:36" x14ac:dyDescent="0.3">
      <c r="A8" t="s">
        <v>62</v>
      </c>
      <c r="B8">
        <v>179213</v>
      </c>
      <c r="C8" t="s">
        <v>304</v>
      </c>
      <c r="D8" t="s">
        <v>401</v>
      </c>
      <c r="E8">
        <v>26389</v>
      </c>
      <c r="F8" s="1">
        <v>0.27179999999999999</v>
      </c>
      <c r="G8">
        <v>30202</v>
      </c>
      <c r="H8" s="1">
        <v>0.27079999999999999</v>
      </c>
      <c r="I8">
        <v>-0.1</v>
      </c>
      <c r="J8">
        <v>3813</v>
      </c>
      <c r="K8" s="1">
        <v>0.26369999999999999</v>
      </c>
      <c r="L8">
        <v>39700</v>
      </c>
      <c r="M8" s="1">
        <v>0.2679680328311464</v>
      </c>
      <c r="N8">
        <v>-0.38</v>
      </c>
      <c r="O8">
        <v>9498</v>
      </c>
      <c r="P8" s="1">
        <v>0.25947983826904164</v>
      </c>
      <c r="Q8">
        <v>41269</v>
      </c>
      <c r="R8" s="1">
        <v>0.26333118511475956</v>
      </c>
      <c r="S8">
        <v>-0.85</v>
      </c>
      <c r="T8">
        <v>1569</v>
      </c>
      <c r="U8" s="1">
        <v>0.18314462472277343</v>
      </c>
      <c r="V8">
        <v>41865</v>
      </c>
      <c r="W8" s="1">
        <v>0.26255879586077141</v>
      </c>
      <c r="X8">
        <v>-0.92</v>
      </c>
      <c r="Y8">
        <v>596</v>
      </c>
      <c r="Z8" s="1">
        <v>0.21823507872574149</v>
      </c>
      <c r="AA8">
        <v>41944</v>
      </c>
      <c r="AB8" s="1">
        <v>0.26239107179721372</v>
      </c>
      <c r="AC8">
        <v>-0.94</v>
      </c>
      <c r="AD8">
        <v>79</v>
      </c>
      <c r="AE8" s="1">
        <v>0.19602977667493796</v>
      </c>
      <c r="AF8">
        <v>42088</v>
      </c>
      <c r="AG8" s="1">
        <v>0.26211131385724873</v>
      </c>
      <c r="AH8">
        <v>-0.97</v>
      </c>
      <c r="AI8">
        <v>144</v>
      </c>
      <c r="AJ8" s="1">
        <v>0.2</v>
      </c>
    </row>
    <row r="9" spans="1:36" x14ac:dyDescent="0.3">
      <c r="A9" t="s">
        <v>62</v>
      </c>
      <c r="B9">
        <v>179213</v>
      </c>
      <c r="C9" t="s">
        <v>305</v>
      </c>
      <c r="D9" t="s">
        <v>399</v>
      </c>
      <c r="E9">
        <v>1997</v>
      </c>
      <c r="F9" s="1">
        <v>2.06E-2</v>
      </c>
      <c r="G9">
        <v>2330</v>
      </c>
      <c r="H9" s="1">
        <v>2.0899999999999998E-2</v>
      </c>
      <c r="I9">
        <v>0.03</v>
      </c>
      <c r="J9">
        <v>333</v>
      </c>
      <c r="K9" s="1">
        <v>2.3E-2</v>
      </c>
      <c r="L9">
        <v>3207</v>
      </c>
      <c r="M9" s="1">
        <v>2.1646687186133162E-2</v>
      </c>
      <c r="N9">
        <v>0.1</v>
      </c>
      <c r="O9">
        <v>877</v>
      </c>
      <c r="P9" s="1">
        <v>2.3959130149710413E-2</v>
      </c>
      <c r="Q9">
        <v>3439</v>
      </c>
      <c r="R9" s="1">
        <v>2.194373368895922E-2</v>
      </c>
      <c r="S9">
        <v>0.13</v>
      </c>
      <c r="T9">
        <v>232</v>
      </c>
      <c r="U9" s="1">
        <v>2.7080658340142408E-2</v>
      </c>
      <c r="V9">
        <v>3512</v>
      </c>
      <c r="W9" s="1">
        <v>2.2025713389777359E-2</v>
      </c>
      <c r="X9">
        <v>0.14000000000000001</v>
      </c>
      <c r="Y9">
        <v>73</v>
      </c>
      <c r="Z9" s="1">
        <v>2.6730135481508606E-2</v>
      </c>
      <c r="AA9">
        <v>3530</v>
      </c>
      <c r="AB9" s="1">
        <v>2.2082788561991331E-2</v>
      </c>
      <c r="AC9">
        <v>0.15</v>
      </c>
      <c r="AD9">
        <v>18</v>
      </c>
      <c r="AE9" s="1">
        <v>4.4665012406947889E-2</v>
      </c>
      <c r="AF9">
        <v>3562</v>
      </c>
      <c r="AG9" s="1">
        <v>2.2183056927378826E-2</v>
      </c>
      <c r="AH9">
        <v>0.16</v>
      </c>
      <c r="AI9">
        <v>32</v>
      </c>
      <c r="AJ9" s="1">
        <v>4.4444444444444446E-2</v>
      </c>
    </row>
    <row r="10" spans="1:36" x14ac:dyDescent="0.3">
      <c r="A10" t="s">
        <v>62</v>
      </c>
      <c r="B10">
        <v>179213</v>
      </c>
      <c r="C10" t="s">
        <v>402</v>
      </c>
      <c r="E10">
        <v>126</v>
      </c>
      <c r="F10" s="1">
        <v>1.2999999999999999E-3</v>
      </c>
      <c r="G10">
        <v>134</v>
      </c>
      <c r="H10" s="1">
        <v>1.1999999999999999E-3</v>
      </c>
      <c r="I10">
        <v>-0.01</v>
      </c>
      <c r="J10">
        <v>8</v>
      </c>
      <c r="K10" s="1">
        <v>5.9999999999999995E-4</v>
      </c>
      <c r="L10">
        <v>209</v>
      </c>
      <c r="M10" s="1">
        <v>1.4107133214536422E-3</v>
      </c>
      <c r="N10">
        <v>0.01</v>
      </c>
      <c r="O10">
        <v>75</v>
      </c>
      <c r="P10" s="1">
        <v>2.0489563982078463E-3</v>
      </c>
      <c r="Q10">
        <v>211</v>
      </c>
      <c r="R10" s="1">
        <v>1.3463587695174166E-3</v>
      </c>
      <c r="S10">
        <v>0</v>
      </c>
      <c r="T10">
        <v>2</v>
      </c>
      <c r="U10" s="1">
        <v>2.3345395120812421E-4</v>
      </c>
      <c r="V10">
        <v>218</v>
      </c>
      <c r="W10" s="1">
        <v>1.3671997491376607E-3</v>
      </c>
      <c r="X10">
        <v>0.01</v>
      </c>
      <c r="Y10">
        <v>7</v>
      </c>
      <c r="Z10" s="1">
        <v>2.5631636763090442E-3</v>
      </c>
      <c r="AA10">
        <v>221</v>
      </c>
      <c r="AB10" s="1">
        <v>1.3825201904249529E-3</v>
      </c>
      <c r="AC10">
        <v>0.01</v>
      </c>
      <c r="AD10">
        <v>3</v>
      </c>
      <c r="AE10" s="1">
        <v>7.4441687344913151E-3</v>
      </c>
      <c r="AF10">
        <v>221</v>
      </c>
      <c r="AG10" s="1">
        <v>1.3763210502388322E-3</v>
      </c>
      <c r="AH10">
        <v>0.01</v>
      </c>
      <c r="AI10">
        <v>0</v>
      </c>
      <c r="AJ10" s="1">
        <v>0</v>
      </c>
    </row>
    <row r="11" spans="1:36" x14ac:dyDescent="0.3">
      <c r="A11" t="s">
        <v>62</v>
      </c>
      <c r="B11">
        <v>179213</v>
      </c>
      <c r="C11" t="s">
        <v>701</v>
      </c>
      <c r="E11">
        <v>126</v>
      </c>
      <c r="F11" s="1" t="s">
        <v>700</v>
      </c>
      <c r="G11">
        <v>180</v>
      </c>
      <c r="H11" s="1" t="s">
        <v>700</v>
      </c>
      <c r="I11" t="s">
        <v>700</v>
      </c>
      <c r="J11">
        <v>54</v>
      </c>
      <c r="K11" s="1" t="s">
        <v>700</v>
      </c>
      <c r="L11">
        <v>289</v>
      </c>
      <c r="M11" s="1" t="s">
        <v>700</v>
      </c>
      <c r="N11" t="s">
        <v>700</v>
      </c>
      <c r="O11">
        <v>109</v>
      </c>
      <c r="P11" s="1" t="s">
        <v>700</v>
      </c>
      <c r="Q11">
        <v>82</v>
      </c>
      <c r="R11" s="1" t="s">
        <v>700</v>
      </c>
      <c r="S11" t="s">
        <v>700</v>
      </c>
      <c r="T11">
        <v>-207</v>
      </c>
      <c r="U11" s="1" t="s">
        <v>700</v>
      </c>
      <c r="V11">
        <v>82</v>
      </c>
      <c r="Y11">
        <v>0</v>
      </c>
      <c r="AA11">
        <v>44</v>
      </c>
      <c r="AD11">
        <v>-38</v>
      </c>
      <c r="AF11">
        <v>44</v>
      </c>
      <c r="AI11">
        <v>0</v>
      </c>
    </row>
    <row r="12" spans="1:36" x14ac:dyDescent="0.3">
      <c r="A12" t="s">
        <v>62</v>
      </c>
      <c r="B12">
        <v>179213</v>
      </c>
      <c r="C12" t="s">
        <v>702</v>
      </c>
      <c r="E12">
        <v>924</v>
      </c>
      <c r="F12" s="1" t="s">
        <v>700</v>
      </c>
      <c r="G12">
        <v>1076</v>
      </c>
      <c r="H12" s="1" t="s">
        <v>700</v>
      </c>
      <c r="I12" t="s">
        <v>700</v>
      </c>
      <c r="J12">
        <v>152</v>
      </c>
      <c r="K12" s="1" t="s">
        <v>700</v>
      </c>
      <c r="L12">
        <v>1543</v>
      </c>
      <c r="M12" s="1" t="s">
        <v>700</v>
      </c>
      <c r="N12" t="s">
        <v>700</v>
      </c>
      <c r="O12">
        <v>467</v>
      </c>
      <c r="P12" s="1" t="s">
        <v>700</v>
      </c>
      <c r="Q12">
        <v>1602</v>
      </c>
      <c r="R12" s="1" t="s">
        <v>700</v>
      </c>
      <c r="S12" t="s">
        <v>700</v>
      </c>
      <c r="T12">
        <v>59</v>
      </c>
      <c r="U12" s="1" t="s">
        <v>700</v>
      </c>
      <c r="V12">
        <v>1602</v>
      </c>
      <c r="Y12">
        <v>0</v>
      </c>
      <c r="AA12">
        <v>1602</v>
      </c>
      <c r="AD12">
        <v>0</v>
      </c>
      <c r="AF12">
        <v>1634</v>
      </c>
      <c r="AI12">
        <v>32</v>
      </c>
    </row>
    <row r="13" spans="1:36" x14ac:dyDescent="0.3">
      <c r="A13" t="s">
        <v>56</v>
      </c>
      <c r="B13">
        <v>170001</v>
      </c>
      <c r="C13" t="s">
        <v>699</v>
      </c>
      <c r="E13">
        <v>125339</v>
      </c>
      <c r="F13" s="1" t="s">
        <v>700</v>
      </c>
      <c r="G13">
        <v>155944</v>
      </c>
      <c r="H13" s="1" t="s">
        <v>700</v>
      </c>
      <c r="I13" t="s">
        <v>700</v>
      </c>
      <c r="J13">
        <v>30605</v>
      </c>
      <c r="K13" s="1" t="s">
        <v>700</v>
      </c>
      <c r="L13">
        <v>190784</v>
      </c>
      <c r="M13" s="1" t="s">
        <v>700</v>
      </c>
      <c r="N13" t="s">
        <v>700</v>
      </c>
      <c r="O13">
        <v>34840</v>
      </c>
      <c r="P13" s="1" t="s">
        <v>700</v>
      </c>
      <c r="Q13">
        <v>199931</v>
      </c>
      <c r="R13" s="1" t="s">
        <v>700</v>
      </c>
      <c r="S13" t="s">
        <v>700</v>
      </c>
      <c r="T13">
        <v>9147</v>
      </c>
      <c r="U13" s="1" t="s">
        <v>700</v>
      </c>
      <c r="V13">
        <v>209866</v>
      </c>
      <c r="Y13">
        <v>9935</v>
      </c>
      <c r="AA13">
        <v>210539</v>
      </c>
      <c r="AD13">
        <v>673</v>
      </c>
      <c r="AF13">
        <v>212654</v>
      </c>
      <c r="AI13">
        <v>2115</v>
      </c>
    </row>
    <row r="14" spans="1:36" x14ac:dyDescent="0.3">
      <c r="A14" t="s">
        <v>56</v>
      </c>
      <c r="B14">
        <v>170001</v>
      </c>
      <c r="C14" t="s">
        <v>307</v>
      </c>
      <c r="D14" t="s">
        <v>401</v>
      </c>
      <c r="E14">
        <v>40602</v>
      </c>
      <c r="F14" s="1">
        <v>0.32880000000000004</v>
      </c>
      <c r="G14">
        <v>49728</v>
      </c>
      <c r="H14" s="1">
        <v>0.32390000000000002</v>
      </c>
      <c r="I14">
        <v>-0.49</v>
      </c>
      <c r="J14">
        <v>9126</v>
      </c>
      <c r="K14" s="1">
        <v>0.30409999999999998</v>
      </c>
      <c r="L14">
        <v>60591</v>
      </c>
      <c r="M14" s="1">
        <v>0.32294359373417686</v>
      </c>
      <c r="N14">
        <v>-0.59</v>
      </c>
      <c r="O14">
        <v>10863</v>
      </c>
      <c r="P14" s="1">
        <v>0.3184229810933607</v>
      </c>
      <c r="Q14">
        <v>63680</v>
      </c>
      <c r="R14" s="1">
        <v>0.32322247939253662</v>
      </c>
      <c r="S14">
        <v>-0.56000000000000005</v>
      </c>
      <c r="T14">
        <v>3089</v>
      </c>
      <c r="U14" s="1">
        <v>0.32879191059073976</v>
      </c>
      <c r="V14">
        <v>67671</v>
      </c>
      <c r="W14" s="1">
        <v>0.32722129542322476</v>
      </c>
      <c r="X14">
        <v>-0.16</v>
      </c>
      <c r="Y14">
        <v>3991</v>
      </c>
      <c r="Z14" s="1">
        <v>0.40770252324037187</v>
      </c>
      <c r="AA14">
        <v>67963</v>
      </c>
      <c r="AB14" s="1">
        <v>0.32756252379735978</v>
      </c>
      <c r="AC14">
        <v>-0.12</v>
      </c>
      <c r="AD14">
        <v>292</v>
      </c>
      <c r="AE14" s="1">
        <v>0.43195266272189348</v>
      </c>
      <c r="AF14">
        <v>68713</v>
      </c>
      <c r="AG14" s="1">
        <v>0.32797002529712188</v>
      </c>
      <c r="AH14">
        <v>-0.08</v>
      </c>
      <c r="AI14">
        <v>750</v>
      </c>
      <c r="AJ14" s="1">
        <v>0.36964021685559389</v>
      </c>
    </row>
    <row r="15" spans="1:36" x14ac:dyDescent="0.3">
      <c r="A15" t="s">
        <v>56</v>
      </c>
      <c r="B15">
        <v>170001</v>
      </c>
      <c r="C15" t="s">
        <v>308</v>
      </c>
      <c r="D15" t="s">
        <v>399</v>
      </c>
      <c r="E15">
        <v>14501</v>
      </c>
      <c r="F15" s="1">
        <v>0.1174</v>
      </c>
      <c r="G15">
        <v>19795</v>
      </c>
      <c r="H15" s="1">
        <v>0.129</v>
      </c>
      <c r="I15">
        <v>1.1599999999999999</v>
      </c>
      <c r="J15">
        <v>5294</v>
      </c>
      <c r="K15" s="1">
        <v>0.1764</v>
      </c>
      <c r="L15">
        <v>26111</v>
      </c>
      <c r="M15" s="1">
        <v>0.13916885636469264</v>
      </c>
      <c r="N15">
        <v>2.1800000000000002</v>
      </c>
      <c r="O15">
        <v>6316</v>
      </c>
      <c r="P15" s="1">
        <v>0.18513850212516489</v>
      </c>
      <c r="Q15">
        <v>27477</v>
      </c>
      <c r="R15" s="1">
        <v>0.13946583018638081</v>
      </c>
      <c r="S15">
        <v>2.21</v>
      </c>
      <c r="T15">
        <v>1366</v>
      </c>
      <c r="U15" s="1">
        <v>0.14539648749334752</v>
      </c>
      <c r="V15">
        <v>28710</v>
      </c>
      <c r="W15" s="1">
        <v>0.13882643069558279</v>
      </c>
      <c r="X15">
        <v>2.14</v>
      </c>
      <c r="Y15">
        <v>1233</v>
      </c>
      <c r="Z15" s="1">
        <v>0.12595770763101441</v>
      </c>
      <c r="AA15">
        <v>28796</v>
      </c>
      <c r="AB15" s="1">
        <v>0.13878861196928877</v>
      </c>
      <c r="AC15">
        <v>2.14</v>
      </c>
      <c r="AD15">
        <v>86</v>
      </c>
      <c r="AE15" s="1">
        <v>0.12721893491124261</v>
      </c>
      <c r="AF15">
        <v>29133</v>
      </c>
      <c r="AG15" s="1">
        <v>0.1390530284950599</v>
      </c>
      <c r="AH15">
        <v>2.17</v>
      </c>
      <c r="AI15">
        <v>337</v>
      </c>
      <c r="AJ15" s="1">
        <v>0.16609167077378018</v>
      </c>
    </row>
    <row r="16" spans="1:36" x14ac:dyDescent="0.3">
      <c r="A16" t="s">
        <v>56</v>
      </c>
      <c r="B16">
        <v>170001</v>
      </c>
      <c r="C16" t="s">
        <v>309</v>
      </c>
      <c r="D16" t="s">
        <v>399</v>
      </c>
      <c r="E16">
        <v>12897</v>
      </c>
      <c r="F16" s="1">
        <v>0.10439999999999999</v>
      </c>
      <c r="G16">
        <v>16323</v>
      </c>
      <c r="H16" s="1">
        <v>0.10630000000000001</v>
      </c>
      <c r="I16">
        <v>0.19</v>
      </c>
      <c r="J16">
        <v>3426</v>
      </c>
      <c r="K16" s="1">
        <v>0.11410000000000001</v>
      </c>
      <c r="L16">
        <v>20321</v>
      </c>
      <c r="M16" s="1">
        <v>0.10830877140618587</v>
      </c>
      <c r="N16">
        <v>0.39</v>
      </c>
      <c r="O16">
        <v>3998</v>
      </c>
      <c r="P16" s="1">
        <v>0.11719185109189506</v>
      </c>
      <c r="Q16">
        <v>21421</v>
      </c>
      <c r="R16" s="1">
        <v>0.10872720997279409</v>
      </c>
      <c r="S16">
        <v>0.43</v>
      </c>
      <c r="T16">
        <v>1100</v>
      </c>
      <c r="U16" s="1">
        <v>0.11708355508249069</v>
      </c>
      <c r="V16">
        <v>22458</v>
      </c>
      <c r="W16" s="1">
        <v>0.10859505331109015</v>
      </c>
      <c r="X16">
        <v>0.42</v>
      </c>
      <c r="Y16">
        <v>1037</v>
      </c>
      <c r="Z16" s="1">
        <v>0.10593523342527326</v>
      </c>
      <c r="AA16">
        <v>22527</v>
      </c>
      <c r="AB16" s="1">
        <v>0.10857379711877232</v>
      </c>
      <c r="AC16">
        <v>0.42</v>
      </c>
      <c r="AD16">
        <v>69</v>
      </c>
      <c r="AE16" s="1">
        <v>0.10207100591715976</v>
      </c>
      <c r="AF16">
        <v>22775</v>
      </c>
      <c r="AG16" s="1">
        <v>0.10870602835186864</v>
      </c>
      <c r="AH16">
        <v>0.43</v>
      </c>
      <c r="AI16">
        <v>248</v>
      </c>
      <c r="AJ16" s="1">
        <v>0.12222769837358305</v>
      </c>
    </row>
    <row r="17" spans="1:36" x14ac:dyDescent="0.3">
      <c r="A17" t="s">
        <v>56</v>
      </c>
      <c r="B17">
        <v>170001</v>
      </c>
      <c r="C17" t="s">
        <v>310</v>
      </c>
      <c r="D17" t="s">
        <v>399</v>
      </c>
      <c r="E17">
        <v>55387</v>
      </c>
      <c r="F17" s="1">
        <v>0.44850000000000001</v>
      </c>
      <c r="G17">
        <v>67544</v>
      </c>
      <c r="H17" s="1">
        <v>0.44</v>
      </c>
      <c r="I17">
        <v>-0.85</v>
      </c>
      <c r="J17">
        <v>12157</v>
      </c>
      <c r="K17" s="1">
        <v>0.40500000000000003</v>
      </c>
      <c r="L17">
        <v>80452</v>
      </c>
      <c r="M17" s="1">
        <v>0.4288006140037629</v>
      </c>
      <c r="N17">
        <v>-1.97</v>
      </c>
      <c r="O17">
        <v>12908</v>
      </c>
      <c r="P17" s="1">
        <v>0.37836728711710393</v>
      </c>
      <c r="Q17">
        <v>84273</v>
      </c>
      <c r="R17" s="1">
        <v>0.42774698501644537</v>
      </c>
      <c r="S17">
        <v>-2.08</v>
      </c>
      <c r="T17">
        <v>3821</v>
      </c>
      <c r="U17" s="1">
        <v>0.40670569451836081</v>
      </c>
      <c r="V17">
        <v>87790</v>
      </c>
      <c r="W17" s="1">
        <v>0.42450617731679602</v>
      </c>
      <c r="X17">
        <v>-2.4</v>
      </c>
      <c r="Y17">
        <v>3517</v>
      </c>
      <c r="Z17" s="1">
        <v>0.35928082541628359</v>
      </c>
      <c r="AA17">
        <v>88017</v>
      </c>
      <c r="AB17" s="1">
        <v>0.42421715723367442</v>
      </c>
      <c r="AC17">
        <v>-2.4300000000000002</v>
      </c>
      <c r="AD17">
        <v>227</v>
      </c>
      <c r="AE17" s="1">
        <v>0.33579881656804733</v>
      </c>
      <c r="AF17">
        <v>88708</v>
      </c>
      <c r="AG17" s="1">
        <v>0.42340699727936615</v>
      </c>
      <c r="AH17">
        <v>-2.5099999999999998</v>
      </c>
      <c r="AI17">
        <v>691</v>
      </c>
      <c r="AJ17" s="1">
        <v>0.34056185312962051</v>
      </c>
    </row>
    <row r="18" spans="1:36" x14ac:dyDescent="0.3">
      <c r="A18" t="s">
        <v>56</v>
      </c>
      <c r="B18">
        <v>170001</v>
      </c>
      <c r="C18" t="s">
        <v>402</v>
      </c>
      <c r="E18">
        <v>105</v>
      </c>
      <c r="F18" s="1">
        <v>8.9999999999999998E-4</v>
      </c>
      <c r="G18">
        <v>116</v>
      </c>
      <c r="H18" s="1">
        <v>8.0000000000000004E-4</v>
      </c>
      <c r="I18">
        <v>-0.01</v>
      </c>
      <c r="J18">
        <v>11</v>
      </c>
      <c r="K18" s="1">
        <v>4.0000000000000002E-4</v>
      </c>
      <c r="L18">
        <v>146</v>
      </c>
      <c r="M18" s="1">
        <v>7.7816449118169072E-4</v>
      </c>
      <c r="N18">
        <v>-0.01</v>
      </c>
      <c r="O18">
        <v>30</v>
      </c>
      <c r="P18" s="1">
        <v>8.7937857247545072E-4</v>
      </c>
      <c r="Q18">
        <v>165</v>
      </c>
      <c r="R18" s="1">
        <v>8.3749543184309899E-4</v>
      </c>
      <c r="S18">
        <v>-0.01</v>
      </c>
      <c r="T18">
        <v>19</v>
      </c>
      <c r="U18" s="1">
        <v>2.0223523150612027E-3</v>
      </c>
      <c r="V18">
        <v>176</v>
      </c>
      <c r="W18" s="1">
        <v>8.5104325330625466E-4</v>
      </c>
      <c r="X18">
        <v>0</v>
      </c>
      <c r="Y18">
        <v>11</v>
      </c>
      <c r="Z18" s="1">
        <v>1.1237102870569006E-3</v>
      </c>
      <c r="AA18">
        <v>178</v>
      </c>
      <c r="AB18" s="1">
        <v>8.5790988090475757E-4</v>
      </c>
      <c r="AC18">
        <v>0</v>
      </c>
      <c r="AD18">
        <v>2</v>
      </c>
      <c r="AE18" s="1">
        <v>2.9585798816568047E-3</v>
      </c>
      <c r="AF18">
        <v>181</v>
      </c>
      <c r="AG18" s="1">
        <v>8.6392057658345666E-4</v>
      </c>
      <c r="AH18">
        <v>0</v>
      </c>
      <c r="AI18">
        <v>3</v>
      </c>
      <c r="AJ18" s="1">
        <v>1.4785608674223755E-3</v>
      </c>
    </row>
    <row r="19" spans="1:36" x14ac:dyDescent="0.3">
      <c r="A19" t="s">
        <v>56</v>
      </c>
      <c r="B19">
        <v>170001</v>
      </c>
      <c r="C19" t="s">
        <v>701</v>
      </c>
      <c r="E19">
        <v>244</v>
      </c>
      <c r="F19" s="1" t="s">
        <v>700</v>
      </c>
      <c r="G19">
        <v>410</v>
      </c>
      <c r="H19" s="1" t="s">
        <v>700</v>
      </c>
      <c r="I19" t="s">
        <v>700</v>
      </c>
      <c r="J19">
        <v>166</v>
      </c>
      <c r="K19" s="1" t="s">
        <v>700</v>
      </c>
      <c r="L19">
        <v>563</v>
      </c>
      <c r="M19" s="1" t="s">
        <v>700</v>
      </c>
      <c r="N19" t="s">
        <v>700</v>
      </c>
      <c r="O19">
        <v>153</v>
      </c>
      <c r="P19" s="1" t="s">
        <v>700</v>
      </c>
      <c r="Q19">
        <v>117</v>
      </c>
      <c r="R19" s="1" t="s">
        <v>700</v>
      </c>
      <c r="S19" t="s">
        <v>700</v>
      </c>
      <c r="T19">
        <v>-446</v>
      </c>
      <c r="U19" s="1" t="s">
        <v>700</v>
      </c>
      <c r="V19">
        <v>124</v>
      </c>
      <c r="Y19">
        <v>7</v>
      </c>
      <c r="AA19">
        <v>109</v>
      </c>
      <c r="AD19">
        <v>-15</v>
      </c>
      <c r="AF19">
        <v>113</v>
      </c>
      <c r="AI19">
        <v>4</v>
      </c>
    </row>
    <row r="20" spans="1:36" x14ac:dyDescent="0.3">
      <c r="A20" t="s">
        <v>56</v>
      </c>
      <c r="B20">
        <v>170001</v>
      </c>
      <c r="C20" t="s">
        <v>702</v>
      </c>
      <c r="E20">
        <v>1603</v>
      </c>
      <c r="F20" s="1" t="s">
        <v>700</v>
      </c>
      <c r="G20">
        <v>2026</v>
      </c>
      <c r="H20" s="1" t="s">
        <v>700</v>
      </c>
      <c r="I20" t="s">
        <v>700</v>
      </c>
      <c r="J20">
        <v>423</v>
      </c>
      <c r="K20" s="1" t="s">
        <v>700</v>
      </c>
      <c r="L20">
        <v>2594</v>
      </c>
      <c r="M20" s="1" t="s">
        <v>700</v>
      </c>
      <c r="N20" t="s">
        <v>700</v>
      </c>
      <c r="O20">
        <v>568</v>
      </c>
      <c r="P20" s="1" t="s">
        <v>700</v>
      </c>
      <c r="Q20">
        <v>2798</v>
      </c>
      <c r="R20" s="1" t="s">
        <v>700</v>
      </c>
      <c r="S20" t="s">
        <v>700</v>
      </c>
      <c r="T20">
        <v>204</v>
      </c>
      <c r="U20" s="1" t="s">
        <v>700</v>
      </c>
      <c r="V20">
        <v>2937</v>
      </c>
      <c r="Y20">
        <v>139</v>
      </c>
      <c r="AA20">
        <v>2949</v>
      </c>
      <c r="AD20">
        <v>12</v>
      </c>
      <c r="AF20">
        <v>3031</v>
      </c>
      <c r="AI20">
        <v>82</v>
      </c>
    </row>
    <row r="21" spans="1:36" x14ac:dyDescent="0.3">
      <c r="A21" t="s">
        <v>51</v>
      </c>
      <c r="B21">
        <v>179832</v>
      </c>
      <c r="C21" t="s">
        <v>699</v>
      </c>
      <c r="E21">
        <v>140669</v>
      </c>
      <c r="F21" s="1" t="s">
        <v>700</v>
      </c>
      <c r="G21">
        <v>175609</v>
      </c>
      <c r="H21" s="1" t="s">
        <v>700</v>
      </c>
      <c r="I21" t="s">
        <v>700</v>
      </c>
      <c r="J21">
        <v>34940</v>
      </c>
      <c r="K21" s="1" t="s">
        <v>700</v>
      </c>
      <c r="L21">
        <v>206503</v>
      </c>
      <c r="M21" s="1" t="s">
        <v>700</v>
      </c>
      <c r="N21" t="s">
        <v>700</v>
      </c>
      <c r="O21">
        <v>30894</v>
      </c>
      <c r="P21" s="1" t="s">
        <v>700</v>
      </c>
      <c r="Q21">
        <v>210175</v>
      </c>
      <c r="R21" s="1" t="s">
        <v>700</v>
      </c>
      <c r="S21" t="s">
        <v>700</v>
      </c>
      <c r="T21">
        <v>3672</v>
      </c>
      <c r="U21" s="1" t="s">
        <v>700</v>
      </c>
      <c r="V21">
        <v>214816</v>
      </c>
      <c r="Y21">
        <v>4641</v>
      </c>
      <c r="AA21">
        <v>215333</v>
      </c>
      <c r="AD21">
        <v>517</v>
      </c>
      <c r="AF21">
        <v>216864</v>
      </c>
      <c r="AI21">
        <v>1531</v>
      </c>
    </row>
    <row r="22" spans="1:36" x14ac:dyDescent="0.3">
      <c r="A22" t="s">
        <v>51</v>
      </c>
      <c r="B22">
        <v>179832</v>
      </c>
      <c r="C22" t="s">
        <v>312</v>
      </c>
      <c r="D22" t="s">
        <v>399</v>
      </c>
      <c r="E22">
        <v>54132</v>
      </c>
      <c r="F22" s="1">
        <v>0.38900000000000001</v>
      </c>
      <c r="G22">
        <v>65224</v>
      </c>
      <c r="H22" s="1">
        <v>0.37530000000000002</v>
      </c>
      <c r="I22">
        <v>-1.37</v>
      </c>
      <c r="J22">
        <v>11092</v>
      </c>
      <c r="K22" s="1">
        <v>0.32030000000000003</v>
      </c>
      <c r="L22">
        <v>75032</v>
      </c>
      <c r="M22" s="1">
        <v>0.36707696522572941</v>
      </c>
      <c r="N22">
        <v>-2.19</v>
      </c>
      <c r="O22">
        <v>9808</v>
      </c>
      <c r="P22" s="1">
        <v>0.32055430270941593</v>
      </c>
      <c r="Q22">
        <v>75962</v>
      </c>
      <c r="R22" s="1">
        <v>0.36519841155373506</v>
      </c>
      <c r="S22">
        <v>-2.38</v>
      </c>
      <c r="T22">
        <v>930</v>
      </c>
      <c r="U22" s="1">
        <v>0.25847693162868263</v>
      </c>
      <c r="V22">
        <v>77454</v>
      </c>
      <c r="W22" s="1">
        <v>0.36448255091668863</v>
      </c>
      <c r="X22">
        <v>-2.4500000000000002</v>
      </c>
      <c r="Y22">
        <v>1492</v>
      </c>
      <c r="Z22" s="1">
        <v>0.33140826299422477</v>
      </c>
      <c r="AA22">
        <v>77605</v>
      </c>
      <c r="AB22" s="1">
        <v>0.36434443354194151</v>
      </c>
      <c r="AC22">
        <v>-2.4700000000000002</v>
      </c>
      <c r="AD22">
        <v>151</v>
      </c>
      <c r="AE22" s="1">
        <v>0.30505050505050507</v>
      </c>
      <c r="AF22">
        <v>78025</v>
      </c>
      <c r="AG22" s="1">
        <v>0.36376817675333695</v>
      </c>
      <c r="AH22">
        <v>-2.52</v>
      </c>
      <c r="AI22">
        <v>420</v>
      </c>
      <c r="AJ22" s="1">
        <v>0.28150134048257375</v>
      </c>
    </row>
    <row r="23" spans="1:36" x14ac:dyDescent="0.3">
      <c r="A23" t="s">
        <v>51</v>
      </c>
      <c r="B23">
        <v>179832</v>
      </c>
      <c r="C23" t="s">
        <v>313</v>
      </c>
      <c r="D23" t="s">
        <v>399</v>
      </c>
      <c r="E23">
        <v>21290</v>
      </c>
      <c r="F23" s="1">
        <v>0.153</v>
      </c>
      <c r="G23">
        <v>28062</v>
      </c>
      <c r="H23" s="1">
        <v>0.16149999999999998</v>
      </c>
      <c r="I23">
        <v>0.85</v>
      </c>
      <c r="J23">
        <v>6772</v>
      </c>
      <c r="K23" s="1">
        <v>0.19550000000000001</v>
      </c>
      <c r="L23">
        <v>34479</v>
      </c>
      <c r="M23" s="1">
        <v>0.16868065204203439</v>
      </c>
      <c r="N23">
        <v>1.57</v>
      </c>
      <c r="O23">
        <v>6417</v>
      </c>
      <c r="P23" s="1">
        <v>0.20972644376899696</v>
      </c>
      <c r="Q23">
        <v>34927</v>
      </c>
      <c r="R23" s="1">
        <v>0.16791665464755146</v>
      </c>
      <c r="S23">
        <v>1.49</v>
      </c>
      <c r="T23">
        <v>448</v>
      </c>
      <c r="U23" s="1">
        <v>0.1245136186770428</v>
      </c>
      <c r="V23">
        <v>35540</v>
      </c>
      <c r="W23" s="1">
        <v>0.16724391070285735</v>
      </c>
      <c r="X23">
        <v>1.42</v>
      </c>
      <c r="Y23">
        <v>613</v>
      </c>
      <c r="Z23" s="1">
        <v>0.13616170590848511</v>
      </c>
      <c r="AA23">
        <v>35638</v>
      </c>
      <c r="AB23" s="1">
        <v>0.1673153395086362</v>
      </c>
      <c r="AC23">
        <v>1.43</v>
      </c>
      <c r="AD23">
        <v>98</v>
      </c>
      <c r="AE23" s="1">
        <v>0.19797979797979798</v>
      </c>
      <c r="AF23">
        <v>35820</v>
      </c>
      <c r="AG23" s="1">
        <v>0.16700001398660083</v>
      </c>
      <c r="AH23">
        <v>1.4</v>
      </c>
      <c r="AI23">
        <v>182</v>
      </c>
      <c r="AJ23" s="1">
        <v>0.12198391420911528</v>
      </c>
    </row>
    <row r="24" spans="1:36" x14ac:dyDescent="0.3">
      <c r="A24" t="s">
        <v>51</v>
      </c>
      <c r="B24">
        <v>179832</v>
      </c>
      <c r="C24" t="s">
        <v>314</v>
      </c>
      <c r="D24" t="s">
        <v>401</v>
      </c>
      <c r="E24">
        <v>2666</v>
      </c>
      <c r="F24" s="1">
        <v>1.9199999999999998E-2</v>
      </c>
      <c r="G24">
        <v>3184</v>
      </c>
      <c r="H24" s="1">
        <v>1.83E-2</v>
      </c>
      <c r="I24">
        <v>-0.09</v>
      </c>
      <c r="J24">
        <v>518</v>
      </c>
      <c r="K24" s="1">
        <v>1.4999999999999999E-2</v>
      </c>
      <c r="L24">
        <v>3733</v>
      </c>
      <c r="M24" s="1">
        <v>1.8262851998982407E-2</v>
      </c>
      <c r="N24">
        <v>-0.09</v>
      </c>
      <c r="O24">
        <v>549</v>
      </c>
      <c r="P24" s="1">
        <v>1.7942935581919797E-2</v>
      </c>
      <c r="Q24">
        <v>3853</v>
      </c>
      <c r="R24" s="1">
        <v>1.852386034749666E-2</v>
      </c>
      <c r="S24">
        <v>-7.0000000000000007E-2</v>
      </c>
      <c r="T24">
        <v>120</v>
      </c>
      <c r="U24" s="1">
        <v>3.3351862145636464E-2</v>
      </c>
      <c r="V24">
        <v>4020</v>
      </c>
      <c r="W24" s="1">
        <v>1.8917290968640591E-2</v>
      </c>
      <c r="X24">
        <v>-0.03</v>
      </c>
      <c r="Y24">
        <v>167</v>
      </c>
      <c r="Z24" s="1">
        <v>3.709462461128387E-2</v>
      </c>
      <c r="AA24">
        <v>4049</v>
      </c>
      <c r="AB24" s="1">
        <v>1.9009478917741397E-2</v>
      </c>
      <c r="AC24">
        <v>-0.02</v>
      </c>
      <c r="AD24">
        <v>29</v>
      </c>
      <c r="AE24" s="1">
        <v>5.8585858585858588E-2</v>
      </c>
      <c r="AF24">
        <v>4102</v>
      </c>
      <c r="AG24" s="1">
        <v>1.9124345543635863E-2</v>
      </c>
      <c r="AH24">
        <v>-0.01</v>
      </c>
      <c r="AI24">
        <v>53</v>
      </c>
      <c r="AJ24" s="1">
        <v>3.5522788203753354E-2</v>
      </c>
    </row>
    <row r="25" spans="1:36" x14ac:dyDescent="0.3">
      <c r="A25" t="s">
        <v>51</v>
      </c>
      <c r="B25">
        <v>179832</v>
      </c>
      <c r="C25" t="s">
        <v>315</v>
      </c>
      <c r="D25" t="s">
        <v>400</v>
      </c>
      <c r="E25">
        <v>2121</v>
      </c>
      <c r="F25" s="1">
        <v>1.52E-2</v>
      </c>
      <c r="G25">
        <v>2686</v>
      </c>
      <c r="H25" s="1">
        <v>1.55E-2</v>
      </c>
      <c r="I25">
        <v>0.03</v>
      </c>
      <c r="J25">
        <v>565</v>
      </c>
      <c r="K25" s="1">
        <v>1.6299999999999999E-2</v>
      </c>
      <c r="L25">
        <v>3269</v>
      </c>
      <c r="M25" s="1">
        <v>1.5992837713547679E-2</v>
      </c>
      <c r="N25">
        <v>0.08</v>
      </c>
      <c r="O25">
        <v>583</v>
      </c>
      <c r="P25" s="1">
        <v>1.9054155636173482E-2</v>
      </c>
      <c r="Q25">
        <v>3397</v>
      </c>
      <c r="R25" s="1">
        <v>1.6331573734867932E-2</v>
      </c>
      <c r="S25">
        <v>0.11</v>
      </c>
      <c r="T25">
        <v>128</v>
      </c>
      <c r="U25" s="1">
        <v>3.5575319622012228E-2</v>
      </c>
      <c r="V25">
        <v>3496</v>
      </c>
      <c r="W25" s="1">
        <v>1.6451455031434702E-2</v>
      </c>
      <c r="X25">
        <v>0.13</v>
      </c>
      <c r="Y25">
        <v>99</v>
      </c>
      <c r="Z25" s="1">
        <v>2.1990226565970678E-2</v>
      </c>
      <c r="AA25">
        <v>3506</v>
      </c>
      <c r="AB25" s="1">
        <v>1.6460171174512556E-2</v>
      </c>
      <c r="AC25">
        <v>0.13</v>
      </c>
      <c r="AD25">
        <v>10</v>
      </c>
      <c r="AE25" s="1">
        <v>2.0202020202020204E-2</v>
      </c>
      <c r="AF25">
        <v>3549</v>
      </c>
      <c r="AG25" s="1">
        <v>1.6546148789459699E-2</v>
      </c>
      <c r="AH25">
        <v>0.13</v>
      </c>
      <c r="AI25">
        <v>43</v>
      </c>
      <c r="AJ25" s="1">
        <v>2.8820375335120642E-2</v>
      </c>
    </row>
    <row r="26" spans="1:36" x14ac:dyDescent="0.3">
      <c r="A26" t="s">
        <v>51</v>
      </c>
      <c r="B26">
        <v>179832</v>
      </c>
      <c r="C26" t="s">
        <v>316</v>
      </c>
      <c r="D26" t="s">
        <v>399</v>
      </c>
      <c r="E26">
        <v>1297</v>
      </c>
      <c r="F26" s="1">
        <v>9.300000000000001E-3</v>
      </c>
      <c r="G26">
        <v>1613</v>
      </c>
      <c r="H26" s="1">
        <v>9.300000000000001E-3</v>
      </c>
      <c r="I26">
        <v>0</v>
      </c>
      <c r="J26">
        <v>316</v>
      </c>
      <c r="K26" s="1">
        <v>9.1000000000000004E-3</v>
      </c>
      <c r="L26">
        <v>1948</v>
      </c>
      <c r="M26" s="1">
        <v>9.5301461810923457E-3</v>
      </c>
      <c r="N26">
        <v>0.02</v>
      </c>
      <c r="O26">
        <v>335</v>
      </c>
      <c r="P26" s="1">
        <v>1.0948785828676014E-2</v>
      </c>
      <c r="Q26">
        <v>1980</v>
      </c>
      <c r="R26" s="1">
        <v>9.5191392390457791E-3</v>
      </c>
      <c r="S26">
        <v>0.02</v>
      </c>
      <c r="T26">
        <v>32</v>
      </c>
      <c r="U26" s="1">
        <v>8.8938299055030569E-3</v>
      </c>
      <c r="V26">
        <v>2035</v>
      </c>
      <c r="W26" s="1">
        <v>9.5762903286526375E-3</v>
      </c>
      <c r="X26">
        <v>0.03</v>
      </c>
      <c r="Y26">
        <v>55</v>
      </c>
      <c r="Z26" s="1">
        <v>1.2216792536650378E-2</v>
      </c>
      <c r="AA26">
        <v>2041</v>
      </c>
      <c r="AB26" s="1">
        <v>9.5822046112892557E-3</v>
      </c>
      <c r="AC26">
        <v>0.03</v>
      </c>
      <c r="AD26">
        <v>6</v>
      </c>
      <c r="AE26" s="1">
        <v>1.2121212121212121E-2</v>
      </c>
      <c r="AF26">
        <v>2058</v>
      </c>
      <c r="AG26" s="1">
        <v>9.5948081737695281E-3</v>
      </c>
      <c r="AH26">
        <v>0.03</v>
      </c>
      <c r="AI26">
        <v>17</v>
      </c>
      <c r="AJ26" s="1">
        <v>1.1394101876675604E-2</v>
      </c>
    </row>
    <row r="27" spans="1:36" x14ac:dyDescent="0.3">
      <c r="A27" t="s">
        <v>51</v>
      </c>
      <c r="B27">
        <v>179832</v>
      </c>
      <c r="C27" t="s">
        <v>317</v>
      </c>
      <c r="D27" t="s">
        <v>401</v>
      </c>
      <c r="E27">
        <v>53869</v>
      </c>
      <c r="F27" s="1">
        <v>0.3871</v>
      </c>
      <c r="G27">
        <v>68432</v>
      </c>
      <c r="H27" s="1">
        <v>0.39369999999999999</v>
      </c>
      <c r="I27">
        <v>0.66</v>
      </c>
      <c r="J27">
        <v>14563</v>
      </c>
      <c r="K27" s="1">
        <v>0.42049999999999998</v>
      </c>
      <c r="L27">
        <v>80572</v>
      </c>
      <c r="M27" s="1">
        <v>0.39418015303027337</v>
      </c>
      <c r="N27">
        <v>0.71</v>
      </c>
      <c r="O27">
        <v>12140</v>
      </c>
      <c r="P27" s="1">
        <v>0.3967709252541099</v>
      </c>
      <c r="Q27">
        <v>82351</v>
      </c>
      <c r="R27" s="1">
        <v>0.39591446236093886</v>
      </c>
      <c r="S27">
        <v>0.88</v>
      </c>
      <c r="T27">
        <v>1779</v>
      </c>
      <c r="U27" s="1">
        <v>0.49444135630906061</v>
      </c>
      <c r="V27">
        <v>84181</v>
      </c>
      <c r="W27" s="1">
        <v>0.39613842562963519</v>
      </c>
      <c r="X27">
        <v>0.9</v>
      </c>
      <c r="Y27">
        <v>1830</v>
      </c>
      <c r="Z27" s="1">
        <v>0.40648600621945802</v>
      </c>
      <c r="AA27">
        <v>84360</v>
      </c>
      <c r="AB27" s="1">
        <v>0.39605819745632609</v>
      </c>
      <c r="AC27">
        <v>0.9</v>
      </c>
      <c r="AD27">
        <v>179</v>
      </c>
      <c r="AE27" s="1">
        <v>0.36161616161616161</v>
      </c>
      <c r="AF27">
        <v>85064</v>
      </c>
      <c r="AG27" s="1">
        <v>0.3965854045158072</v>
      </c>
      <c r="AH27">
        <v>0.95</v>
      </c>
      <c r="AI27">
        <v>704</v>
      </c>
      <c r="AJ27" s="1">
        <v>0.47184986595174261</v>
      </c>
    </row>
    <row r="28" spans="1:36" x14ac:dyDescent="0.3">
      <c r="A28" t="s">
        <v>51</v>
      </c>
      <c r="B28">
        <v>179832</v>
      </c>
      <c r="C28" t="s">
        <v>318</v>
      </c>
      <c r="D28" t="s">
        <v>403</v>
      </c>
      <c r="E28">
        <v>763</v>
      </c>
      <c r="F28" s="1">
        <v>5.5000000000000005E-3</v>
      </c>
      <c r="G28">
        <v>987</v>
      </c>
      <c r="H28" s="1">
        <v>5.6999999999999993E-3</v>
      </c>
      <c r="I28">
        <v>0.02</v>
      </c>
      <c r="J28">
        <v>224</v>
      </c>
      <c r="K28" s="1">
        <v>6.5000000000000006E-3</v>
      </c>
      <c r="L28">
        <v>1206</v>
      </c>
      <c r="M28" s="1">
        <v>5.9000802332635372E-3</v>
      </c>
      <c r="N28">
        <v>0.04</v>
      </c>
      <c r="O28">
        <v>219</v>
      </c>
      <c r="P28" s="1">
        <v>7.1575644671046179E-3</v>
      </c>
      <c r="Q28">
        <v>1257</v>
      </c>
      <c r="R28" s="1">
        <v>6.0432111229699716E-3</v>
      </c>
      <c r="S28">
        <v>0.05</v>
      </c>
      <c r="T28">
        <v>51</v>
      </c>
      <c r="U28" s="1">
        <v>1.4174541411895497E-2</v>
      </c>
      <c r="V28">
        <v>1317</v>
      </c>
      <c r="W28" s="1">
        <v>6.1975303994277753E-3</v>
      </c>
      <c r="X28">
        <v>7.0000000000000007E-2</v>
      </c>
      <c r="Y28">
        <v>60</v>
      </c>
      <c r="Z28" s="1">
        <v>1.3327410039982231E-2</v>
      </c>
      <c r="AA28">
        <v>1324</v>
      </c>
      <c r="AB28" s="1">
        <v>6.2159916243738232E-3</v>
      </c>
      <c r="AC28">
        <v>7.0000000000000007E-2</v>
      </c>
      <c r="AD28">
        <v>7</v>
      </c>
      <c r="AE28" s="1">
        <v>1.4141414141414142E-2</v>
      </c>
      <c r="AF28">
        <v>1345</v>
      </c>
      <c r="AG28" s="1">
        <v>6.2706593749854303E-3</v>
      </c>
      <c r="AH28">
        <v>0.08</v>
      </c>
      <c r="AI28">
        <v>21</v>
      </c>
      <c r="AJ28" s="1">
        <v>1.4075067024128687E-2</v>
      </c>
    </row>
    <row r="29" spans="1:36" x14ac:dyDescent="0.3">
      <c r="A29" t="s">
        <v>51</v>
      </c>
      <c r="B29">
        <v>179832</v>
      </c>
      <c r="C29" t="s">
        <v>319</v>
      </c>
      <c r="D29" t="s">
        <v>399</v>
      </c>
      <c r="E29">
        <v>1084</v>
      </c>
      <c r="F29" s="1">
        <v>7.8000000000000005E-3</v>
      </c>
      <c r="G29">
        <v>1342</v>
      </c>
      <c r="H29" s="1">
        <v>7.7000000000000002E-3</v>
      </c>
      <c r="I29">
        <v>-0.01</v>
      </c>
      <c r="J29">
        <v>258</v>
      </c>
      <c r="K29" s="1">
        <v>7.4000000000000003E-3</v>
      </c>
      <c r="L29">
        <v>1553</v>
      </c>
      <c r="M29" s="1">
        <v>7.5976986751726972E-3</v>
      </c>
      <c r="N29">
        <v>-0.02</v>
      </c>
      <c r="O29">
        <v>211</v>
      </c>
      <c r="P29" s="1">
        <v>6.8961009249272802E-3</v>
      </c>
      <c r="Q29">
        <v>1585</v>
      </c>
      <c r="R29" s="1">
        <v>7.6201190373169489E-3</v>
      </c>
      <c r="S29">
        <v>-0.02</v>
      </c>
      <c r="T29">
        <v>32</v>
      </c>
      <c r="U29" s="1">
        <v>8.8938299055030569E-3</v>
      </c>
      <c r="V29">
        <v>1635</v>
      </c>
      <c r="W29" s="1">
        <v>7.6939728193351651E-3</v>
      </c>
      <c r="X29">
        <v>-0.01</v>
      </c>
      <c r="Y29">
        <v>50</v>
      </c>
      <c r="Z29" s="1">
        <v>1.1106175033318524E-2</v>
      </c>
      <c r="AA29">
        <v>1638</v>
      </c>
      <c r="AB29" s="1">
        <v>7.6901769491875549E-3</v>
      </c>
      <c r="AC29">
        <v>-0.01</v>
      </c>
      <c r="AD29">
        <v>3</v>
      </c>
      <c r="AE29" s="1">
        <v>6.0606060606060606E-3</v>
      </c>
      <c r="AF29">
        <v>1656</v>
      </c>
      <c r="AG29" s="1">
        <v>7.720603661692099E-3</v>
      </c>
      <c r="AH29">
        <v>-0.01</v>
      </c>
      <c r="AI29">
        <v>18</v>
      </c>
      <c r="AJ29" s="1">
        <v>1.2064343163538873E-2</v>
      </c>
    </row>
    <row r="30" spans="1:36" x14ac:dyDescent="0.3">
      <c r="A30" t="s">
        <v>51</v>
      </c>
      <c r="B30">
        <v>179832</v>
      </c>
      <c r="C30" t="s">
        <v>320</v>
      </c>
      <c r="D30" t="s">
        <v>401</v>
      </c>
      <c r="E30">
        <v>1857</v>
      </c>
      <c r="F30" s="1">
        <v>1.3300000000000001E-2</v>
      </c>
      <c r="G30">
        <v>2165</v>
      </c>
      <c r="H30" s="1">
        <v>1.2500000000000001E-2</v>
      </c>
      <c r="I30">
        <v>-0.08</v>
      </c>
      <c r="J30">
        <v>308</v>
      </c>
      <c r="K30" s="1">
        <v>8.8999999999999999E-3</v>
      </c>
      <c r="L30">
        <v>2481</v>
      </c>
      <c r="M30" s="1">
        <v>1.2137727246042151E-2</v>
      </c>
      <c r="N30">
        <v>-0.12</v>
      </c>
      <c r="O30">
        <v>316</v>
      </c>
      <c r="P30" s="1">
        <v>1.0327809916004837E-2</v>
      </c>
      <c r="Q30">
        <v>2550</v>
      </c>
      <c r="R30" s="1">
        <v>1.2259497504831685E-2</v>
      </c>
      <c r="S30">
        <v>-0.1</v>
      </c>
      <c r="T30">
        <v>69</v>
      </c>
      <c r="U30" s="1">
        <v>1.9177320733740968E-2</v>
      </c>
      <c r="V30">
        <v>2672</v>
      </c>
      <c r="W30" s="1">
        <v>1.2573880962240712E-2</v>
      </c>
      <c r="X30">
        <v>-7.0000000000000007E-2</v>
      </c>
      <c r="Y30">
        <v>122</v>
      </c>
      <c r="Z30" s="1">
        <v>2.7099067081297203E-2</v>
      </c>
      <c r="AA30">
        <v>2688</v>
      </c>
      <c r="AB30" s="1">
        <v>1.2619777557641116E-2</v>
      </c>
      <c r="AC30">
        <v>-7.0000000000000007E-2</v>
      </c>
      <c r="AD30">
        <v>16</v>
      </c>
      <c r="AE30" s="1">
        <v>3.2323232323232323E-2</v>
      </c>
      <c r="AF30">
        <v>2727</v>
      </c>
      <c r="AG30" s="1">
        <v>1.2713820160286446E-2</v>
      </c>
      <c r="AH30">
        <v>-0.06</v>
      </c>
      <c r="AI30">
        <v>39</v>
      </c>
      <c r="AJ30" s="1">
        <v>2.613941018766756E-2</v>
      </c>
    </row>
    <row r="31" spans="1:36" x14ac:dyDescent="0.3">
      <c r="A31" t="s">
        <v>51</v>
      </c>
      <c r="B31">
        <v>179832</v>
      </c>
      <c r="C31" t="s">
        <v>404</v>
      </c>
      <c r="E31">
        <v>94</v>
      </c>
      <c r="F31" s="1">
        <v>7.000000000000001E-4</v>
      </c>
      <c r="G31">
        <v>112</v>
      </c>
      <c r="H31" s="1">
        <v>5.9999999999999995E-4</v>
      </c>
      <c r="I31">
        <v>-0.01</v>
      </c>
      <c r="J31">
        <v>18</v>
      </c>
      <c r="K31" s="1">
        <v>5.0000000000000001E-4</v>
      </c>
      <c r="L31">
        <v>131</v>
      </c>
      <c r="M31" s="1">
        <v>6.4088765386195962E-4</v>
      </c>
      <c r="N31">
        <v>-0.01</v>
      </c>
      <c r="O31">
        <v>19</v>
      </c>
      <c r="P31" s="1">
        <v>6.2097591267117687E-4</v>
      </c>
      <c r="Q31">
        <v>140</v>
      </c>
      <c r="R31" s="1">
        <v>6.7307045124566107E-4</v>
      </c>
      <c r="S31">
        <v>0</v>
      </c>
      <c r="T31">
        <v>9</v>
      </c>
      <c r="U31" s="1">
        <v>2.5013896609227346E-3</v>
      </c>
      <c r="V31">
        <v>154</v>
      </c>
      <c r="W31" s="1">
        <v>7.2469224108722655E-4</v>
      </c>
      <c r="X31">
        <v>0</v>
      </c>
      <c r="Y31">
        <v>14</v>
      </c>
      <c r="Z31" s="1">
        <v>3.109729009329187E-3</v>
      </c>
      <c r="AA31">
        <v>150</v>
      </c>
      <c r="AB31" s="1">
        <v>7.0422865835050865E-4</v>
      </c>
      <c r="AC31">
        <v>0</v>
      </c>
      <c r="AD31">
        <v>-4</v>
      </c>
      <c r="AE31" s="1">
        <v>-8.0808080808080808E-3</v>
      </c>
      <c r="AF31">
        <v>145</v>
      </c>
      <c r="AG31" s="1">
        <v>6.7601904042593856E-4</v>
      </c>
      <c r="AH31">
        <v>0</v>
      </c>
      <c r="AI31">
        <v>-5</v>
      </c>
      <c r="AJ31" s="1">
        <v>-3.351206434316354E-3</v>
      </c>
    </row>
    <row r="32" spans="1:36" x14ac:dyDescent="0.3">
      <c r="A32" t="s">
        <v>51</v>
      </c>
      <c r="B32">
        <v>179832</v>
      </c>
      <c r="C32" t="s">
        <v>701</v>
      </c>
      <c r="E32">
        <v>265</v>
      </c>
      <c r="F32" s="1" t="s">
        <v>700</v>
      </c>
      <c r="G32">
        <v>332</v>
      </c>
      <c r="H32" s="1" t="s">
        <v>700</v>
      </c>
      <c r="I32" t="s">
        <v>700</v>
      </c>
      <c r="J32">
        <v>67</v>
      </c>
      <c r="K32" s="1" t="s">
        <v>700</v>
      </c>
      <c r="L32">
        <v>350</v>
      </c>
      <c r="M32" s="1" t="s">
        <v>700</v>
      </c>
      <c r="N32" t="s">
        <v>700</v>
      </c>
      <c r="O32">
        <v>18</v>
      </c>
      <c r="P32" s="1" t="s">
        <v>700</v>
      </c>
      <c r="Q32">
        <v>357</v>
      </c>
      <c r="R32" s="1" t="s">
        <v>700</v>
      </c>
      <c r="S32" t="s">
        <v>700</v>
      </c>
      <c r="T32">
        <v>7</v>
      </c>
      <c r="U32" s="1" t="s">
        <v>700</v>
      </c>
      <c r="V32">
        <v>361</v>
      </c>
      <c r="Y32">
        <v>4</v>
      </c>
      <c r="AA32">
        <v>364</v>
      </c>
      <c r="AD32">
        <v>3</v>
      </c>
      <c r="AF32">
        <v>364</v>
      </c>
      <c r="AI32">
        <v>0</v>
      </c>
    </row>
    <row r="33" spans="1:36" x14ac:dyDescent="0.3">
      <c r="A33" t="s">
        <v>51</v>
      </c>
      <c r="B33">
        <v>179832</v>
      </c>
      <c r="C33" t="s">
        <v>702</v>
      </c>
      <c r="E33">
        <v>1231</v>
      </c>
      <c r="F33" s="1" t="s">
        <v>700</v>
      </c>
      <c r="G33">
        <v>1470</v>
      </c>
      <c r="H33" s="1" t="s">
        <v>700</v>
      </c>
      <c r="I33" t="s">
        <v>700</v>
      </c>
      <c r="J33">
        <v>239</v>
      </c>
      <c r="K33" s="1" t="s">
        <v>700</v>
      </c>
      <c r="L33">
        <v>1749</v>
      </c>
      <c r="M33" s="1" t="s">
        <v>700</v>
      </c>
      <c r="N33" t="s">
        <v>700</v>
      </c>
      <c r="O33">
        <v>279</v>
      </c>
      <c r="P33" s="1" t="s">
        <v>700</v>
      </c>
      <c r="Q33">
        <v>1816</v>
      </c>
      <c r="R33" s="1" t="s">
        <v>700</v>
      </c>
      <c r="S33" t="s">
        <v>700</v>
      </c>
      <c r="T33">
        <v>67</v>
      </c>
      <c r="U33" s="1" t="s">
        <v>700</v>
      </c>
      <c r="V33">
        <v>1951</v>
      </c>
      <c r="Y33">
        <v>135</v>
      </c>
      <c r="AA33">
        <v>1970</v>
      </c>
      <c r="AD33">
        <v>19</v>
      </c>
      <c r="AF33">
        <v>2009</v>
      </c>
      <c r="AI33">
        <v>39</v>
      </c>
    </row>
    <row r="34" spans="1:36" x14ac:dyDescent="0.3">
      <c r="A34" t="s">
        <v>66</v>
      </c>
      <c r="B34">
        <v>179008</v>
      </c>
      <c r="C34" t="s">
        <v>699</v>
      </c>
      <c r="E34">
        <v>75273</v>
      </c>
      <c r="F34" s="1" t="s">
        <v>700</v>
      </c>
      <c r="G34">
        <v>93309</v>
      </c>
      <c r="H34" s="1" t="s">
        <v>700</v>
      </c>
      <c r="I34" t="s">
        <v>700</v>
      </c>
      <c r="J34">
        <v>18036</v>
      </c>
      <c r="K34" s="1" t="s">
        <v>700</v>
      </c>
      <c r="L34">
        <v>106450</v>
      </c>
      <c r="M34" s="1" t="s">
        <v>700</v>
      </c>
      <c r="N34" t="s">
        <v>700</v>
      </c>
      <c r="O34">
        <v>13141</v>
      </c>
      <c r="P34" s="1" t="s">
        <v>700</v>
      </c>
      <c r="Q34">
        <v>135665</v>
      </c>
      <c r="R34" s="1" t="s">
        <v>700</v>
      </c>
      <c r="S34" t="s">
        <v>700</v>
      </c>
      <c r="T34">
        <v>29215</v>
      </c>
      <c r="U34" s="1" t="s">
        <v>700</v>
      </c>
      <c r="V34">
        <v>143270</v>
      </c>
      <c r="Y34">
        <v>7605</v>
      </c>
      <c r="AA34">
        <v>144687</v>
      </c>
      <c r="AD34">
        <v>1417</v>
      </c>
      <c r="AF34">
        <v>145781</v>
      </c>
      <c r="AI34">
        <v>1094</v>
      </c>
    </row>
    <row r="35" spans="1:36" x14ac:dyDescent="0.3">
      <c r="A35" t="s">
        <v>66</v>
      </c>
      <c r="B35">
        <v>179008</v>
      </c>
      <c r="C35" t="s">
        <v>322</v>
      </c>
      <c r="D35" t="s">
        <v>405</v>
      </c>
      <c r="E35">
        <v>1198</v>
      </c>
      <c r="F35" s="1">
        <v>1.6299999999999999E-2</v>
      </c>
      <c r="G35">
        <v>1451</v>
      </c>
      <c r="H35" s="1">
        <v>1.5900000000000001E-2</v>
      </c>
      <c r="I35">
        <v>-0.04</v>
      </c>
      <c r="J35">
        <v>253</v>
      </c>
      <c r="K35" s="1">
        <v>1.44E-2</v>
      </c>
      <c r="L35">
        <v>1606</v>
      </c>
      <c r="M35" s="1">
        <v>1.542865926295969E-2</v>
      </c>
      <c r="N35">
        <v>-0.09</v>
      </c>
      <c r="O35">
        <v>155</v>
      </c>
      <c r="P35" s="1">
        <v>1.199411901261317E-2</v>
      </c>
      <c r="Q35">
        <v>2078</v>
      </c>
      <c r="R35" s="1">
        <v>1.5637934407970983E-2</v>
      </c>
      <c r="S35">
        <v>-7.0000000000000007E-2</v>
      </c>
      <c r="T35">
        <v>472</v>
      </c>
      <c r="U35" s="1">
        <v>1.6394581451893018E-2</v>
      </c>
      <c r="V35">
        <v>2184</v>
      </c>
      <c r="W35" s="1">
        <v>1.5573302909298346E-2</v>
      </c>
      <c r="X35">
        <v>-7.0000000000000007E-2</v>
      </c>
      <c r="Y35">
        <v>106</v>
      </c>
      <c r="Z35" s="1">
        <v>1.4406088611035607E-2</v>
      </c>
      <c r="AA35">
        <v>2204</v>
      </c>
      <c r="AB35" s="1">
        <v>1.5563652797785498E-2</v>
      </c>
      <c r="AC35">
        <v>-7.0000000000000007E-2</v>
      </c>
      <c r="AD35">
        <v>20</v>
      </c>
      <c r="AE35" s="1">
        <v>1.4577259475218658E-2</v>
      </c>
      <c r="AF35">
        <v>2214</v>
      </c>
      <c r="AG35" s="1">
        <v>1.5519308009897589E-2</v>
      </c>
      <c r="AH35">
        <v>-0.08</v>
      </c>
      <c r="AI35">
        <v>10</v>
      </c>
      <c r="AJ35" s="1">
        <v>9.5328884652049577E-3</v>
      </c>
    </row>
    <row r="36" spans="1:36" x14ac:dyDescent="0.3">
      <c r="A36" t="s">
        <v>66</v>
      </c>
      <c r="B36">
        <v>179008</v>
      </c>
      <c r="C36" t="s">
        <v>323</v>
      </c>
      <c r="D36" t="s">
        <v>401</v>
      </c>
      <c r="E36">
        <v>25633</v>
      </c>
      <c r="F36" s="1">
        <v>0.34850000000000003</v>
      </c>
      <c r="G36">
        <v>31557</v>
      </c>
      <c r="H36" s="1">
        <v>0.34610000000000002</v>
      </c>
      <c r="I36">
        <v>-0.24</v>
      </c>
      <c r="J36">
        <v>5924</v>
      </c>
      <c r="K36" s="1">
        <v>0.33630000000000004</v>
      </c>
      <c r="L36">
        <v>36405</v>
      </c>
      <c r="M36" s="1">
        <v>0.34973869269492375</v>
      </c>
      <c r="N36">
        <v>0.12</v>
      </c>
      <c r="O36">
        <v>4848</v>
      </c>
      <c r="P36" s="1">
        <v>0.37514509014934611</v>
      </c>
      <c r="Q36">
        <v>46057</v>
      </c>
      <c r="R36" s="1">
        <v>0.34660074351680437</v>
      </c>
      <c r="S36">
        <v>-0.19</v>
      </c>
      <c r="T36">
        <v>9652</v>
      </c>
      <c r="U36" s="1">
        <v>0.3352552969781174</v>
      </c>
      <c r="V36">
        <v>48817</v>
      </c>
      <c r="W36" s="1">
        <v>0.3480961209355391</v>
      </c>
      <c r="X36">
        <v>-0.04</v>
      </c>
      <c r="Y36">
        <v>2760</v>
      </c>
      <c r="Z36" s="1">
        <v>0.37510192987224789</v>
      </c>
      <c r="AA36">
        <v>49340</v>
      </c>
      <c r="AB36" s="1">
        <v>0.34841680083608734</v>
      </c>
      <c r="AC36">
        <v>-0.01</v>
      </c>
      <c r="AD36">
        <v>523</v>
      </c>
      <c r="AE36" s="1">
        <v>0.38119533527696792</v>
      </c>
      <c r="AF36">
        <v>49652</v>
      </c>
      <c r="AG36" s="1">
        <v>0.34804186147580629</v>
      </c>
      <c r="AH36">
        <v>-0.05</v>
      </c>
      <c r="AI36">
        <v>312</v>
      </c>
      <c r="AJ36" s="1">
        <v>0.29742612011439468</v>
      </c>
    </row>
    <row r="37" spans="1:36" x14ac:dyDescent="0.3">
      <c r="A37" t="s">
        <v>66</v>
      </c>
      <c r="B37">
        <v>179008</v>
      </c>
      <c r="C37" t="s">
        <v>324</v>
      </c>
      <c r="D37" t="s">
        <v>399</v>
      </c>
      <c r="E37">
        <v>22657</v>
      </c>
      <c r="F37" s="1">
        <v>0.308</v>
      </c>
      <c r="G37">
        <v>27963</v>
      </c>
      <c r="H37" s="1">
        <v>0.30670000000000003</v>
      </c>
      <c r="I37">
        <v>-0.13</v>
      </c>
      <c r="J37">
        <v>5306</v>
      </c>
      <c r="K37" s="1">
        <v>0.30120000000000002</v>
      </c>
      <c r="L37">
        <v>31659</v>
      </c>
      <c r="M37" s="1">
        <v>0.30414441071359949</v>
      </c>
      <c r="N37">
        <v>-0.39</v>
      </c>
      <c r="O37">
        <v>3696</v>
      </c>
      <c r="P37" s="1">
        <v>0.28600170239108569</v>
      </c>
      <c r="Q37">
        <v>39911</v>
      </c>
      <c r="R37" s="1">
        <v>0.30034918198100569</v>
      </c>
      <c r="S37">
        <v>-0.77</v>
      </c>
      <c r="T37">
        <v>8252</v>
      </c>
      <c r="U37" s="1">
        <v>0.28662730114623131</v>
      </c>
      <c r="V37">
        <v>41998</v>
      </c>
      <c r="W37" s="1">
        <v>0.29947233314318311</v>
      </c>
      <c r="X37">
        <v>-0.85</v>
      </c>
      <c r="Y37">
        <v>2087</v>
      </c>
      <c r="Z37" s="1">
        <v>0.28363685784180481</v>
      </c>
      <c r="AA37">
        <v>42354</v>
      </c>
      <c r="AB37" s="1">
        <v>0.29908482332005765</v>
      </c>
      <c r="AC37">
        <v>-0.89</v>
      </c>
      <c r="AD37">
        <v>356</v>
      </c>
      <c r="AE37" s="1">
        <v>0.25947521865889212</v>
      </c>
      <c r="AF37">
        <v>42681</v>
      </c>
      <c r="AG37" s="1">
        <v>0.2991777710796924</v>
      </c>
      <c r="AH37">
        <v>-0.88</v>
      </c>
      <c r="AI37">
        <v>327</v>
      </c>
      <c r="AJ37" s="1">
        <v>0.3117254528122021</v>
      </c>
    </row>
    <row r="38" spans="1:36" x14ac:dyDescent="0.3">
      <c r="A38" t="s">
        <v>66</v>
      </c>
      <c r="B38">
        <v>179008</v>
      </c>
      <c r="C38" t="s">
        <v>325</v>
      </c>
      <c r="D38" t="s">
        <v>401</v>
      </c>
      <c r="E38">
        <v>925</v>
      </c>
      <c r="F38" s="1">
        <v>1.26E-2</v>
      </c>
      <c r="G38">
        <v>1072</v>
      </c>
      <c r="H38" s="1">
        <v>1.18E-2</v>
      </c>
      <c r="I38">
        <v>-0.08</v>
      </c>
      <c r="J38">
        <v>147</v>
      </c>
      <c r="K38" s="1">
        <v>8.3000000000000001E-3</v>
      </c>
      <c r="L38">
        <v>1201</v>
      </c>
      <c r="M38" s="1">
        <v>1.1537870345463629E-2</v>
      </c>
      <c r="N38">
        <v>-0.11</v>
      </c>
      <c r="O38">
        <v>129</v>
      </c>
      <c r="P38" s="1">
        <v>9.9822022750135422E-3</v>
      </c>
      <c r="Q38">
        <v>1514</v>
      </c>
      <c r="R38" s="1">
        <v>1.1393567225056817E-2</v>
      </c>
      <c r="S38">
        <v>-0.12</v>
      </c>
      <c r="T38">
        <v>313</v>
      </c>
      <c r="U38" s="1">
        <v>1.0871830496700242E-2</v>
      </c>
      <c r="V38">
        <v>1644</v>
      </c>
      <c r="W38" s="1">
        <v>1.1722760981175128E-2</v>
      </c>
      <c r="X38">
        <v>-0.09</v>
      </c>
      <c r="Y38">
        <v>130</v>
      </c>
      <c r="Z38" s="1">
        <v>1.7667844522968199E-2</v>
      </c>
      <c r="AA38">
        <v>1678</v>
      </c>
      <c r="AB38" s="1">
        <v>1.1849278309747762E-2</v>
      </c>
      <c r="AC38">
        <v>-0.08</v>
      </c>
      <c r="AD38">
        <v>34</v>
      </c>
      <c r="AE38" s="1">
        <v>2.478134110787172E-2</v>
      </c>
      <c r="AF38">
        <v>1695</v>
      </c>
      <c r="AG38" s="1">
        <v>1.1881313042807776E-2</v>
      </c>
      <c r="AH38">
        <v>-7.0000000000000007E-2</v>
      </c>
      <c r="AI38">
        <v>17</v>
      </c>
      <c r="AJ38" s="1">
        <v>1.6205910390848427E-2</v>
      </c>
    </row>
    <row r="39" spans="1:36" x14ac:dyDescent="0.3">
      <c r="A39" t="s">
        <v>66</v>
      </c>
      <c r="B39">
        <v>179008</v>
      </c>
      <c r="C39" t="s">
        <v>326</v>
      </c>
      <c r="D39" t="s">
        <v>400</v>
      </c>
      <c r="E39">
        <v>2761</v>
      </c>
      <c r="F39" s="1">
        <v>3.7499999999999999E-2</v>
      </c>
      <c r="G39">
        <v>3514</v>
      </c>
      <c r="H39" s="1">
        <v>3.85E-2</v>
      </c>
      <c r="I39">
        <v>0.1</v>
      </c>
      <c r="J39">
        <v>753</v>
      </c>
      <c r="K39" s="1">
        <v>4.2699999999999995E-2</v>
      </c>
      <c r="L39">
        <v>4194</v>
      </c>
      <c r="M39" s="1">
        <v>4.029128079007032E-2</v>
      </c>
      <c r="N39">
        <v>0.28000000000000003</v>
      </c>
      <c r="O39">
        <v>680</v>
      </c>
      <c r="P39" s="1">
        <v>5.2619360829528748E-2</v>
      </c>
      <c r="Q39">
        <v>5342</v>
      </c>
      <c r="R39" s="1">
        <v>4.0201080658027424E-2</v>
      </c>
      <c r="S39">
        <v>0.27</v>
      </c>
      <c r="T39">
        <v>1148</v>
      </c>
      <c r="U39" s="1">
        <v>3.9874956582146577E-2</v>
      </c>
      <c r="V39">
        <v>5655</v>
      </c>
      <c r="W39" s="1">
        <v>4.0323730747290357E-2</v>
      </c>
      <c r="X39">
        <v>0.28000000000000003</v>
      </c>
      <c r="Y39">
        <v>313</v>
      </c>
      <c r="Z39" s="1">
        <v>4.2538733351454201E-2</v>
      </c>
      <c r="AA39">
        <v>5702</v>
      </c>
      <c r="AB39" s="1">
        <v>4.0264949298082081E-2</v>
      </c>
      <c r="AC39">
        <v>0.28000000000000003</v>
      </c>
      <c r="AD39">
        <v>47</v>
      </c>
      <c r="AE39" s="1">
        <v>3.4256559766763846E-2</v>
      </c>
      <c r="AF39">
        <v>5776</v>
      </c>
      <c r="AG39" s="1">
        <v>4.0487589460329029E-2</v>
      </c>
      <c r="AH39">
        <v>0.3</v>
      </c>
      <c r="AI39">
        <v>74</v>
      </c>
      <c r="AJ39" s="1">
        <v>7.0543374642516685E-2</v>
      </c>
    </row>
    <row r="40" spans="1:36" x14ac:dyDescent="0.3">
      <c r="A40" t="s">
        <v>66</v>
      </c>
      <c r="B40">
        <v>179008</v>
      </c>
      <c r="C40" t="s">
        <v>327</v>
      </c>
      <c r="D40" t="s">
        <v>401</v>
      </c>
      <c r="E40">
        <v>10426</v>
      </c>
      <c r="F40" s="1">
        <v>0.14169999999999999</v>
      </c>
      <c r="G40">
        <v>12854</v>
      </c>
      <c r="H40" s="1">
        <v>0.14099999999999999</v>
      </c>
      <c r="I40">
        <v>-7.0000000000000007E-2</v>
      </c>
      <c r="J40">
        <v>2428</v>
      </c>
      <c r="K40" s="1">
        <v>0.13780000000000001</v>
      </c>
      <c r="L40">
        <v>15035</v>
      </c>
      <c r="M40" s="1">
        <v>0.14443953425815625</v>
      </c>
      <c r="N40">
        <v>0.27</v>
      </c>
      <c r="O40">
        <v>2181</v>
      </c>
      <c r="P40" s="1">
        <v>0.16876886171941499</v>
      </c>
      <c r="Q40">
        <v>19168</v>
      </c>
      <c r="R40" s="1">
        <v>0.14424828042925303</v>
      </c>
      <c r="S40">
        <v>0.25</v>
      </c>
      <c r="T40">
        <v>4133</v>
      </c>
      <c r="U40" s="1">
        <v>0.1435567905522751</v>
      </c>
      <c r="V40">
        <v>20415</v>
      </c>
      <c r="W40" s="1">
        <v>0.14557187678265829</v>
      </c>
      <c r="X40">
        <v>0.39</v>
      </c>
      <c r="Y40">
        <v>1247</v>
      </c>
      <c r="Z40" s="1">
        <v>0.16947540092416419</v>
      </c>
      <c r="AA40">
        <v>20653</v>
      </c>
      <c r="AB40" s="1">
        <v>0.14584216026890376</v>
      </c>
      <c r="AC40">
        <v>0.41</v>
      </c>
      <c r="AD40">
        <v>238</v>
      </c>
      <c r="AE40" s="1">
        <v>0.17346938775510204</v>
      </c>
      <c r="AF40">
        <v>20808</v>
      </c>
      <c r="AG40" s="1">
        <v>0.14585626064586676</v>
      </c>
      <c r="AH40">
        <v>0.42</v>
      </c>
      <c r="AI40">
        <v>155</v>
      </c>
      <c r="AJ40" s="1">
        <v>0.14775977121067682</v>
      </c>
    </row>
    <row r="41" spans="1:36" x14ac:dyDescent="0.3">
      <c r="A41" t="s">
        <v>66</v>
      </c>
      <c r="B41">
        <v>179008</v>
      </c>
      <c r="C41" t="s">
        <v>328</v>
      </c>
      <c r="D41" t="s">
        <v>403</v>
      </c>
      <c r="E41">
        <v>873</v>
      </c>
      <c r="F41" s="1">
        <v>1.1899999999999999E-2</v>
      </c>
      <c r="G41">
        <v>1078</v>
      </c>
      <c r="H41" s="1">
        <v>1.18E-2</v>
      </c>
      <c r="I41">
        <v>-0.01</v>
      </c>
      <c r="J41">
        <v>205</v>
      </c>
      <c r="K41" s="1">
        <v>1.1599999999999999E-2</v>
      </c>
      <c r="L41">
        <v>1256</v>
      </c>
      <c r="M41" s="1">
        <v>1.2066249087345809E-2</v>
      </c>
      <c r="N41">
        <v>0.02</v>
      </c>
      <c r="O41">
        <v>178</v>
      </c>
      <c r="P41" s="1">
        <v>1.3773891511258995E-2</v>
      </c>
      <c r="Q41">
        <v>1760</v>
      </c>
      <c r="R41" s="1">
        <v>1.3244833762285337E-2</v>
      </c>
      <c r="S41">
        <v>0.13</v>
      </c>
      <c r="T41">
        <v>504</v>
      </c>
      <c r="U41" s="1">
        <v>1.7506078499478987E-2</v>
      </c>
      <c r="V41">
        <v>1900</v>
      </c>
      <c r="W41" s="1">
        <v>1.3548203080433542E-2</v>
      </c>
      <c r="X41">
        <v>0.16</v>
      </c>
      <c r="Y41">
        <v>140</v>
      </c>
      <c r="Z41" s="1">
        <v>1.9026909486273443E-2</v>
      </c>
      <c r="AA41">
        <v>1935</v>
      </c>
      <c r="AB41" s="1">
        <v>1.3664096263028556E-2</v>
      </c>
      <c r="AC41">
        <v>0.18</v>
      </c>
      <c r="AD41">
        <v>35</v>
      </c>
      <c r="AE41" s="1">
        <v>2.5510204081632654E-2</v>
      </c>
      <c r="AF41">
        <v>1956</v>
      </c>
      <c r="AG41" s="1">
        <v>1.3710824962673751E-2</v>
      </c>
      <c r="AH41">
        <v>0.18</v>
      </c>
      <c r="AI41">
        <v>21</v>
      </c>
      <c r="AJ41" s="1">
        <v>2.0019065776930411E-2</v>
      </c>
    </row>
    <row r="42" spans="1:36" x14ac:dyDescent="0.3">
      <c r="A42" t="s">
        <v>66</v>
      </c>
      <c r="B42">
        <v>179008</v>
      </c>
      <c r="C42" t="s">
        <v>329</v>
      </c>
      <c r="D42" t="s">
        <v>401</v>
      </c>
      <c r="E42">
        <v>220</v>
      </c>
      <c r="F42" s="1">
        <v>3.0000000000000001E-3</v>
      </c>
      <c r="G42">
        <v>282</v>
      </c>
      <c r="H42" s="1">
        <v>3.0999999999999999E-3</v>
      </c>
      <c r="I42">
        <v>0.01</v>
      </c>
      <c r="J42">
        <v>62</v>
      </c>
      <c r="K42" s="1">
        <v>3.4999999999999996E-3</v>
      </c>
      <c r="L42">
        <v>326</v>
      </c>
      <c r="M42" s="1">
        <v>3.1318449064289284E-3</v>
      </c>
      <c r="N42">
        <v>0.01</v>
      </c>
      <c r="O42">
        <v>44</v>
      </c>
      <c r="P42" s="1">
        <v>3.4047821713224483E-3</v>
      </c>
      <c r="Q42">
        <v>449</v>
      </c>
      <c r="R42" s="1">
        <v>3.378937704128475E-3</v>
      </c>
      <c r="S42">
        <v>0.04</v>
      </c>
      <c r="T42">
        <v>123</v>
      </c>
      <c r="U42" s="1">
        <v>4.2723167766585621E-3</v>
      </c>
      <c r="V42">
        <v>466</v>
      </c>
      <c r="W42" s="1">
        <v>3.3228750713063318E-3</v>
      </c>
      <c r="X42">
        <v>0.03</v>
      </c>
      <c r="Y42">
        <v>17</v>
      </c>
      <c r="Z42" s="1">
        <v>2.3104104376189183E-3</v>
      </c>
      <c r="AA42">
        <v>473</v>
      </c>
      <c r="AB42" s="1">
        <v>3.340112419851425E-3</v>
      </c>
      <c r="AC42">
        <v>0.03</v>
      </c>
      <c r="AD42">
        <v>7</v>
      </c>
      <c r="AE42" s="1">
        <v>5.1020408163265302E-3</v>
      </c>
      <c r="AF42">
        <v>477</v>
      </c>
      <c r="AG42" s="1">
        <v>3.3435907500998872E-3</v>
      </c>
      <c r="AH42">
        <v>0.03</v>
      </c>
      <c r="AI42">
        <v>4</v>
      </c>
      <c r="AJ42" s="1">
        <v>3.8131553860819827E-3</v>
      </c>
    </row>
    <row r="43" spans="1:36" x14ac:dyDescent="0.3">
      <c r="A43" t="s">
        <v>66</v>
      </c>
      <c r="B43">
        <v>179008</v>
      </c>
      <c r="C43" t="s">
        <v>330</v>
      </c>
      <c r="D43" t="s">
        <v>405</v>
      </c>
      <c r="E43">
        <v>502</v>
      </c>
      <c r="F43" s="1">
        <v>6.8000000000000005E-3</v>
      </c>
      <c r="G43">
        <v>583</v>
      </c>
      <c r="H43" s="1">
        <v>6.4000000000000003E-3</v>
      </c>
      <c r="I43">
        <v>-0.04</v>
      </c>
      <c r="J43">
        <v>81</v>
      </c>
      <c r="K43" s="1">
        <v>4.5999999999999999E-3</v>
      </c>
      <c r="L43">
        <v>641</v>
      </c>
      <c r="M43" s="1">
        <v>6.1580140644814201E-3</v>
      </c>
      <c r="N43">
        <v>-0.06</v>
      </c>
      <c r="O43">
        <v>58</v>
      </c>
      <c r="P43" s="1">
        <v>4.4881219531068637E-3</v>
      </c>
      <c r="Q43">
        <v>802</v>
      </c>
      <c r="R43" s="1">
        <v>6.0354299303141132E-3</v>
      </c>
      <c r="S43">
        <v>-0.08</v>
      </c>
      <c r="T43">
        <v>161</v>
      </c>
      <c r="U43" s="1">
        <v>5.5922195206668983E-3</v>
      </c>
      <c r="V43">
        <v>856</v>
      </c>
      <c r="W43" s="1">
        <v>6.1038220193953222E-3</v>
      </c>
      <c r="X43">
        <v>-7.0000000000000007E-2</v>
      </c>
      <c r="Y43">
        <v>54</v>
      </c>
      <c r="Z43" s="1">
        <v>7.3389508018483285E-3</v>
      </c>
      <c r="AA43">
        <v>871</v>
      </c>
      <c r="AB43" s="1">
        <v>6.1506087054769374E-3</v>
      </c>
      <c r="AC43">
        <v>-0.06</v>
      </c>
      <c r="AD43">
        <v>15</v>
      </c>
      <c r="AE43" s="1">
        <v>1.0932944606413994E-2</v>
      </c>
      <c r="AF43">
        <v>879</v>
      </c>
      <c r="AG43" s="1">
        <v>6.1614596841463327E-3</v>
      </c>
      <c r="AH43">
        <v>-0.06</v>
      </c>
      <c r="AI43">
        <v>8</v>
      </c>
      <c r="AJ43" s="1">
        <v>7.6263107721639654E-3</v>
      </c>
    </row>
    <row r="44" spans="1:36" x14ac:dyDescent="0.3">
      <c r="A44" t="s">
        <v>66</v>
      </c>
      <c r="B44">
        <v>179008</v>
      </c>
      <c r="C44" t="s">
        <v>331</v>
      </c>
      <c r="D44" t="s">
        <v>401</v>
      </c>
      <c r="E44">
        <v>708</v>
      </c>
      <c r="F44" s="1">
        <v>9.5999999999999992E-3</v>
      </c>
      <c r="G44">
        <v>866</v>
      </c>
      <c r="H44" s="1">
        <v>9.4999999999999998E-3</v>
      </c>
      <c r="I44">
        <v>-0.01</v>
      </c>
      <c r="J44">
        <v>158</v>
      </c>
      <c r="K44" s="1">
        <v>9.0000000000000011E-3</v>
      </c>
      <c r="L44">
        <v>1026</v>
      </c>
      <c r="M44" s="1">
        <v>9.8566652576566882E-3</v>
      </c>
      <c r="N44">
        <v>0.03</v>
      </c>
      <c r="O44">
        <v>160</v>
      </c>
      <c r="P44" s="1">
        <v>1.2381026077536175E-2</v>
      </c>
      <c r="Q44">
        <v>1294</v>
      </c>
      <c r="R44" s="1">
        <v>9.737963004771151E-3</v>
      </c>
      <c r="S44">
        <v>0.01</v>
      </c>
      <c r="T44">
        <v>268</v>
      </c>
      <c r="U44" s="1">
        <v>9.3087877735324766E-3</v>
      </c>
      <c r="V44">
        <v>1367</v>
      </c>
      <c r="W44" s="1">
        <v>9.7475755847119226E-3</v>
      </c>
      <c r="X44">
        <v>0.01</v>
      </c>
      <c r="Y44">
        <v>73</v>
      </c>
      <c r="Z44" s="1">
        <v>9.9211742321282954E-3</v>
      </c>
      <c r="AA44">
        <v>1379</v>
      </c>
      <c r="AB44" s="1">
        <v>9.737875321300455E-3</v>
      </c>
      <c r="AC44">
        <v>0.01</v>
      </c>
      <c r="AD44">
        <v>12</v>
      </c>
      <c r="AE44" s="1">
        <v>8.7463556851311956E-3</v>
      </c>
      <c r="AF44">
        <v>1393</v>
      </c>
      <c r="AG44" s="1">
        <v>9.7644065301659179E-3</v>
      </c>
      <c r="AH44">
        <v>0.02</v>
      </c>
      <c r="AI44">
        <v>14</v>
      </c>
      <c r="AJ44" s="1">
        <v>1.334604385128694E-2</v>
      </c>
    </row>
    <row r="45" spans="1:36" x14ac:dyDescent="0.3">
      <c r="A45" t="s">
        <v>66</v>
      </c>
      <c r="B45">
        <v>179008</v>
      </c>
      <c r="C45" t="s">
        <v>332</v>
      </c>
      <c r="D45" t="s">
        <v>401</v>
      </c>
      <c r="E45">
        <v>7576</v>
      </c>
      <c r="F45" s="1">
        <v>0.10300000000000001</v>
      </c>
      <c r="G45">
        <v>9862</v>
      </c>
      <c r="H45" s="1">
        <v>0.1082</v>
      </c>
      <c r="I45">
        <v>0.52</v>
      </c>
      <c r="J45">
        <v>2286</v>
      </c>
      <c r="K45" s="1">
        <v>0.1298</v>
      </c>
      <c r="L45">
        <v>10646</v>
      </c>
      <c r="M45" s="1">
        <v>0.10227491065595819</v>
      </c>
      <c r="N45">
        <v>-7.0000000000000007E-2</v>
      </c>
      <c r="O45">
        <v>784</v>
      </c>
      <c r="P45" s="1">
        <v>6.066702777992726E-2</v>
      </c>
      <c r="Q45">
        <v>14399</v>
      </c>
      <c r="R45" s="1">
        <v>0.10835929621769691</v>
      </c>
      <c r="S45">
        <v>0.54</v>
      </c>
      <c r="T45">
        <v>3753</v>
      </c>
      <c r="U45" s="1">
        <v>0.13035776311219174</v>
      </c>
      <c r="V45">
        <v>14819</v>
      </c>
      <c r="W45" s="1">
        <v>0.1056688533941814</v>
      </c>
      <c r="X45">
        <v>0.27</v>
      </c>
      <c r="Y45">
        <v>420</v>
      </c>
      <c r="Z45" s="1">
        <v>5.7080728458820333E-2</v>
      </c>
      <c r="AA45">
        <v>14902</v>
      </c>
      <c r="AB45" s="1">
        <v>0.10523119509646076</v>
      </c>
      <c r="AC45">
        <v>0.22</v>
      </c>
      <c r="AD45">
        <v>83</v>
      </c>
      <c r="AE45" s="1">
        <v>6.0495626822157436E-2</v>
      </c>
      <c r="AF45">
        <v>15013</v>
      </c>
      <c r="AG45" s="1">
        <v>0.10523548832547087</v>
      </c>
      <c r="AH45">
        <v>0.22</v>
      </c>
      <c r="AI45">
        <v>111</v>
      </c>
      <c r="AJ45" s="1">
        <v>0.10581506196377502</v>
      </c>
    </row>
    <row r="46" spans="1:36" x14ac:dyDescent="0.3">
      <c r="A46" t="s">
        <v>66</v>
      </c>
      <c r="B46">
        <v>179008</v>
      </c>
      <c r="C46" t="s">
        <v>402</v>
      </c>
      <c r="E46">
        <v>74</v>
      </c>
      <c r="F46" s="1">
        <v>1E-3</v>
      </c>
      <c r="G46">
        <v>87</v>
      </c>
      <c r="H46" s="1">
        <v>1E-3</v>
      </c>
      <c r="I46">
        <v>0</v>
      </c>
      <c r="J46">
        <v>13</v>
      </c>
      <c r="K46" s="1">
        <v>7.000000000000001E-4</v>
      </c>
      <c r="L46">
        <v>97</v>
      </c>
      <c r="M46" s="1">
        <v>9.3186796295584675E-4</v>
      </c>
      <c r="N46">
        <v>-0.01</v>
      </c>
      <c r="O46">
        <v>10</v>
      </c>
      <c r="P46" s="1">
        <v>7.7381412984601095E-4</v>
      </c>
      <c r="Q46">
        <v>108</v>
      </c>
      <c r="R46" s="1">
        <v>8.127511626856911E-4</v>
      </c>
      <c r="S46">
        <v>-0.02</v>
      </c>
      <c r="T46">
        <v>11</v>
      </c>
      <c r="U46" s="1">
        <v>3.8207711010767627E-4</v>
      </c>
      <c r="V46">
        <v>119</v>
      </c>
      <c r="W46" s="1">
        <v>8.4854535082715349E-4</v>
      </c>
      <c r="X46">
        <v>-0.02</v>
      </c>
      <c r="Y46">
        <v>11</v>
      </c>
      <c r="Z46" s="1">
        <v>1.4949714596357705E-3</v>
      </c>
      <c r="AA46">
        <v>121</v>
      </c>
      <c r="AB46" s="1">
        <v>8.5444736321780635E-4</v>
      </c>
      <c r="AC46">
        <v>-0.01</v>
      </c>
      <c r="AD46">
        <v>2</v>
      </c>
      <c r="AE46" s="1">
        <v>1.4577259475218659E-3</v>
      </c>
      <c r="AF46">
        <v>117</v>
      </c>
      <c r="AG46" s="1">
        <v>8.2012603304336851E-4</v>
      </c>
      <c r="AH46">
        <v>-0.02</v>
      </c>
      <c r="AI46">
        <v>-4</v>
      </c>
      <c r="AJ46" s="1">
        <v>-3.8131553860819827E-3</v>
      </c>
    </row>
    <row r="47" spans="1:36" x14ac:dyDescent="0.3">
      <c r="A47" t="s">
        <v>66</v>
      </c>
      <c r="B47">
        <v>179008</v>
      </c>
      <c r="C47" t="s">
        <v>701</v>
      </c>
      <c r="E47">
        <v>297</v>
      </c>
      <c r="F47" s="1" t="s">
        <v>700</v>
      </c>
      <c r="G47">
        <v>441</v>
      </c>
      <c r="H47" s="1" t="s">
        <v>700</v>
      </c>
      <c r="I47" t="s">
        <v>700</v>
      </c>
      <c r="J47">
        <v>144</v>
      </c>
      <c r="K47" s="1" t="s">
        <v>700</v>
      </c>
      <c r="L47">
        <v>462</v>
      </c>
      <c r="M47" s="1" t="s">
        <v>700</v>
      </c>
      <c r="N47" t="s">
        <v>700</v>
      </c>
      <c r="O47">
        <v>21</v>
      </c>
      <c r="P47" s="1" t="s">
        <v>700</v>
      </c>
      <c r="Q47">
        <v>368</v>
      </c>
      <c r="R47" s="1" t="s">
        <v>700</v>
      </c>
      <c r="S47" t="s">
        <v>700</v>
      </c>
      <c r="T47">
        <v>-94</v>
      </c>
      <c r="U47" s="1" t="s">
        <v>700</v>
      </c>
      <c r="V47">
        <v>387</v>
      </c>
      <c r="Y47">
        <v>19</v>
      </c>
      <c r="AA47">
        <v>400</v>
      </c>
      <c r="AD47">
        <v>13</v>
      </c>
      <c r="AF47">
        <v>407</v>
      </c>
      <c r="AI47">
        <v>7</v>
      </c>
    </row>
    <row r="48" spans="1:36" x14ac:dyDescent="0.3">
      <c r="A48" t="s">
        <v>66</v>
      </c>
      <c r="B48">
        <v>179008</v>
      </c>
      <c r="C48" t="s">
        <v>702</v>
      </c>
      <c r="E48">
        <v>1423</v>
      </c>
      <c r="F48" s="1" t="s">
        <v>700</v>
      </c>
      <c r="G48">
        <v>1699</v>
      </c>
      <c r="H48" s="1" t="s">
        <v>700</v>
      </c>
      <c r="I48" t="s">
        <v>700</v>
      </c>
      <c r="J48">
        <v>276</v>
      </c>
      <c r="K48" s="1" t="s">
        <v>700</v>
      </c>
      <c r="L48">
        <v>1896</v>
      </c>
      <c r="M48" s="1" t="s">
        <v>700</v>
      </c>
      <c r="N48" t="s">
        <v>700</v>
      </c>
      <c r="O48">
        <v>197</v>
      </c>
      <c r="P48" s="1" t="s">
        <v>700</v>
      </c>
      <c r="Q48">
        <v>2415</v>
      </c>
      <c r="R48" s="1" t="s">
        <v>700</v>
      </c>
      <c r="S48" t="s">
        <v>700</v>
      </c>
      <c r="T48">
        <v>519</v>
      </c>
      <c r="U48" s="1" t="s">
        <v>700</v>
      </c>
      <c r="V48">
        <v>2643</v>
      </c>
      <c r="Y48">
        <v>228</v>
      </c>
      <c r="AA48">
        <v>2675</v>
      </c>
      <c r="AD48">
        <v>32</v>
      </c>
      <c r="AF48">
        <v>2713</v>
      </c>
      <c r="AI48">
        <v>38</v>
      </c>
    </row>
    <row r="49" spans="1:36" x14ac:dyDescent="0.3">
      <c r="A49" t="s">
        <v>60</v>
      </c>
      <c r="B49">
        <v>174861</v>
      </c>
      <c r="C49" t="s">
        <v>699</v>
      </c>
      <c r="E49">
        <v>105659</v>
      </c>
      <c r="F49" s="1" t="s">
        <v>700</v>
      </c>
      <c r="G49">
        <v>119831</v>
      </c>
      <c r="H49" s="1" t="s">
        <v>700</v>
      </c>
      <c r="I49" t="s">
        <v>700</v>
      </c>
      <c r="J49">
        <v>14172</v>
      </c>
      <c r="K49" s="1" t="s">
        <v>700</v>
      </c>
      <c r="L49">
        <v>136944</v>
      </c>
      <c r="M49" s="1" t="s">
        <v>700</v>
      </c>
      <c r="N49" t="s">
        <v>700</v>
      </c>
      <c r="O49">
        <v>17113</v>
      </c>
      <c r="P49" s="1" t="s">
        <v>700</v>
      </c>
      <c r="Q49">
        <v>142533</v>
      </c>
      <c r="R49" s="1" t="s">
        <v>700</v>
      </c>
      <c r="S49" t="s">
        <v>700</v>
      </c>
      <c r="T49">
        <v>5589</v>
      </c>
      <c r="U49" s="1" t="s">
        <v>700</v>
      </c>
      <c r="V49">
        <v>176966</v>
      </c>
      <c r="Y49">
        <v>34433</v>
      </c>
      <c r="AA49">
        <v>183719</v>
      </c>
      <c r="AD49">
        <v>6753</v>
      </c>
      <c r="AF49">
        <v>191653</v>
      </c>
      <c r="AI49">
        <v>7934</v>
      </c>
    </row>
    <row r="50" spans="1:36" x14ac:dyDescent="0.3">
      <c r="A50" t="s">
        <v>60</v>
      </c>
      <c r="B50">
        <v>174861</v>
      </c>
      <c r="C50" t="s">
        <v>334</v>
      </c>
      <c r="D50" t="s">
        <v>400</v>
      </c>
      <c r="E50">
        <v>16216</v>
      </c>
      <c r="F50" s="1">
        <v>0.14349999999999999</v>
      </c>
      <c r="G50">
        <v>18858</v>
      </c>
      <c r="H50" s="1">
        <v>0.14849999999999999</v>
      </c>
      <c r="I50">
        <v>0.5</v>
      </c>
      <c r="J50">
        <v>2642</v>
      </c>
      <c r="K50" s="1">
        <v>0.18890000000000001</v>
      </c>
      <c r="L50">
        <v>22213</v>
      </c>
      <c r="M50" s="1">
        <v>0.15441242918216258</v>
      </c>
      <c r="N50">
        <v>1.0900000000000001</v>
      </c>
      <c r="O50">
        <v>3355</v>
      </c>
      <c r="P50" s="1">
        <v>0.19885016595542912</v>
      </c>
      <c r="Q50">
        <v>23588</v>
      </c>
      <c r="R50" s="1">
        <v>0.15532216112995095</v>
      </c>
      <c r="S50">
        <v>1.18</v>
      </c>
      <c r="T50">
        <v>1375</v>
      </c>
      <c r="U50" s="1">
        <v>0.17166042446941324</v>
      </c>
      <c r="V50">
        <v>30648</v>
      </c>
      <c r="W50" s="1">
        <v>0.16493291931482448</v>
      </c>
      <c r="X50">
        <v>2.14</v>
      </c>
      <c r="Y50">
        <v>7060</v>
      </c>
      <c r="Z50" s="1">
        <v>0.20791612675226764</v>
      </c>
      <c r="AA50">
        <v>31769</v>
      </c>
      <c r="AB50" s="1">
        <v>0.16508865285081795</v>
      </c>
      <c r="AC50">
        <v>2.16</v>
      </c>
      <c r="AD50">
        <v>1121</v>
      </c>
      <c r="AE50" s="1">
        <v>0.16946334089191231</v>
      </c>
      <c r="AF50">
        <v>33443</v>
      </c>
      <c r="AG50" s="1">
        <v>0.16376849208409031</v>
      </c>
      <c r="AH50">
        <v>2.0299999999999998</v>
      </c>
      <c r="AI50">
        <v>1674</v>
      </c>
      <c r="AJ50" s="1">
        <v>0.14218975622186358</v>
      </c>
    </row>
    <row r="51" spans="1:36" x14ac:dyDescent="0.3">
      <c r="A51" t="s">
        <v>60</v>
      </c>
      <c r="B51">
        <v>174861</v>
      </c>
      <c r="C51" t="s">
        <v>335</v>
      </c>
      <c r="D51" t="s">
        <v>399</v>
      </c>
      <c r="E51">
        <v>23536</v>
      </c>
      <c r="F51" s="1">
        <v>0.20829999999999999</v>
      </c>
      <c r="G51">
        <v>26389</v>
      </c>
      <c r="H51" s="1">
        <v>0.20780000000000001</v>
      </c>
      <c r="I51">
        <v>-0.05</v>
      </c>
      <c r="J51">
        <v>2853</v>
      </c>
      <c r="K51" s="1">
        <v>0.20399999999999999</v>
      </c>
      <c r="L51">
        <v>29197</v>
      </c>
      <c r="M51" s="1">
        <v>0.20296131521323554</v>
      </c>
      <c r="N51">
        <v>-0.53</v>
      </c>
      <c r="O51">
        <v>2808</v>
      </c>
      <c r="P51" s="1">
        <v>0.16642958748221906</v>
      </c>
      <c r="Q51">
        <v>30372</v>
      </c>
      <c r="R51" s="1">
        <v>0.19999341520429328</v>
      </c>
      <c r="S51">
        <v>-0.83</v>
      </c>
      <c r="T51">
        <v>1175</v>
      </c>
      <c r="U51" s="1">
        <v>0.1466916354556804</v>
      </c>
      <c r="V51">
        <v>36024</v>
      </c>
      <c r="W51" s="1">
        <v>0.1938639873857099</v>
      </c>
      <c r="X51">
        <v>-1.44</v>
      </c>
      <c r="Y51">
        <v>5652</v>
      </c>
      <c r="Z51" s="1">
        <v>0.16645070090705619</v>
      </c>
      <c r="AA51">
        <v>37001</v>
      </c>
      <c r="AB51" s="1">
        <v>0.19227691284375065</v>
      </c>
      <c r="AC51">
        <v>-1.6</v>
      </c>
      <c r="AD51">
        <v>977</v>
      </c>
      <c r="AE51" s="1">
        <v>0.14769463340891911</v>
      </c>
      <c r="AF51">
        <v>38487</v>
      </c>
      <c r="AG51" s="1">
        <v>0.18846867669887224</v>
      </c>
      <c r="AH51">
        <v>-1.98</v>
      </c>
      <c r="AI51">
        <v>1486</v>
      </c>
      <c r="AJ51" s="1">
        <v>0.12622101418499956</v>
      </c>
    </row>
    <row r="52" spans="1:36" x14ac:dyDescent="0.3">
      <c r="A52" t="s">
        <v>60</v>
      </c>
      <c r="B52">
        <v>174861</v>
      </c>
      <c r="C52" t="s">
        <v>336</v>
      </c>
      <c r="D52" t="s">
        <v>400</v>
      </c>
      <c r="E52">
        <v>1455</v>
      </c>
      <c r="F52" s="1">
        <v>1.29E-2</v>
      </c>
      <c r="G52">
        <v>1584</v>
      </c>
      <c r="H52" s="1">
        <v>1.2500000000000001E-2</v>
      </c>
      <c r="I52">
        <v>-0.04</v>
      </c>
      <c r="J52">
        <v>129</v>
      </c>
      <c r="K52" s="1">
        <v>9.1999999999999998E-3</v>
      </c>
      <c r="L52">
        <v>1741</v>
      </c>
      <c r="M52" s="1">
        <v>1.2102464286955616E-2</v>
      </c>
      <c r="N52">
        <v>-0.08</v>
      </c>
      <c r="O52">
        <v>157</v>
      </c>
      <c r="P52" s="1">
        <v>9.3053579895685159E-3</v>
      </c>
      <c r="Q52">
        <v>1829</v>
      </c>
      <c r="R52" s="1">
        <v>1.2043591347578441E-2</v>
      </c>
      <c r="S52">
        <v>-0.09</v>
      </c>
      <c r="T52">
        <v>88</v>
      </c>
      <c r="U52" s="1">
        <v>1.0986267166042446E-2</v>
      </c>
      <c r="V52">
        <v>2179</v>
      </c>
      <c r="W52" s="1">
        <v>1.1726338788403894E-2</v>
      </c>
      <c r="X52">
        <v>-0.12</v>
      </c>
      <c r="Y52">
        <v>350</v>
      </c>
      <c r="Z52" s="1">
        <v>1.0307456708681823E-2</v>
      </c>
      <c r="AA52">
        <v>2269</v>
      </c>
      <c r="AB52" s="1">
        <v>1.1790933089442724E-2</v>
      </c>
      <c r="AC52">
        <v>-0.11</v>
      </c>
      <c r="AD52">
        <v>90</v>
      </c>
      <c r="AE52" s="1">
        <v>1.3605442176870748E-2</v>
      </c>
      <c r="AF52">
        <v>2417</v>
      </c>
      <c r="AG52" s="1">
        <v>1.183591320656778E-2</v>
      </c>
      <c r="AH52">
        <v>-0.11</v>
      </c>
      <c r="AI52">
        <v>148</v>
      </c>
      <c r="AJ52" s="1">
        <v>1.257113734816954E-2</v>
      </c>
    </row>
    <row r="53" spans="1:36" x14ac:dyDescent="0.3">
      <c r="A53" t="s">
        <v>60</v>
      </c>
      <c r="B53">
        <v>174861</v>
      </c>
      <c r="C53" t="s">
        <v>337</v>
      </c>
      <c r="D53" t="s">
        <v>399</v>
      </c>
      <c r="E53">
        <v>3290</v>
      </c>
      <c r="F53" s="1">
        <v>2.9100000000000001E-2</v>
      </c>
      <c r="G53">
        <v>3809</v>
      </c>
      <c r="H53" s="1">
        <v>0.03</v>
      </c>
      <c r="I53">
        <v>0.09</v>
      </c>
      <c r="J53">
        <v>519</v>
      </c>
      <c r="K53" s="1">
        <v>3.7100000000000001E-2</v>
      </c>
      <c r="L53">
        <v>4405</v>
      </c>
      <c r="M53" s="1">
        <v>3.0621111535921588E-2</v>
      </c>
      <c r="N53">
        <v>0.15</v>
      </c>
      <c r="O53">
        <v>596</v>
      </c>
      <c r="P53" s="1">
        <v>3.5324798482693216E-2</v>
      </c>
      <c r="Q53">
        <v>4668</v>
      </c>
      <c r="R53" s="1">
        <v>3.0737826358937213E-2</v>
      </c>
      <c r="S53">
        <v>0.16</v>
      </c>
      <c r="T53">
        <v>263</v>
      </c>
      <c r="U53" s="1">
        <v>3.2833957553058679E-2</v>
      </c>
      <c r="V53">
        <v>5942</v>
      </c>
      <c r="W53" s="1">
        <v>3.1977010133407958E-2</v>
      </c>
      <c r="X53">
        <v>0.28999999999999998</v>
      </c>
      <c r="Y53">
        <v>1274</v>
      </c>
      <c r="Z53" s="1">
        <v>3.7519142419601838E-2</v>
      </c>
      <c r="AA53">
        <v>6129</v>
      </c>
      <c r="AB53" s="1">
        <v>3.1849549980253175E-2</v>
      </c>
      <c r="AC53">
        <v>0.27</v>
      </c>
      <c r="AD53">
        <v>187</v>
      </c>
      <c r="AE53" s="1">
        <v>2.8269085411942556E-2</v>
      </c>
      <c r="AF53">
        <v>6482</v>
      </c>
      <c r="AG53" s="1">
        <v>3.1741989824150746E-2</v>
      </c>
      <c r="AH53">
        <v>0.26</v>
      </c>
      <c r="AI53">
        <v>353</v>
      </c>
      <c r="AJ53" s="1">
        <v>2.99838613777287E-2</v>
      </c>
    </row>
    <row r="54" spans="1:36" x14ac:dyDescent="0.3">
      <c r="A54" t="s">
        <v>60</v>
      </c>
      <c r="B54">
        <v>174861</v>
      </c>
      <c r="C54" t="s">
        <v>338</v>
      </c>
      <c r="D54" t="s">
        <v>399</v>
      </c>
      <c r="E54">
        <v>757</v>
      </c>
      <c r="F54" s="1">
        <v>6.7000000000000002E-3</v>
      </c>
      <c r="G54">
        <v>808</v>
      </c>
      <c r="H54" s="1">
        <v>6.4000000000000003E-3</v>
      </c>
      <c r="I54">
        <v>-0.03</v>
      </c>
      <c r="J54">
        <v>51</v>
      </c>
      <c r="K54" s="1">
        <v>3.5999999999999999E-3</v>
      </c>
      <c r="L54">
        <v>872</v>
      </c>
      <c r="M54" s="1">
        <v>6.0616593097215943E-3</v>
      </c>
      <c r="N54">
        <v>-0.06</v>
      </c>
      <c r="O54">
        <v>64</v>
      </c>
      <c r="P54" s="1">
        <v>3.793266951161688E-3</v>
      </c>
      <c r="Q54">
        <v>906</v>
      </c>
      <c r="R54" s="1">
        <v>5.9658249102821585E-3</v>
      </c>
      <c r="S54">
        <v>-7.0000000000000007E-2</v>
      </c>
      <c r="T54">
        <v>34</v>
      </c>
      <c r="U54" s="1">
        <v>4.2446941323345819E-3</v>
      </c>
      <c r="V54">
        <v>1066</v>
      </c>
      <c r="W54" s="1">
        <v>5.7367036018533962E-3</v>
      </c>
      <c r="X54">
        <v>-0.1</v>
      </c>
      <c r="Y54">
        <v>160</v>
      </c>
      <c r="Z54" s="1">
        <v>4.7119802096831191E-3</v>
      </c>
      <c r="AA54">
        <v>1097</v>
      </c>
      <c r="AB54" s="1">
        <v>5.7005965619738507E-3</v>
      </c>
      <c r="AC54">
        <v>-0.1</v>
      </c>
      <c r="AD54">
        <v>31</v>
      </c>
      <c r="AE54" s="1">
        <v>4.6863189720332578E-3</v>
      </c>
      <c r="AF54">
        <v>1152</v>
      </c>
      <c r="AG54" s="1">
        <v>5.6412792776028477E-3</v>
      </c>
      <c r="AH54">
        <v>-0.11</v>
      </c>
      <c r="AI54">
        <v>55</v>
      </c>
      <c r="AJ54" s="1">
        <v>4.671706446954897E-3</v>
      </c>
    </row>
    <row r="55" spans="1:36" x14ac:dyDescent="0.3">
      <c r="A55" t="s">
        <v>60</v>
      </c>
      <c r="B55">
        <v>174861</v>
      </c>
      <c r="C55" t="s">
        <v>339</v>
      </c>
      <c r="D55" t="s">
        <v>399</v>
      </c>
      <c r="E55">
        <v>4089</v>
      </c>
      <c r="F55" s="1">
        <v>3.6200000000000003E-2</v>
      </c>
      <c r="G55">
        <v>4851</v>
      </c>
      <c r="H55" s="1">
        <v>3.8199999999999998E-2</v>
      </c>
      <c r="I55">
        <v>0.2</v>
      </c>
      <c r="J55">
        <v>762</v>
      </c>
      <c r="K55" s="1">
        <v>5.45E-2</v>
      </c>
      <c r="L55">
        <v>5863</v>
      </c>
      <c r="M55" s="1">
        <v>4.0756317124882695E-2</v>
      </c>
      <c r="N55">
        <v>0.46</v>
      </c>
      <c r="O55">
        <v>1012</v>
      </c>
      <c r="P55" s="1">
        <v>5.9981033665244189E-2</v>
      </c>
      <c r="Q55">
        <v>6192</v>
      </c>
      <c r="R55" s="1">
        <v>4.0773055015968132E-2</v>
      </c>
      <c r="S55">
        <v>0.46</v>
      </c>
      <c r="T55">
        <v>329</v>
      </c>
      <c r="U55" s="1">
        <v>4.1073657927590511E-2</v>
      </c>
      <c r="V55">
        <v>8419</v>
      </c>
      <c r="W55" s="1">
        <v>4.5307042799253044E-2</v>
      </c>
      <c r="X55">
        <v>0.91</v>
      </c>
      <c r="Y55">
        <v>2227</v>
      </c>
      <c r="Z55" s="1">
        <v>6.5584874543526919E-2</v>
      </c>
      <c r="AA55">
        <v>8711</v>
      </c>
      <c r="AB55" s="1">
        <v>4.5266997859028456E-2</v>
      </c>
      <c r="AC55">
        <v>0.91</v>
      </c>
      <c r="AD55">
        <v>292</v>
      </c>
      <c r="AE55" s="1">
        <v>4.4142101284958428E-2</v>
      </c>
      <c r="AF55">
        <v>9048</v>
      </c>
      <c r="AG55" s="1">
        <v>4.4307547659505703E-2</v>
      </c>
      <c r="AH55">
        <v>0.81</v>
      </c>
      <c r="AI55">
        <v>337</v>
      </c>
      <c r="AJ55" s="1">
        <v>2.8624819502250914E-2</v>
      </c>
    </row>
    <row r="56" spans="1:36" x14ac:dyDescent="0.3">
      <c r="A56" t="s">
        <v>60</v>
      </c>
      <c r="B56">
        <v>174861</v>
      </c>
      <c r="C56" t="s">
        <v>340</v>
      </c>
      <c r="D56" t="s">
        <v>401</v>
      </c>
      <c r="E56">
        <v>54205</v>
      </c>
      <c r="F56" s="1">
        <v>0.47970000000000002</v>
      </c>
      <c r="G56">
        <v>60162</v>
      </c>
      <c r="H56" s="1">
        <v>0.4738</v>
      </c>
      <c r="I56">
        <v>-0.59</v>
      </c>
      <c r="J56">
        <v>5957</v>
      </c>
      <c r="K56" s="1">
        <v>0.42590000000000006</v>
      </c>
      <c r="L56">
        <v>67958</v>
      </c>
      <c r="M56" s="1">
        <v>0.47240624239685797</v>
      </c>
      <c r="N56">
        <v>-0.73</v>
      </c>
      <c r="O56">
        <v>7796</v>
      </c>
      <c r="P56" s="1">
        <v>0.46206733048838311</v>
      </c>
      <c r="Q56">
        <v>71884</v>
      </c>
      <c r="R56" s="1">
        <v>0.47334145458137161</v>
      </c>
      <c r="S56">
        <v>-0.64</v>
      </c>
      <c r="T56">
        <v>3926</v>
      </c>
      <c r="U56" s="1">
        <v>0.49013732833957552</v>
      </c>
      <c r="V56">
        <v>86733</v>
      </c>
      <c r="W56" s="1">
        <v>0.4667556411815672</v>
      </c>
      <c r="X56">
        <v>-1.29</v>
      </c>
      <c r="Y56">
        <v>14849</v>
      </c>
      <c r="Z56" s="1">
        <v>0.43730121333490402</v>
      </c>
      <c r="AA56">
        <v>90246</v>
      </c>
      <c r="AB56" s="1">
        <v>0.46896630568084974</v>
      </c>
      <c r="AC56">
        <v>-1.07</v>
      </c>
      <c r="AD56">
        <v>3513</v>
      </c>
      <c r="AE56" s="1">
        <v>0.53106575963718816</v>
      </c>
      <c r="AF56">
        <v>96791</v>
      </c>
      <c r="AG56" s="1">
        <v>0.47398008902643862</v>
      </c>
      <c r="AH56">
        <v>-0.56999999999999995</v>
      </c>
      <c r="AI56">
        <v>6545</v>
      </c>
      <c r="AJ56" s="1">
        <v>0.55593306718763269</v>
      </c>
    </row>
    <row r="57" spans="1:36" x14ac:dyDescent="0.3">
      <c r="A57" t="s">
        <v>60</v>
      </c>
      <c r="B57">
        <v>174861</v>
      </c>
      <c r="C57" t="s">
        <v>341</v>
      </c>
      <c r="D57" t="s">
        <v>400</v>
      </c>
      <c r="E57">
        <v>1289</v>
      </c>
      <c r="F57" s="1">
        <v>1.1399999999999999E-2</v>
      </c>
      <c r="G57">
        <v>1452</v>
      </c>
      <c r="H57" s="1">
        <v>1.1399999999999999E-2</v>
      </c>
      <c r="I57">
        <v>0</v>
      </c>
      <c r="J57">
        <v>163</v>
      </c>
      <c r="K57" s="1">
        <v>1.1699999999999999E-2</v>
      </c>
      <c r="L57">
        <v>1600</v>
      </c>
      <c r="M57" s="1">
        <v>1.1122310660039623E-2</v>
      </c>
      <c r="N57">
        <v>-0.03</v>
      </c>
      <c r="O57">
        <v>148</v>
      </c>
      <c r="P57" s="1">
        <v>8.771929824561403E-3</v>
      </c>
      <c r="Q57">
        <v>1666</v>
      </c>
      <c r="R57" s="1">
        <v>1.0970269647384189E-2</v>
      </c>
      <c r="S57">
        <v>-0.04</v>
      </c>
      <c r="T57">
        <v>66</v>
      </c>
      <c r="U57" s="1">
        <v>8.2397003745318352E-3</v>
      </c>
      <c r="V57">
        <v>2101</v>
      </c>
      <c r="W57" s="1">
        <v>1.130657998826828E-2</v>
      </c>
      <c r="X57">
        <v>-0.01</v>
      </c>
      <c r="Y57">
        <v>435</v>
      </c>
      <c r="Z57" s="1">
        <v>1.2810696195075981E-2</v>
      </c>
      <c r="AA57">
        <v>2164</v>
      </c>
      <c r="AB57" s="1">
        <v>1.1245297137749693E-2</v>
      </c>
      <c r="AC57">
        <v>-0.02</v>
      </c>
      <c r="AD57">
        <v>63</v>
      </c>
      <c r="AE57" s="1">
        <v>9.5238095238095247E-3</v>
      </c>
      <c r="AF57">
        <v>2274</v>
      </c>
      <c r="AG57" s="1">
        <v>1.1135650240684788E-2</v>
      </c>
      <c r="AH57">
        <v>-0.03</v>
      </c>
      <c r="AI57">
        <v>110</v>
      </c>
      <c r="AJ57" s="1">
        <v>9.343412893909794E-3</v>
      </c>
    </row>
    <row r="58" spans="1:36" x14ac:dyDescent="0.3">
      <c r="A58" t="s">
        <v>60</v>
      </c>
      <c r="B58">
        <v>174861</v>
      </c>
      <c r="C58" t="s">
        <v>342</v>
      </c>
      <c r="D58" t="s">
        <v>400</v>
      </c>
      <c r="E58">
        <v>425</v>
      </c>
      <c r="F58" s="1">
        <v>3.8E-3</v>
      </c>
      <c r="G58">
        <v>486</v>
      </c>
      <c r="H58" s="1">
        <v>3.8E-3</v>
      </c>
      <c r="I58">
        <v>0</v>
      </c>
      <c r="J58">
        <v>61</v>
      </c>
      <c r="K58" s="1">
        <v>4.4000000000000003E-3</v>
      </c>
      <c r="L58">
        <v>583</v>
      </c>
      <c r="M58" s="1">
        <v>4.0526919467519379E-3</v>
      </c>
      <c r="N58">
        <v>0.03</v>
      </c>
      <c r="O58">
        <v>97</v>
      </c>
      <c r="P58" s="1">
        <v>5.7491702228544333E-3</v>
      </c>
      <c r="Q58">
        <v>632</v>
      </c>
      <c r="R58" s="1">
        <v>4.1615908866427416E-3</v>
      </c>
      <c r="S58">
        <v>0.04</v>
      </c>
      <c r="T58">
        <v>49</v>
      </c>
      <c r="U58" s="1">
        <v>6.1173533083645447E-3</v>
      </c>
      <c r="V58">
        <v>835</v>
      </c>
      <c r="W58" s="1">
        <v>4.4935717706825386E-3</v>
      </c>
      <c r="X58">
        <v>7.0000000000000007E-2</v>
      </c>
      <c r="Y58">
        <v>203</v>
      </c>
      <c r="Z58" s="1">
        <v>5.9783248910354574E-3</v>
      </c>
      <c r="AA58">
        <v>860</v>
      </c>
      <c r="AB58" s="1">
        <v>4.4690182710095828E-3</v>
      </c>
      <c r="AC58">
        <v>7.0000000000000007E-2</v>
      </c>
      <c r="AD58">
        <v>25</v>
      </c>
      <c r="AE58" s="1">
        <v>3.779289493575208E-3</v>
      </c>
      <c r="AF58">
        <v>915</v>
      </c>
      <c r="AG58" s="1">
        <v>4.480703592887679E-3</v>
      </c>
      <c r="AH58">
        <v>7.0000000000000007E-2</v>
      </c>
      <c r="AI58">
        <v>55</v>
      </c>
      <c r="AJ58" s="1">
        <v>4.671706446954897E-3</v>
      </c>
    </row>
    <row r="59" spans="1:36" x14ac:dyDescent="0.3">
      <c r="A59" t="s">
        <v>60</v>
      </c>
      <c r="B59">
        <v>174861</v>
      </c>
      <c r="C59" t="s">
        <v>343</v>
      </c>
      <c r="D59" t="s">
        <v>400</v>
      </c>
      <c r="E59">
        <v>1599</v>
      </c>
      <c r="F59" s="1">
        <v>1.4199999999999999E-2</v>
      </c>
      <c r="G59">
        <v>1753</v>
      </c>
      <c r="H59" s="1">
        <v>1.38E-2</v>
      </c>
      <c r="I59">
        <v>-0.04</v>
      </c>
      <c r="J59">
        <v>154</v>
      </c>
      <c r="K59" s="1">
        <v>1.1000000000000001E-2</v>
      </c>
      <c r="L59">
        <v>1988</v>
      </c>
      <c r="M59" s="1">
        <v>1.3819470995099233E-2</v>
      </c>
      <c r="N59">
        <v>-0.04</v>
      </c>
      <c r="O59">
        <v>235</v>
      </c>
      <c r="P59" s="1">
        <v>1.3928402086296823E-2</v>
      </c>
      <c r="Q59">
        <v>2087</v>
      </c>
      <c r="R59" s="1">
        <v>1.3742468639910447E-2</v>
      </c>
      <c r="S59">
        <v>-0.05</v>
      </c>
      <c r="T59">
        <v>99</v>
      </c>
      <c r="U59" s="1">
        <v>1.2359550561797753E-2</v>
      </c>
      <c r="V59">
        <v>2615</v>
      </c>
      <c r="W59" s="1">
        <v>1.4072682850700406E-2</v>
      </c>
      <c r="X59">
        <v>-0.01</v>
      </c>
      <c r="Y59">
        <v>528</v>
      </c>
      <c r="Z59" s="1">
        <v>1.5549534691954294E-2</v>
      </c>
      <c r="AA59">
        <v>2727</v>
      </c>
      <c r="AB59" s="1">
        <v>1.417094514539899E-2</v>
      </c>
      <c r="AC59">
        <v>0</v>
      </c>
      <c r="AD59">
        <v>112</v>
      </c>
      <c r="AE59" s="1">
        <v>1.6931216931216932E-2</v>
      </c>
      <c r="AF59">
        <v>2920</v>
      </c>
      <c r="AG59" s="1">
        <v>1.4299075946701663E-2</v>
      </c>
      <c r="AH59">
        <v>0.01</v>
      </c>
      <c r="AI59">
        <v>193</v>
      </c>
      <c r="AJ59" s="1">
        <v>1.6393442622950821E-2</v>
      </c>
    </row>
    <row r="60" spans="1:36" x14ac:dyDescent="0.3">
      <c r="A60" t="s">
        <v>60</v>
      </c>
      <c r="B60">
        <v>174861</v>
      </c>
      <c r="C60" t="s">
        <v>344</v>
      </c>
      <c r="D60" t="s">
        <v>399</v>
      </c>
      <c r="E60">
        <v>1490</v>
      </c>
      <c r="F60" s="1">
        <v>1.32E-2</v>
      </c>
      <c r="G60">
        <v>1792</v>
      </c>
      <c r="H60" s="1">
        <v>1.41E-2</v>
      </c>
      <c r="I60">
        <v>0.09</v>
      </c>
      <c r="J60">
        <v>302</v>
      </c>
      <c r="K60" s="1">
        <v>2.1600000000000001E-2</v>
      </c>
      <c r="L60">
        <v>2035</v>
      </c>
      <c r="M60" s="1">
        <v>1.4146188870737895E-2</v>
      </c>
      <c r="N60">
        <v>0.09</v>
      </c>
      <c r="O60">
        <v>243</v>
      </c>
      <c r="P60" s="1">
        <v>1.4402560455192033E-2</v>
      </c>
      <c r="Q60">
        <v>2126</v>
      </c>
      <c r="R60" s="1">
        <v>1.3999275672472262E-2</v>
      </c>
      <c r="S60">
        <v>0.08</v>
      </c>
      <c r="T60">
        <v>91</v>
      </c>
      <c r="U60" s="1">
        <v>1.136079900124844E-2</v>
      </c>
      <c r="V60">
        <v>2672</v>
      </c>
      <c r="W60" s="1">
        <v>1.4379429666184123E-2</v>
      </c>
      <c r="X60">
        <v>0.12</v>
      </c>
      <c r="Y60">
        <v>546</v>
      </c>
      <c r="Z60" s="1">
        <v>1.6079632465543645E-2</v>
      </c>
      <c r="AA60">
        <v>2748</v>
      </c>
      <c r="AB60" s="1">
        <v>1.4280072335737595E-2</v>
      </c>
      <c r="AC60">
        <v>0.11</v>
      </c>
      <c r="AD60">
        <v>76</v>
      </c>
      <c r="AE60" s="1">
        <v>1.1489040060468633E-2</v>
      </c>
      <c r="AF60">
        <v>2866</v>
      </c>
      <c r="AG60" s="1">
        <v>1.403464098056403E-2</v>
      </c>
      <c r="AH60">
        <v>0.08</v>
      </c>
      <c r="AI60">
        <v>118</v>
      </c>
      <c r="AJ60" s="1">
        <v>1.0022933831648687E-2</v>
      </c>
    </row>
    <row r="61" spans="1:36" x14ac:dyDescent="0.3">
      <c r="A61" t="s">
        <v>60</v>
      </c>
      <c r="B61">
        <v>174861</v>
      </c>
      <c r="C61" t="s">
        <v>345</v>
      </c>
      <c r="D61" t="s">
        <v>399</v>
      </c>
      <c r="E61">
        <v>4542</v>
      </c>
      <c r="F61" s="1">
        <v>4.0199999999999993E-2</v>
      </c>
      <c r="G61">
        <v>4922</v>
      </c>
      <c r="H61" s="1">
        <v>3.8800000000000001E-2</v>
      </c>
      <c r="I61">
        <v>-0.14000000000000001</v>
      </c>
      <c r="J61">
        <v>380</v>
      </c>
      <c r="K61" s="1">
        <v>2.7200000000000002E-2</v>
      </c>
      <c r="L61">
        <v>5270</v>
      </c>
      <c r="M61" s="1">
        <v>3.6634110736505507E-2</v>
      </c>
      <c r="N61">
        <v>-0.36</v>
      </c>
      <c r="O61">
        <v>348</v>
      </c>
      <c r="P61" s="1">
        <v>2.0625889046941678E-2</v>
      </c>
      <c r="Q61">
        <v>5781</v>
      </c>
      <c r="R61" s="1">
        <v>3.8066703980509008E-2</v>
      </c>
      <c r="S61">
        <v>-0.21</v>
      </c>
      <c r="T61">
        <v>511</v>
      </c>
      <c r="U61" s="1">
        <v>6.3795255930087391E-2</v>
      </c>
      <c r="V61">
        <v>6434</v>
      </c>
      <c r="W61" s="1">
        <v>3.4624719488109523E-2</v>
      </c>
      <c r="X61">
        <v>-0.56000000000000005</v>
      </c>
      <c r="Y61">
        <v>653</v>
      </c>
      <c r="Z61" s="1">
        <v>1.9230769230769232E-2</v>
      </c>
      <c r="AA61">
        <v>6555</v>
      </c>
      <c r="AB61" s="1">
        <v>3.4063272984264897E-2</v>
      </c>
      <c r="AC61">
        <v>-0.61</v>
      </c>
      <c r="AD61">
        <v>121</v>
      </c>
      <c r="AE61" s="1">
        <v>1.8291761148904007E-2</v>
      </c>
      <c r="AF61">
        <v>7242</v>
      </c>
      <c r="AG61" s="1">
        <v>3.546366712534707E-2</v>
      </c>
      <c r="AH61">
        <v>-0.47</v>
      </c>
      <c r="AI61">
        <v>687</v>
      </c>
      <c r="AJ61" s="1">
        <v>5.8353860528327528E-2</v>
      </c>
    </row>
    <row r="62" spans="1:36" x14ac:dyDescent="0.3">
      <c r="A62" t="s">
        <v>60</v>
      </c>
      <c r="B62">
        <v>174861</v>
      </c>
      <c r="C62" t="s">
        <v>404</v>
      </c>
      <c r="E62">
        <v>103</v>
      </c>
      <c r="F62" s="1">
        <v>8.9999999999999998E-4</v>
      </c>
      <c r="G62">
        <v>117</v>
      </c>
      <c r="H62" s="1">
        <v>8.9999999999999998E-4</v>
      </c>
      <c r="I62">
        <v>0</v>
      </c>
      <c r="J62">
        <v>14</v>
      </c>
      <c r="K62" s="1">
        <v>1E-3</v>
      </c>
      <c r="L62">
        <v>130</v>
      </c>
      <c r="M62" s="1">
        <v>9.0368774112821936E-4</v>
      </c>
      <c r="N62">
        <v>0</v>
      </c>
      <c r="O62">
        <v>13</v>
      </c>
      <c r="P62" s="1">
        <v>7.705073494547179E-4</v>
      </c>
      <c r="Q62">
        <v>134</v>
      </c>
      <c r="R62" s="1">
        <v>8.8236262469956869E-4</v>
      </c>
      <c r="S62">
        <v>0</v>
      </c>
      <c r="T62">
        <v>4</v>
      </c>
      <c r="U62" s="1">
        <v>4.9937578027465666E-4</v>
      </c>
      <c r="V62">
        <v>153</v>
      </c>
      <c r="W62" s="1">
        <v>8.2337303103524357E-4</v>
      </c>
      <c r="X62">
        <v>-0.01</v>
      </c>
      <c r="Y62">
        <v>19</v>
      </c>
      <c r="Z62" s="1">
        <v>5.5954764989987044E-4</v>
      </c>
      <c r="AA62">
        <v>160</v>
      </c>
      <c r="AB62" s="1">
        <v>8.3144525972271306E-4</v>
      </c>
      <c r="AC62">
        <v>-0.01</v>
      </c>
      <c r="AD62">
        <v>7</v>
      </c>
      <c r="AE62" s="1">
        <v>1.0582010582010583E-3</v>
      </c>
      <c r="AF62">
        <v>172</v>
      </c>
      <c r="AG62" s="1">
        <v>8.4227433658653637E-4</v>
      </c>
      <c r="AH62">
        <v>-0.01</v>
      </c>
      <c r="AI62">
        <v>12</v>
      </c>
      <c r="AJ62" s="1">
        <v>1.0192814066083411E-3</v>
      </c>
    </row>
    <row r="63" spans="1:36" x14ac:dyDescent="0.3">
      <c r="A63" t="s">
        <v>60</v>
      </c>
      <c r="B63">
        <v>174861</v>
      </c>
      <c r="C63" t="s">
        <v>701</v>
      </c>
      <c r="E63">
        <v>234</v>
      </c>
      <c r="F63" s="1" t="s">
        <v>700</v>
      </c>
      <c r="G63">
        <v>257</v>
      </c>
      <c r="H63" s="1" t="s">
        <v>700</v>
      </c>
      <c r="I63" t="s">
        <v>700</v>
      </c>
      <c r="J63">
        <v>23</v>
      </c>
      <c r="K63" s="1" t="s">
        <v>700</v>
      </c>
      <c r="L63">
        <v>256</v>
      </c>
      <c r="M63" s="1" t="s">
        <v>700</v>
      </c>
      <c r="N63" t="s">
        <v>700</v>
      </c>
      <c r="O63">
        <v>-1</v>
      </c>
      <c r="P63" s="1" t="s">
        <v>700</v>
      </c>
      <c r="Q63">
        <v>268</v>
      </c>
      <c r="R63" s="1" t="s">
        <v>700</v>
      </c>
      <c r="S63" t="s">
        <v>700</v>
      </c>
      <c r="T63">
        <v>12</v>
      </c>
      <c r="U63" s="1" t="s">
        <v>700</v>
      </c>
      <c r="V63">
        <v>308</v>
      </c>
      <c r="Y63">
        <v>40</v>
      </c>
      <c r="AA63">
        <v>315</v>
      </c>
      <c r="AD63">
        <v>7</v>
      </c>
      <c r="AF63">
        <v>331</v>
      </c>
      <c r="AI63">
        <v>16</v>
      </c>
    </row>
    <row r="64" spans="1:36" x14ac:dyDescent="0.3">
      <c r="A64" t="s">
        <v>60</v>
      </c>
      <c r="B64">
        <v>174861</v>
      </c>
      <c r="C64" t="s">
        <v>702</v>
      </c>
      <c r="E64">
        <v>1704</v>
      </c>
      <c r="F64" s="1" t="s">
        <v>700</v>
      </c>
      <c r="G64">
        <v>1866</v>
      </c>
      <c r="H64" s="1" t="s">
        <v>700</v>
      </c>
      <c r="I64" t="s">
        <v>700</v>
      </c>
      <c r="J64">
        <v>162</v>
      </c>
      <c r="K64" s="1" t="s">
        <v>700</v>
      </c>
      <c r="L64">
        <v>2108</v>
      </c>
      <c r="M64" s="1" t="s">
        <v>700</v>
      </c>
      <c r="N64" t="s">
        <v>700</v>
      </c>
      <c r="O64">
        <v>242</v>
      </c>
      <c r="P64" s="1" t="s">
        <v>700</v>
      </c>
      <c r="Q64">
        <v>2220</v>
      </c>
      <c r="R64" s="1" t="s">
        <v>700</v>
      </c>
      <c r="S64" t="s">
        <v>700</v>
      </c>
      <c r="T64">
        <v>112</v>
      </c>
      <c r="U64" s="1" t="s">
        <v>700</v>
      </c>
      <c r="V64">
        <v>2657</v>
      </c>
      <c r="Y64">
        <v>437</v>
      </c>
      <c r="AA64">
        <v>2788</v>
      </c>
      <c r="AD64">
        <v>131</v>
      </c>
      <c r="AF64">
        <v>3022</v>
      </c>
      <c r="AI64">
        <v>234</v>
      </c>
    </row>
    <row r="65" spans="1:36" x14ac:dyDescent="0.3">
      <c r="A65" t="s">
        <v>54</v>
      </c>
      <c r="B65">
        <v>175344</v>
      </c>
      <c r="C65" t="s">
        <v>699</v>
      </c>
      <c r="E65">
        <v>115692</v>
      </c>
      <c r="F65" s="1" t="s">
        <v>700</v>
      </c>
      <c r="G65">
        <v>135916</v>
      </c>
      <c r="H65" s="1" t="s">
        <v>700</v>
      </c>
      <c r="I65" t="s">
        <v>700</v>
      </c>
      <c r="J65">
        <v>20224</v>
      </c>
      <c r="K65" s="1" t="s">
        <v>700</v>
      </c>
      <c r="L65">
        <v>161351</v>
      </c>
      <c r="M65" s="1" t="s">
        <v>700</v>
      </c>
      <c r="N65" t="s">
        <v>700</v>
      </c>
      <c r="O65">
        <v>25435</v>
      </c>
      <c r="P65" s="1" t="s">
        <v>700</v>
      </c>
      <c r="Q65">
        <v>180355</v>
      </c>
      <c r="R65" s="1" t="s">
        <v>700</v>
      </c>
      <c r="S65" t="s">
        <v>700</v>
      </c>
      <c r="T65">
        <v>19004</v>
      </c>
      <c r="U65" s="1" t="s">
        <v>700</v>
      </c>
      <c r="V65">
        <v>192660</v>
      </c>
      <c r="Y65">
        <v>12305</v>
      </c>
      <c r="AA65">
        <v>205029</v>
      </c>
      <c r="AD65">
        <v>12369</v>
      </c>
      <c r="AF65">
        <v>213145</v>
      </c>
      <c r="AI65">
        <v>8116</v>
      </c>
    </row>
    <row r="66" spans="1:36" x14ac:dyDescent="0.3">
      <c r="A66" t="s">
        <v>54</v>
      </c>
      <c r="B66">
        <v>175344</v>
      </c>
      <c r="C66" t="s">
        <v>347</v>
      </c>
      <c r="D66" t="s">
        <v>399</v>
      </c>
      <c r="E66">
        <v>74078</v>
      </c>
      <c r="F66" s="1">
        <v>0.60240000000000005</v>
      </c>
      <c r="G66">
        <v>86774</v>
      </c>
      <c r="H66" s="1">
        <v>0.60709999999999997</v>
      </c>
      <c r="I66">
        <v>0.47</v>
      </c>
      <c r="J66">
        <v>12696</v>
      </c>
      <c r="K66" s="1">
        <v>0.63580000000000003</v>
      </c>
      <c r="L66">
        <v>105695</v>
      </c>
      <c r="M66" s="1">
        <v>0.61031874350386883</v>
      </c>
      <c r="N66">
        <v>0.79</v>
      </c>
      <c r="O66">
        <v>18921</v>
      </c>
      <c r="P66" s="1">
        <v>0.62565306527346076</v>
      </c>
      <c r="Q66">
        <v>116632</v>
      </c>
      <c r="R66" s="1">
        <v>0.60774954665777348</v>
      </c>
      <c r="S66">
        <v>0.53</v>
      </c>
      <c r="T66">
        <v>10937</v>
      </c>
      <c r="U66" s="1">
        <v>0.58399188381033751</v>
      </c>
      <c r="V66">
        <v>123571</v>
      </c>
      <c r="W66" s="1">
        <v>0.60176090460630438</v>
      </c>
      <c r="X66">
        <v>-0.06</v>
      </c>
      <c r="Y66">
        <v>6939</v>
      </c>
      <c r="Z66" s="1">
        <v>0.51625623093519823</v>
      </c>
      <c r="AA66">
        <v>128704</v>
      </c>
      <c r="AB66" s="1">
        <v>0.59164188161094433</v>
      </c>
      <c r="AC66">
        <v>-1.08</v>
      </c>
      <c r="AD66">
        <v>5133</v>
      </c>
      <c r="AE66" s="1">
        <v>0.4211519527404004</v>
      </c>
      <c r="AF66">
        <v>132805</v>
      </c>
      <c r="AG66" s="1">
        <v>0.58773156548446204</v>
      </c>
      <c r="AH66">
        <v>-1.47</v>
      </c>
      <c r="AI66">
        <v>4101</v>
      </c>
      <c r="AJ66" s="1">
        <v>0.48676557863501485</v>
      </c>
    </row>
    <row r="67" spans="1:36" x14ac:dyDescent="0.3">
      <c r="A67" t="s">
        <v>54</v>
      </c>
      <c r="B67">
        <v>175344</v>
      </c>
      <c r="C67" t="s">
        <v>348</v>
      </c>
      <c r="D67" t="s">
        <v>400</v>
      </c>
      <c r="E67">
        <v>3762</v>
      </c>
      <c r="F67" s="1">
        <v>3.0600000000000002E-2</v>
      </c>
      <c r="G67">
        <v>4359</v>
      </c>
      <c r="H67" s="1">
        <v>3.0499999999999999E-2</v>
      </c>
      <c r="I67">
        <v>-0.01</v>
      </c>
      <c r="J67">
        <v>597</v>
      </c>
      <c r="K67" s="1">
        <v>2.9900000000000003E-2</v>
      </c>
      <c r="L67">
        <v>5362</v>
      </c>
      <c r="M67" s="1">
        <v>3.0962004850444626E-2</v>
      </c>
      <c r="N67">
        <v>0.04</v>
      </c>
      <c r="O67">
        <v>1003</v>
      </c>
      <c r="P67" s="1">
        <v>3.3165795912968719E-2</v>
      </c>
      <c r="Q67">
        <v>6020</v>
      </c>
      <c r="R67" s="1">
        <v>3.1369197740584033E-2</v>
      </c>
      <c r="S67">
        <v>0.08</v>
      </c>
      <c r="T67">
        <v>658</v>
      </c>
      <c r="U67" s="1">
        <v>3.5134557881247329E-2</v>
      </c>
      <c r="V67">
        <v>6482</v>
      </c>
      <c r="W67" s="1">
        <v>3.1565773390666622E-2</v>
      </c>
      <c r="X67">
        <v>0.1</v>
      </c>
      <c r="Y67">
        <v>462</v>
      </c>
      <c r="Z67" s="1">
        <v>3.4372442526597727E-2</v>
      </c>
      <c r="AA67">
        <v>6953</v>
      </c>
      <c r="AB67" s="1">
        <v>3.1962378813719043E-2</v>
      </c>
      <c r="AC67">
        <v>0.14000000000000001</v>
      </c>
      <c r="AD67">
        <v>471</v>
      </c>
      <c r="AE67" s="1">
        <v>3.8644568427961927E-2</v>
      </c>
      <c r="AF67">
        <v>7307</v>
      </c>
      <c r="AG67" s="1">
        <v>3.2337295651481225E-2</v>
      </c>
      <c r="AH67">
        <v>0.17</v>
      </c>
      <c r="AI67">
        <v>354</v>
      </c>
      <c r="AJ67" s="1">
        <v>4.2017804154302674E-2</v>
      </c>
    </row>
    <row r="68" spans="1:36" x14ac:dyDescent="0.3">
      <c r="A68" t="s">
        <v>54</v>
      </c>
      <c r="B68">
        <v>175344</v>
      </c>
      <c r="C68" t="s">
        <v>349</v>
      </c>
      <c r="D68" t="s">
        <v>401</v>
      </c>
      <c r="E68">
        <v>30892</v>
      </c>
      <c r="F68" s="1">
        <v>0.25120000000000003</v>
      </c>
      <c r="G68">
        <v>35369</v>
      </c>
      <c r="H68" s="1">
        <v>0.24739999999999998</v>
      </c>
      <c r="I68">
        <v>-0.38</v>
      </c>
      <c r="J68">
        <v>4477</v>
      </c>
      <c r="K68" s="1">
        <v>0.22420000000000001</v>
      </c>
      <c r="L68">
        <v>42062</v>
      </c>
      <c r="M68" s="1">
        <v>0.24288024021249566</v>
      </c>
      <c r="N68">
        <v>-0.83</v>
      </c>
      <c r="O68">
        <v>6693</v>
      </c>
      <c r="P68" s="1">
        <v>0.22131472786191389</v>
      </c>
      <c r="Q68">
        <v>46766</v>
      </c>
      <c r="R68" s="1">
        <v>0.24368968464055693</v>
      </c>
      <c r="S68">
        <v>-0.75</v>
      </c>
      <c r="T68">
        <v>4704</v>
      </c>
      <c r="U68" s="1">
        <v>0.25117471166168304</v>
      </c>
      <c r="V68">
        <v>51079</v>
      </c>
      <c r="W68" s="1">
        <v>0.24874238491543665</v>
      </c>
      <c r="X68">
        <v>-0.25</v>
      </c>
      <c r="Y68">
        <v>4313</v>
      </c>
      <c r="Z68" s="1">
        <v>0.32088386280782683</v>
      </c>
      <c r="AA68">
        <v>55449</v>
      </c>
      <c r="AB68" s="1">
        <v>0.25489456965941426</v>
      </c>
      <c r="AC68">
        <v>0.37</v>
      </c>
      <c r="AD68">
        <v>4370</v>
      </c>
      <c r="AE68" s="1">
        <v>0.3585493928454217</v>
      </c>
      <c r="AF68">
        <v>57700</v>
      </c>
      <c r="AG68" s="1">
        <v>0.2553526699179508</v>
      </c>
      <c r="AH68">
        <v>0.42</v>
      </c>
      <c r="AI68">
        <v>2251</v>
      </c>
      <c r="AJ68" s="1">
        <v>0.26718100890207713</v>
      </c>
    </row>
    <row r="69" spans="1:36" x14ac:dyDescent="0.3">
      <c r="A69" t="s">
        <v>54</v>
      </c>
      <c r="B69">
        <v>175344</v>
      </c>
      <c r="C69" t="s">
        <v>350</v>
      </c>
      <c r="D69" t="s">
        <v>405</v>
      </c>
      <c r="E69">
        <v>2707</v>
      </c>
      <c r="F69" s="1">
        <v>2.2000000000000002E-2</v>
      </c>
      <c r="G69">
        <v>3353</v>
      </c>
      <c r="H69" s="1">
        <v>2.35E-2</v>
      </c>
      <c r="I69">
        <v>0.15</v>
      </c>
      <c r="J69">
        <v>646</v>
      </c>
      <c r="K69" s="1">
        <v>3.2400000000000005E-2</v>
      </c>
      <c r="L69">
        <v>4444</v>
      </c>
      <c r="M69" s="1">
        <v>2.5661161796974245E-2</v>
      </c>
      <c r="N69">
        <v>0.37</v>
      </c>
      <c r="O69">
        <v>1091</v>
      </c>
      <c r="P69" s="1">
        <v>3.6075656371933072E-2</v>
      </c>
      <c r="Q69">
        <v>5021</v>
      </c>
      <c r="R69" s="1">
        <v>2.6163578381307711E-2</v>
      </c>
      <c r="S69">
        <v>0.42</v>
      </c>
      <c r="T69">
        <v>577</v>
      </c>
      <c r="U69" s="1">
        <v>3.0809483126868858E-2</v>
      </c>
      <c r="V69">
        <v>5432</v>
      </c>
      <c r="W69" s="1">
        <v>2.6452527161076995E-2</v>
      </c>
      <c r="X69">
        <v>0.45</v>
      </c>
      <c r="Y69">
        <v>411</v>
      </c>
      <c r="Z69" s="1">
        <v>3.0578081987947325E-2</v>
      </c>
      <c r="AA69">
        <v>5779</v>
      </c>
      <c r="AB69" s="1">
        <v>2.6565595737736571E-2</v>
      </c>
      <c r="AC69">
        <v>0.46</v>
      </c>
      <c r="AD69">
        <v>347</v>
      </c>
      <c r="AE69" s="1">
        <v>2.8470626846078109E-2</v>
      </c>
      <c r="AF69">
        <v>6044</v>
      </c>
      <c r="AG69" s="1">
        <v>2.6747860259689681E-2</v>
      </c>
      <c r="AH69">
        <v>0.47</v>
      </c>
      <c r="AI69">
        <v>265</v>
      </c>
      <c r="AJ69" s="1">
        <v>3.1454005934718102E-2</v>
      </c>
    </row>
    <row r="70" spans="1:36" x14ac:dyDescent="0.3">
      <c r="A70" t="s">
        <v>54</v>
      </c>
      <c r="B70">
        <v>175344</v>
      </c>
      <c r="C70" t="s">
        <v>351</v>
      </c>
      <c r="D70" t="s">
        <v>406</v>
      </c>
      <c r="E70">
        <v>11462</v>
      </c>
      <c r="F70" s="1">
        <v>9.3200000000000005E-2</v>
      </c>
      <c r="G70">
        <v>13000</v>
      </c>
      <c r="H70" s="1">
        <v>9.0899999999999995E-2</v>
      </c>
      <c r="I70">
        <v>-0.23</v>
      </c>
      <c r="J70">
        <v>1538</v>
      </c>
      <c r="K70" s="1">
        <v>7.6999999999999999E-2</v>
      </c>
      <c r="L70">
        <v>15514</v>
      </c>
      <c r="M70" s="1">
        <v>8.9583092735881747E-2</v>
      </c>
      <c r="N70">
        <v>-0.36</v>
      </c>
      <c r="O70">
        <v>2514</v>
      </c>
      <c r="P70" s="1">
        <v>8.3129422657231666E-2</v>
      </c>
      <c r="Q70">
        <v>17365</v>
      </c>
      <c r="R70" s="1">
        <v>9.0486066240073368E-2</v>
      </c>
      <c r="S70">
        <v>-0.27</v>
      </c>
      <c r="T70">
        <v>1851</v>
      </c>
      <c r="U70" s="1">
        <v>9.8835967535241348E-2</v>
      </c>
      <c r="V70">
        <v>18670</v>
      </c>
      <c r="W70" s="1">
        <v>9.0918387720417437E-2</v>
      </c>
      <c r="X70">
        <v>-0.23</v>
      </c>
      <c r="Y70">
        <v>1305</v>
      </c>
      <c r="Z70" s="1">
        <v>9.7090990253701367E-2</v>
      </c>
      <c r="AA70">
        <v>20535</v>
      </c>
      <c r="AB70" s="1">
        <v>9.4397734638245454E-2</v>
      </c>
      <c r="AC70">
        <v>0.12</v>
      </c>
      <c r="AD70">
        <v>1865</v>
      </c>
      <c r="AE70" s="1">
        <v>0.15301936330817198</v>
      </c>
      <c r="AF70">
        <v>21965</v>
      </c>
      <c r="AG70" s="1">
        <v>9.7206609960966889E-2</v>
      </c>
      <c r="AH70">
        <v>0.4</v>
      </c>
      <c r="AI70">
        <v>1430</v>
      </c>
      <c r="AJ70" s="1">
        <v>0.16973293768545994</v>
      </c>
    </row>
    <row r="71" spans="1:36" x14ac:dyDescent="0.3">
      <c r="A71" t="s">
        <v>54</v>
      </c>
      <c r="B71">
        <v>175344</v>
      </c>
      <c r="C71" t="s">
        <v>402</v>
      </c>
      <c r="E71">
        <v>68</v>
      </c>
      <c r="F71" s="1">
        <v>5.9999999999999995E-4</v>
      </c>
      <c r="G71">
        <v>83</v>
      </c>
      <c r="H71" s="1">
        <v>5.9999999999999995E-4</v>
      </c>
      <c r="I71">
        <v>0</v>
      </c>
      <c r="J71">
        <v>15</v>
      </c>
      <c r="K71" s="1">
        <v>8.0000000000000004E-4</v>
      </c>
      <c r="L71">
        <v>103</v>
      </c>
      <c r="M71" s="1">
        <v>5.9475690033491165E-4</v>
      </c>
      <c r="N71">
        <v>0</v>
      </c>
      <c r="O71">
        <v>20</v>
      </c>
      <c r="P71" s="1">
        <v>6.6133192249189865E-4</v>
      </c>
      <c r="Q71">
        <v>104</v>
      </c>
      <c r="R71" s="1">
        <v>5.4192633970444174E-4</v>
      </c>
      <c r="S71">
        <v>-0.01</v>
      </c>
      <c r="T71">
        <v>1</v>
      </c>
      <c r="U71" s="1">
        <v>5.339598462195643E-5</v>
      </c>
      <c r="V71">
        <v>115</v>
      </c>
      <c r="W71" s="1">
        <v>5.6002220609791139E-4</v>
      </c>
      <c r="X71">
        <v>0</v>
      </c>
      <c r="Y71">
        <v>11</v>
      </c>
      <c r="Z71" s="1">
        <v>8.183914887285172E-4</v>
      </c>
      <c r="AA71">
        <v>117</v>
      </c>
      <c r="AB71" s="1">
        <v>5.3783953994033195E-4</v>
      </c>
      <c r="AC71">
        <v>-0.01</v>
      </c>
      <c r="AD71">
        <v>2</v>
      </c>
      <c r="AE71" s="1">
        <v>1.6409583196586806E-4</v>
      </c>
      <c r="AF71">
        <v>141</v>
      </c>
      <c r="AG71" s="1">
        <v>6.2399872544941187E-4</v>
      </c>
      <c r="AH71">
        <v>0</v>
      </c>
      <c r="AI71">
        <v>24</v>
      </c>
      <c r="AJ71" s="1">
        <v>2.8486646884272999E-3</v>
      </c>
    </row>
    <row r="72" spans="1:36" x14ac:dyDescent="0.3">
      <c r="A72" t="s">
        <v>54</v>
      </c>
      <c r="B72">
        <v>175344</v>
      </c>
      <c r="C72" t="s">
        <v>701</v>
      </c>
      <c r="E72">
        <v>89</v>
      </c>
      <c r="F72" s="1" t="s">
        <v>700</v>
      </c>
      <c r="G72">
        <v>90</v>
      </c>
      <c r="H72" s="1" t="s">
        <v>700</v>
      </c>
      <c r="I72" t="s">
        <v>700</v>
      </c>
      <c r="J72">
        <v>1</v>
      </c>
      <c r="K72" s="1" t="s">
        <v>700</v>
      </c>
      <c r="L72">
        <v>117</v>
      </c>
      <c r="M72" s="1" t="s">
        <v>700</v>
      </c>
      <c r="N72" t="s">
        <v>700</v>
      </c>
      <c r="O72">
        <v>27</v>
      </c>
      <c r="P72" s="1" t="s">
        <v>700</v>
      </c>
      <c r="Q72">
        <v>146</v>
      </c>
      <c r="R72" s="1" t="s">
        <v>700</v>
      </c>
      <c r="S72" t="s">
        <v>700</v>
      </c>
      <c r="T72">
        <v>29</v>
      </c>
      <c r="U72" s="1" t="s">
        <v>700</v>
      </c>
      <c r="V72">
        <v>123</v>
      </c>
      <c r="Y72">
        <v>-23</v>
      </c>
      <c r="AA72">
        <v>141</v>
      </c>
      <c r="AD72">
        <v>18</v>
      </c>
      <c r="AF72">
        <v>116</v>
      </c>
      <c r="AI72">
        <v>-25</v>
      </c>
    </row>
    <row r="73" spans="1:36" x14ac:dyDescent="0.3">
      <c r="A73" t="s">
        <v>54</v>
      </c>
      <c r="B73">
        <v>175344</v>
      </c>
      <c r="C73" t="s">
        <v>702</v>
      </c>
      <c r="E73">
        <v>1524</v>
      </c>
      <c r="F73" s="1" t="s">
        <v>700</v>
      </c>
      <c r="G73">
        <v>1778</v>
      </c>
      <c r="H73" s="1" t="s">
        <v>700</v>
      </c>
      <c r="I73" t="s">
        <v>700</v>
      </c>
      <c r="J73">
        <v>254</v>
      </c>
      <c r="K73" s="1" t="s">
        <v>700</v>
      </c>
      <c r="L73">
        <v>2232</v>
      </c>
      <c r="M73" s="1" t="s">
        <v>700</v>
      </c>
      <c r="N73" t="s">
        <v>700</v>
      </c>
      <c r="O73">
        <v>454</v>
      </c>
      <c r="P73" s="1" t="s">
        <v>700</v>
      </c>
      <c r="Q73">
        <v>2479</v>
      </c>
      <c r="R73" s="1" t="s">
        <v>700</v>
      </c>
      <c r="S73" t="s">
        <v>700</v>
      </c>
      <c r="T73">
        <v>247</v>
      </c>
      <c r="U73" s="1" t="s">
        <v>700</v>
      </c>
      <c r="V73">
        <v>2614</v>
      </c>
      <c r="Y73">
        <v>135</v>
      </c>
      <c r="AA73">
        <v>2762</v>
      </c>
      <c r="AD73">
        <v>148</v>
      </c>
      <c r="AF73">
        <v>2976</v>
      </c>
      <c r="AI73">
        <v>214</v>
      </c>
    </row>
    <row r="74" spans="1:36" x14ac:dyDescent="0.3">
      <c r="A74" t="s">
        <v>49</v>
      </c>
      <c r="B74">
        <v>178590</v>
      </c>
      <c r="C74" t="s">
        <v>699</v>
      </c>
      <c r="E74">
        <v>103074</v>
      </c>
      <c r="F74" s="1" t="s">
        <v>700</v>
      </c>
      <c r="G74">
        <v>128406</v>
      </c>
      <c r="H74" s="1" t="s">
        <v>700</v>
      </c>
      <c r="I74" t="s">
        <v>700</v>
      </c>
      <c r="J74">
        <v>25332</v>
      </c>
      <c r="K74" s="1" t="s">
        <v>700</v>
      </c>
      <c r="L74">
        <v>166558</v>
      </c>
      <c r="M74" s="1" t="s">
        <v>700</v>
      </c>
      <c r="N74" t="s">
        <v>700</v>
      </c>
      <c r="O74">
        <v>38152</v>
      </c>
      <c r="P74" s="1" t="s">
        <v>700</v>
      </c>
      <c r="Q74">
        <v>204458</v>
      </c>
      <c r="R74" s="1" t="s">
        <v>700</v>
      </c>
      <c r="S74" t="s">
        <v>700</v>
      </c>
      <c r="T74">
        <v>37900</v>
      </c>
      <c r="U74" s="1" t="s">
        <v>700</v>
      </c>
      <c r="V74">
        <v>218354</v>
      </c>
      <c r="Y74">
        <v>13896</v>
      </c>
      <c r="AA74">
        <v>219033</v>
      </c>
      <c r="AD74">
        <v>679</v>
      </c>
      <c r="AF74">
        <v>221294</v>
      </c>
      <c r="AI74">
        <v>2261</v>
      </c>
    </row>
    <row r="75" spans="1:36" x14ac:dyDescent="0.3">
      <c r="A75" t="s">
        <v>49</v>
      </c>
      <c r="B75">
        <v>178590</v>
      </c>
      <c r="C75" t="s">
        <v>353</v>
      </c>
      <c r="D75" t="s">
        <v>407</v>
      </c>
      <c r="E75">
        <v>2446</v>
      </c>
      <c r="F75" s="1">
        <v>2.4300000000000002E-2</v>
      </c>
      <c r="G75">
        <v>2905</v>
      </c>
      <c r="H75" s="1">
        <v>2.3199999999999998E-2</v>
      </c>
      <c r="I75">
        <v>-0.11</v>
      </c>
      <c r="J75">
        <v>459</v>
      </c>
      <c r="K75" s="1">
        <v>1.8500000000000003E-2</v>
      </c>
      <c r="L75">
        <v>3516</v>
      </c>
      <c r="M75" s="1">
        <v>2.1586841604400869E-2</v>
      </c>
      <c r="N75">
        <v>-0.27</v>
      </c>
      <c r="O75">
        <v>611</v>
      </c>
      <c r="P75" s="1">
        <v>1.6320752197024335E-2</v>
      </c>
      <c r="Q75">
        <v>3975</v>
      </c>
      <c r="R75" s="1">
        <v>1.9874105665245063E-2</v>
      </c>
      <c r="S75">
        <v>-0.44</v>
      </c>
      <c r="T75">
        <v>459</v>
      </c>
      <c r="U75" s="1">
        <v>1.2361305612409782E-2</v>
      </c>
      <c r="V75">
        <v>4249</v>
      </c>
      <c r="W75" s="1">
        <v>1.989111149602318E-2</v>
      </c>
      <c r="X75">
        <v>-0.44</v>
      </c>
      <c r="Y75">
        <v>274</v>
      </c>
      <c r="Z75" s="1">
        <v>2.0141134960305791E-2</v>
      </c>
      <c r="AA75">
        <v>4266</v>
      </c>
      <c r="AB75" s="1">
        <v>1.9890430120060615E-2</v>
      </c>
      <c r="AC75">
        <v>-0.44</v>
      </c>
      <c r="AD75">
        <v>17</v>
      </c>
      <c r="AE75" s="1">
        <v>1.9721577726218097E-2</v>
      </c>
      <c r="AF75">
        <v>4294</v>
      </c>
      <c r="AG75" s="1">
        <v>1.9811664613524897E-2</v>
      </c>
      <c r="AH75">
        <v>-0.45</v>
      </c>
      <c r="AI75">
        <v>28</v>
      </c>
      <c r="AJ75" s="1">
        <v>1.2356575463371581E-2</v>
      </c>
    </row>
    <row r="76" spans="1:36" x14ac:dyDescent="0.3">
      <c r="A76" t="s">
        <v>49</v>
      </c>
      <c r="B76">
        <v>178590</v>
      </c>
      <c r="C76" t="s">
        <v>354</v>
      </c>
      <c r="D76" t="s">
        <v>399</v>
      </c>
      <c r="E76">
        <v>83539</v>
      </c>
      <c r="F76" s="1">
        <v>0.82980000000000009</v>
      </c>
      <c r="G76">
        <v>104661</v>
      </c>
      <c r="H76" s="1">
        <v>0.83440000000000003</v>
      </c>
      <c r="I76">
        <v>0.46</v>
      </c>
      <c r="J76">
        <v>21122</v>
      </c>
      <c r="K76" s="1">
        <v>0.8528</v>
      </c>
      <c r="L76">
        <v>136432</v>
      </c>
      <c r="M76" s="1">
        <v>0.83763821779625114</v>
      </c>
      <c r="N76">
        <v>0.78</v>
      </c>
      <c r="O76">
        <v>31771</v>
      </c>
      <c r="P76" s="1">
        <v>0.84865240270320808</v>
      </c>
      <c r="Q76">
        <v>168907</v>
      </c>
      <c r="R76" s="1">
        <v>0.84449699763510644</v>
      </c>
      <c r="S76">
        <v>1.47</v>
      </c>
      <c r="T76">
        <v>32475</v>
      </c>
      <c r="U76" s="1">
        <v>0.87458257028977704</v>
      </c>
      <c r="V76">
        <v>180279</v>
      </c>
      <c r="W76" s="1">
        <v>0.84395144490269791</v>
      </c>
      <c r="X76">
        <v>1.42</v>
      </c>
      <c r="Y76">
        <v>11372</v>
      </c>
      <c r="Z76" s="1">
        <v>0.83593060864451629</v>
      </c>
      <c r="AA76">
        <v>180901</v>
      </c>
      <c r="AB76" s="1">
        <v>0.84345961067723507</v>
      </c>
      <c r="AC76">
        <v>1.37</v>
      </c>
      <c r="AD76">
        <v>622</v>
      </c>
      <c r="AE76" s="1">
        <v>0.72157772621809746</v>
      </c>
      <c r="AF76">
        <v>182844</v>
      </c>
      <c r="AG76" s="1">
        <v>0.84360596287735135</v>
      </c>
      <c r="AH76">
        <v>1.38</v>
      </c>
      <c r="AI76">
        <v>1943</v>
      </c>
      <c r="AJ76" s="1">
        <v>0.85745807590467782</v>
      </c>
    </row>
    <row r="77" spans="1:36" x14ac:dyDescent="0.3">
      <c r="A77" t="s">
        <v>49</v>
      </c>
      <c r="B77">
        <v>178590</v>
      </c>
      <c r="C77" t="s">
        <v>355</v>
      </c>
      <c r="D77" t="s">
        <v>401</v>
      </c>
      <c r="E77">
        <v>10824</v>
      </c>
      <c r="F77" s="1">
        <v>0.1075</v>
      </c>
      <c r="G77">
        <v>13261</v>
      </c>
      <c r="H77" s="1">
        <v>0.1057</v>
      </c>
      <c r="I77">
        <v>-0.18</v>
      </c>
      <c r="J77">
        <v>2437</v>
      </c>
      <c r="K77" s="1">
        <v>9.8400000000000001E-2</v>
      </c>
      <c r="L77">
        <v>16757</v>
      </c>
      <c r="M77" s="1">
        <v>0.10288131534839173</v>
      </c>
      <c r="N77">
        <v>-0.46</v>
      </c>
      <c r="O77">
        <v>3496</v>
      </c>
      <c r="P77" s="1">
        <v>9.3383551032401105E-2</v>
      </c>
      <c r="Q77">
        <v>19593</v>
      </c>
      <c r="R77" s="1">
        <v>9.7960591773370201E-2</v>
      </c>
      <c r="S77">
        <v>-0.95</v>
      </c>
      <c r="T77">
        <v>2836</v>
      </c>
      <c r="U77" s="1">
        <v>7.6376171496283535E-2</v>
      </c>
      <c r="V77">
        <v>20968</v>
      </c>
      <c r="W77" s="1">
        <v>9.8158819922008492E-2</v>
      </c>
      <c r="X77">
        <v>-0.93</v>
      </c>
      <c r="Y77">
        <v>1375</v>
      </c>
      <c r="Z77" s="1">
        <v>0.10107321376065863</v>
      </c>
      <c r="AA77">
        <v>21122</v>
      </c>
      <c r="AB77" s="1">
        <v>9.8482340599137422E-2</v>
      </c>
      <c r="AC77">
        <v>-0.9</v>
      </c>
      <c r="AD77">
        <v>154</v>
      </c>
      <c r="AE77" s="1">
        <v>0.17865429234338748</v>
      </c>
      <c r="AF77">
        <v>21282</v>
      </c>
      <c r="AG77" s="1">
        <v>9.8190928343045381E-2</v>
      </c>
      <c r="AH77">
        <v>-0.93</v>
      </c>
      <c r="AI77">
        <v>160</v>
      </c>
      <c r="AJ77" s="1">
        <v>7.0609002647837593E-2</v>
      </c>
    </row>
    <row r="78" spans="1:36" x14ac:dyDescent="0.3">
      <c r="A78" t="s">
        <v>49</v>
      </c>
      <c r="B78">
        <v>178590</v>
      </c>
      <c r="C78" t="s">
        <v>356</v>
      </c>
      <c r="D78" t="s">
        <v>399</v>
      </c>
      <c r="E78">
        <v>3440</v>
      </c>
      <c r="F78" s="1">
        <v>3.4200000000000001E-2</v>
      </c>
      <c r="G78">
        <v>4137</v>
      </c>
      <c r="H78" s="1">
        <v>3.3000000000000002E-2</v>
      </c>
      <c r="I78">
        <v>-0.12</v>
      </c>
      <c r="J78">
        <v>697</v>
      </c>
      <c r="K78" s="1">
        <v>2.81E-2</v>
      </c>
      <c r="L78">
        <v>5561</v>
      </c>
      <c r="M78" s="1">
        <v>3.4142328259975319E-2</v>
      </c>
      <c r="N78">
        <v>-0.01</v>
      </c>
      <c r="O78">
        <v>1424</v>
      </c>
      <c r="P78" s="1">
        <v>3.8037235889627909E-2</v>
      </c>
      <c r="Q78">
        <v>6774</v>
      </c>
      <c r="R78" s="1">
        <v>3.3868475918583663E-2</v>
      </c>
      <c r="S78">
        <v>-0.03</v>
      </c>
      <c r="T78">
        <v>1213</v>
      </c>
      <c r="U78" s="1">
        <v>3.2667241193579659E-2</v>
      </c>
      <c r="V78">
        <v>7338</v>
      </c>
      <c r="W78" s="1">
        <v>3.4351841882282443E-2</v>
      </c>
      <c r="X78">
        <v>0.02</v>
      </c>
      <c r="Y78">
        <v>564</v>
      </c>
      <c r="Z78" s="1">
        <v>4.1458394589826524E-2</v>
      </c>
      <c r="AA78">
        <v>7397</v>
      </c>
      <c r="AB78" s="1">
        <v>3.4488868166452968E-2</v>
      </c>
      <c r="AC78">
        <v>0.03</v>
      </c>
      <c r="AD78">
        <v>59</v>
      </c>
      <c r="AE78" s="1">
        <v>6.8445475638051048E-2</v>
      </c>
      <c r="AF78">
        <v>7519</v>
      </c>
      <c r="AG78" s="1">
        <v>3.4691175181437751E-2</v>
      </c>
      <c r="AH78">
        <v>0.05</v>
      </c>
      <c r="AI78">
        <v>122</v>
      </c>
      <c r="AJ78" s="1">
        <v>5.3839364518976168E-2</v>
      </c>
    </row>
    <row r="79" spans="1:36" x14ac:dyDescent="0.3">
      <c r="A79" t="s">
        <v>49</v>
      </c>
      <c r="B79">
        <v>178590</v>
      </c>
      <c r="C79" t="s">
        <v>404</v>
      </c>
      <c r="E79">
        <v>423</v>
      </c>
      <c r="F79" s="1">
        <v>4.1999999999999997E-3</v>
      </c>
      <c r="G79">
        <v>476</v>
      </c>
      <c r="H79" s="1">
        <v>3.8E-3</v>
      </c>
      <c r="I79">
        <v>-0.04</v>
      </c>
      <c r="J79">
        <v>53</v>
      </c>
      <c r="K79" s="1">
        <v>2.0999999999999999E-3</v>
      </c>
      <c r="L79">
        <v>611</v>
      </c>
      <c r="M79" s="1">
        <v>3.7512969909809244E-3</v>
      </c>
      <c r="N79">
        <v>-0.04</v>
      </c>
      <c r="O79">
        <v>135</v>
      </c>
      <c r="P79" s="1">
        <v>3.6060581777386008E-3</v>
      </c>
      <c r="Q79">
        <v>760</v>
      </c>
      <c r="R79" s="1">
        <v>3.7998290076946537E-3</v>
      </c>
      <c r="S79">
        <v>-0.04</v>
      </c>
      <c r="T79">
        <v>149</v>
      </c>
      <c r="U79" s="1">
        <v>4.0127114079500162E-3</v>
      </c>
      <c r="V79">
        <v>779</v>
      </c>
      <c r="W79" s="1">
        <v>3.6467817969880112E-3</v>
      </c>
      <c r="X79">
        <v>-0.06</v>
      </c>
      <c r="Y79">
        <v>19</v>
      </c>
      <c r="Z79" s="1">
        <v>1.3966480446927375E-3</v>
      </c>
      <c r="AA79">
        <v>789</v>
      </c>
      <c r="AB79" s="1">
        <v>3.6787504371138826E-3</v>
      </c>
      <c r="AC79">
        <v>-0.05</v>
      </c>
      <c r="AD79">
        <v>10</v>
      </c>
      <c r="AE79" s="1">
        <v>1.1600928074245939E-2</v>
      </c>
      <c r="AF79">
        <v>802</v>
      </c>
      <c r="AG79" s="1">
        <v>3.7002689846406542E-3</v>
      </c>
      <c r="AH79">
        <v>-0.05</v>
      </c>
      <c r="AI79">
        <v>13</v>
      </c>
      <c r="AJ79" s="1">
        <v>5.7369814651368053E-3</v>
      </c>
    </row>
    <row r="80" spans="1:36" x14ac:dyDescent="0.3">
      <c r="A80" t="s">
        <v>49</v>
      </c>
      <c r="B80">
        <v>178590</v>
      </c>
      <c r="C80" t="s">
        <v>701</v>
      </c>
      <c r="E80">
        <v>0</v>
      </c>
      <c r="F80" s="1" t="s">
        <v>700</v>
      </c>
      <c r="G80">
        <v>0</v>
      </c>
      <c r="H80" s="1" t="s">
        <v>700</v>
      </c>
      <c r="I80" t="s">
        <v>700</v>
      </c>
      <c r="J80" t="s">
        <v>700</v>
      </c>
      <c r="K80" s="1" t="s">
        <v>700</v>
      </c>
      <c r="L80">
        <v>0</v>
      </c>
      <c r="M80" s="1" t="s">
        <v>700</v>
      </c>
      <c r="N80" t="s">
        <v>700</v>
      </c>
      <c r="O80" t="s">
        <v>700</v>
      </c>
      <c r="P80" s="1" t="s">
        <v>700</v>
      </c>
      <c r="Q80">
        <v>0</v>
      </c>
      <c r="R80" s="1" t="s">
        <v>700</v>
      </c>
      <c r="S80" t="s">
        <v>700</v>
      </c>
      <c r="T80" t="s">
        <v>700</v>
      </c>
      <c r="U80" s="1" t="s">
        <v>700</v>
      </c>
      <c r="V80">
        <v>0</v>
      </c>
      <c r="AA80">
        <v>0</v>
      </c>
      <c r="AF80">
        <v>0</v>
      </c>
    </row>
    <row r="81" spans="1:36" x14ac:dyDescent="0.3">
      <c r="A81" t="s">
        <v>49</v>
      </c>
      <c r="B81">
        <v>178590</v>
      </c>
      <c r="C81" t="s">
        <v>702</v>
      </c>
      <c r="E81">
        <v>0</v>
      </c>
      <c r="F81" s="1" t="s">
        <v>700</v>
      </c>
      <c r="G81">
        <v>0</v>
      </c>
      <c r="H81" s="1" t="s">
        <v>700</v>
      </c>
      <c r="I81" t="s">
        <v>700</v>
      </c>
      <c r="J81" t="s">
        <v>700</v>
      </c>
      <c r="K81" s="1" t="s">
        <v>700</v>
      </c>
      <c r="L81">
        <v>0</v>
      </c>
      <c r="M81" s="1" t="s">
        <v>700</v>
      </c>
      <c r="N81" t="s">
        <v>700</v>
      </c>
      <c r="O81" t="s">
        <v>700</v>
      </c>
      <c r="P81" s="1" t="s">
        <v>700</v>
      </c>
      <c r="Q81">
        <v>0</v>
      </c>
      <c r="R81" s="1" t="s">
        <v>700</v>
      </c>
      <c r="S81" t="s">
        <v>700</v>
      </c>
      <c r="T81" t="s">
        <v>700</v>
      </c>
      <c r="U81" s="1" t="s">
        <v>700</v>
      </c>
      <c r="V81">
        <v>0</v>
      </c>
      <c r="AA81">
        <v>0</v>
      </c>
      <c r="AF81">
        <v>0</v>
      </c>
    </row>
    <row r="82" spans="1:36" x14ac:dyDescent="0.3">
      <c r="A82" t="s">
        <v>58</v>
      </c>
      <c r="B82">
        <v>180108</v>
      </c>
      <c r="C82" t="s">
        <v>699</v>
      </c>
      <c r="E82">
        <v>111573</v>
      </c>
      <c r="F82" s="1" t="s">
        <v>700</v>
      </c>
      <c r="G82">
        <v>137605</v>
      </c>
      <c r="H82" s="1" t="s">
        <v>700</v>
      </c>
      <c r="I82" t="s">
        <v>700</v>
      </c>
      <c r="J82">
        <v>26032</v>
      </c>
      <c r="K82" s="1" t="s">
        <v>700</v>
      </c>
      <c r="L82">
        <v>163288</v>
      </c>
      <c r="M82" s="1" t="s">
        <v>700</v>
      </c>
      <c r="N82" t="s">
        <v>700</v>
      </c>
      <c r="O82">
        <v>25683</v>
      </c>
      <c r="P82" s="1" t="s">
        <v>700</v>
      </c>
      <c r="Q82">
        <v>183242</v>
      </c>
      <c r="R82" s="1" t="s">
        <v>700</v>
      </c>
      <c r="S82" t="s">
        <v>700</v>
      </c>
      <c r="T82">
        <v>19954</v>
      </c>
      <c r="U82" s="1" t="s">
        <v>700</v>
      </c>
      <c r="V82">
        <v>189509</v>
      </c>
      <c r="Y82">
        <v>6267</v>
      </c>
      <c r="AA82">
        <v>193063</v>
      </c>
      <c r="AD82">
        <v>3554</v>
      </c>
      <c r="AF82">
        <v>194321</v>
      </c>
      <c r="AI82">
        <v>1258</v>
      </c>
    </row>
    <row r="83" spans="1:36" x14ac:dyDescent="0.3">
      <c r="A83" t="s">
        <v>58</v>
      </c>
      <c r="B83">
        <v>180108</v>
      </c>
      <c r="C83" t="s">
        <v>358</v>
      </c>
      <c r="D83" t="s">
        <v>399</v>
      </c>
      <c r="E83">
        <v>59340</v>
      </c>
      <c r="F83" s="1">
        <v>0.54</v>
      </c>
      <c r="G83">
        <v>72652</v>
      </c>
      <c r="H83" s="1">
        <v>0.53610000000000002</v>
      </c>
      <c r="I83">
        <v>-0.39</v>
      </c>
      <c r="J83">
        <v>13312</v>
      </c>
      <c r="K83" s="1">
        <v>0.51929999999999998</v>
      </c>
      <c r="L83">
        <v>85071</v>
      </c>
      <c r="M83" s="1">
        <v>0.52927232909439315</v>
      </c>
      <c r="N83">
        <v>-1.07</v>
      </c>
      <c r="O83">
        <v>12419</v>
      </c>
      <c r="P83" s="1">
        <v>0.49256336017134017</v>
      </c>
      <c r="Q83">
        <v>96559</v>
      </c>
      <c r="R83" s="1">
        <v>0.53519307833432173</v>
      </c>
      <c r="S83">
        <v>-0.48</v>
      </c>
      <c r="T83">
        <v>11488</v>
      </c>
      <c r="U83" s="1">
        <v>0.58353228018489356</v>
      </c>
      <c r="V83">
        <v>100586</v>
      </c>
      <c r="W83" s="1">
        <v>0.53852372564661288</v>
      </c>
      <c r="X83">
        <v>-0.15</v>
      </c>
      <c r="Y83">
        <v>4027</v>
      </c>
      <c r="Z83" s="1">
        <v>0.63297705124174786</v>
      </c>
      <c r="AA83">
        <v>102155</v>
      </c>
      <c r="AB83" s="1">
        <v>0.53678773356874121</v>
      </c>
      <c r="AC83">
        <v>-0.32</v>
      </c>
      <c r="AD83">
        <v>1569</v>
      </c>
      <c r="AE83" s="1">
        <v>0.44485398355542954</v>
      </c>
      <c r="AF83">
        <v>102853</v>
      </c>
      <c r="AG83" s="1">
        <v>0.53685309392697755</v>
      </c>
      <c r="AH83">
        <v>-0.31</v>
      </c>
      <c r="AI83">
        <v>698</v>
      </c>
      <c r="AJ83" s="1">
        <v>0.5465935787000783</v>
      </c>
    </row>
    <row r="84" spans="1:36" x14ac:dyDescent="0.3">
      <c r="A84" t="s">
        <v>58</v>
      </c>
      <c r="B84">
        <v>180108</v>
      </c>
      <c r="C84" t="s">
        <v>359</v>
      </c>
      <c r="D84" t="s">
        <v>401</v>
      </c>
      <c r="E84">
        <v>16199</v>
      </c>
      <c r="F84" s="1">
        <v>0.1474</v>
      </c>
      <c r="G84">
        <v>20538</v>
      </c>
      <c r="H84" s="1">
        <v>0.15160000000000001</v>
      </c>
      <c r="I84">
        <v>0.42</v>
      </c>
      <c r="J84">
        <v>4339</v>
      </c>
      <c r="K84" s="1">
        <v>0.16930000000000001</v>
      </c>
      <c r="L84">
        <v>24574</v>
      </c>
      <c r="M84" s="1">
        <v>0.15288803722967423</v>
      </c>
      <c r="N84">
        <v>0.55000000000000004</v>
      </c>
      <c r="O84">
        <v>4036</v>
      </c>
      <c r="P84" s="1">
        <v>0.16007615119184548</v>
      </c>
      <c r="Q84">
        <v>26985</v>
      </c>
      <c r="R84" s="1">
        <v>0.14956850442580882</v>
      </c>
      <c r="S84">
        <v>0.22</v>
      </c>
      <c r="T84">
        <v>2411</v>
      </c>
      <c r="U84" s="1">
        <v>0.12246660232640828</v>
      </c>
      <c r="V84">
        <v>27653</v>
      </c>
      <c r="W84" s="1">
        <v>0.14805039056435076</v>
      </c>
      <c r="X84">
        <v>7.0000000000000007E-2</v>
      </c>
      <c r="Y84">
        <v>668</v>
      </c>
      <c r="Z84" s="1">
        <v>0.104998428167243</v>
      </c>
      <c r="AA84">
        <v>28182</v>
      </c>
      <c r="AB84" s="1">
        <v>0.14808626016772811</v>
      </c>
      <c r="AC84">
        <v>7.0000000000000007E-2</v>
      </c>
      <c r="AD84">
        <v>529</v>
      </c>
      <c r="AE84" s="1">
        <v>0.1499858236461582</v>
      </c>
      <c r="AF84">
        <v>28340</v>
      </c>
      <c r="AG84" s="1">
        <v>0.14792389800871675</v>
      </c>
      <c r="AH84">
        <v>0.05</v>
      </c>
      <c r="AI84">
        <v>158</v>
      </c>
      <c r="AJ84" s="1">
        <v>0.12372748629600626</v>
      </c>
    </row>
    <row r="85" spans="1:36" x14ac:dyDescent="0.3">
      <c r="A85" t="s">
        <v>58</v>
      </c>
      <c r="B85">
        <v>180108</v>
      </c>
      <c r="C85" t="s">
        <v>360</v>
      </c>
      <c r="D85" t="s">
        <v>401</v>
      </c>
      <c r="E85">
        <v>16206</v>
      </c>
      <c r="F85" s="1">
        <v>0.14749999999999999</v>
      </c>
      <c r="G85">
        <v>20628</v>
      </c>
      <c r="H85" s="1">
        <v>0.1522</v>
      </c>
      <c r="I85">
        <v>0.47</v>
      </c>
      <c r="J85">
        <v>4422</v>
      </c>
      <c r="K85" s="1">
        <v>0.17249999999999999</v>
      </c>
      <c r="L85">
        <v>25192</v>
      </c>
      <c r="M85" s="1">
        <v>0.15673294676853397</v>
      </c>
      <c r="N85">
        <v>0.92</v>
      </c>
      <c r="O85">
        <v>4564</v>
      </c>
      <c r="P85" s="1">
        <v>0.18101772894935153</v>
      </c>
      <c r="Q85">
        <v>28445</v>
      </c>
      <c r="R85" s="1">
        <v>0.15766077852110919</v>
      </c>
      <c r="S85">
        <v>1.02</v>
      </c>
      <c r="T85">
        <v>3253</v>
      </c>
      <c r="U85" s="1">
        <v>0.16523594250012699</v>
      </c>
      <c r="V85">
        <v>29427</v>
      </c>
      <c r="W85" s="1">
        <v>0.15754814461856398</v>
      </c>
      <c r="X85">
        <v>1</v>
      </c>
      <c r="Y85">
        <v>982</v>
      </c>
      <c r="Z85" s="1">
        <v>0.1543539767368752</v>
      </c>
      <c r="AA85">
        <v>30119</v>
      </c>
      <c r="AB85" s="1">
        <v>0.15826449755133784</v>
      </c>
      <c r="AC85">
        <v>1.08</v>
      </c>
      <c r="AD85">
        <v>692</v>
      </c>
      <c r="AE85" s="1">
        <v>0.19620073717039976</v>
      </c>
      <c r="AF85">
        <v>30324</v>
      </c>
      <c r="AG85" s="1">
        <v>0.15827961479238981</v>
      </c>
      <c r="AH85">
        <v>1.08</v>
      </c>
      <c r="AI85">
        <v>205</v>
      </c>
      <c r="AJ85" s="1">
        <v>0.16053249804228661</v>
      </c>
    </row>
    <row r="86" spans="1:36" x14ac:dyDescent="0.3">
      <c r="A86" t="s">
        <v>58</v>
      </c>
      <c r="B86">
        <v>180108</v>
      </c>
      <c r="C86" t="s">
        <v>361</v>
      </c>
      <c r="D86" t="s">
        <v>399</v>
      </c>
      <c r="E86">
        <v>2417</v>
      </c>
      <c r="F86" s="1">
        <v>2.2000000000000002E-2</v>
      </c>
      <c r="G86">
        <v>3011</v>
      </c>
      <c r="H86" s="1">
        <v>2.2200000000000001E-2</v>
      </c>
      <c r="I86">
        <v>0.02</v>
      </c>
      <c r="J86">
        <v>594</v>
      </c>
      <c r="K86" s="1">
        <v>2.3199999999999998E-2</v>
      </c>
      <c r="L86">
        <v>3772</v>
      </c>
      <c r="M86" s="1">
        <v>2.3467635567279696E-2</v>
      </c>
      <c r="N86">
        <v>0.15</v>
      </c>
      <c r="O86">
        <v>761</v>
      </c>
      <c r="P86" s="1">
        <v>3.0182842184587316E-2</v>
      </c>
      <c r="Q86">
        <v>4368</v>
      </c>
      <c r="R86" s="1">
        <v>2.4210310444021971E-2</v>
      </c>
      <c r="S86">
        <v>0.22</v>
      </c>
      <c r="T86">
        <v>596</v>
      </c>
      <c r="U86" s="1">
        <v>3.0273784731040788E-2</v>
      </c>
      <c r="V86">
        <v>4596</v>
      </c>
      <c r="W86" s="1">
        <v>2.4606357177657256E-2</v>
      </c>
      <c r="X86">
        <v>0.26</v>
      </c>
      <c r="Y86">
        <v>228</v>
      </c>
      <c r="Z86" s="1">
        <v>3.5837786859478152E-2</v>
      </c>
      <c r="AA86">
        <v>4712</v>
      </c>
      <c r="AB86" s="1">
        <v>2.4759862958992792E-2</v>
      </c>
      <c r="AC86">
        <v>0.28000000000000003</v>
      </c>
      <c r="AD86">
        <v>116</v>
      </c>
      <c r="AE86" s="1">
        <v>3.2889140912957186E-2</v>
      </c>
      <c r="AF86">
        <v>4777</v>
      </c>
      <c r="AG86" s="1">
        <v>2.4934102356656315E-2</v>
      </c>
      <c r="AH86">
        <v>0.28999999999999998</v>
      </c>
      <c r="AI86">
        <v>65</v>
      </c>
      <c r="AJ86" s="1">
        <v>5.0900548159749412E-2</v>
      </c>
    </row>
    <row r="87" spans="1:36" x14ac:dyDescent="0.3">
      <c r="A87" t="s">
        <v>58</v>
      </c>
      <c r="B87">
        <v>180108</v>
      </c>
      <c r="C87" t="s">
        <v>362</v>
      </c>
      <c r="D87" t="s">
        <v>401</v>
      </c>
      <c r="E87">
        <v>2635</v>
      </c>
      <c r="F87" s="1">
        <v>2.4E-2</v>
      </c>
      <c r="G87">
        <v>3244</v>
      </c>
      <c r="H87" s="1">
        <v>2.3900000000000001E-2</v>
      </c>
      <c r="I87">
        <v>-0.01</v>
      </c>
      <c r="J87">
        <v>609</v>
      </c>
      <c r="K87" s="1">
        <v>2.3799999999999998E-2</v>
      </c>
      <c r="L87">
        <v>3935</v>
      </c>
      <c r="M87" s="1">
        <v>2.4481746011995122E-2</v>
      </c>
      <c r="N87">
        <v>0.05</v>
      </c>
      <c r="O87">
        <v>691</v>
      </c>
      <c r="P87" s="1">
        <v>2.7406496648554317E-2</v>
      </c>
      <c r="Q87">
        <v>4284</v>
      </c>
      <c r="R87" s="1">
        <v>2.3744727550867702E-2</v>
      </c>
      <c r="S87">
        <v>-0.03</v>
      </c>
      <c r="T87">
        <v>349</v>
      </c>
      <c r="U87" s="1">
        <v>1.7727434347538984E-2</v>
      </c>
      <c r="V87">
        <v>4396</v>
      </c>
      <c r="W87" s="1">
        <v>2.3535584454521606E-2</v>
      </c>
      <c r="X87">
        <v>-0.05</v>
      </c>
      <c r="Y87">
        <v>112</v>
      </c>
      <c r="Z87" s="1">
        <v>1.7604526878340146E-2</v>
      </c>
      <c r="AA87">
        <v>4514</v>
      </c>
      <c r="AB87" s="1">
        <v>2.3719444269289784E-2</v>
      </c>
      <c r="AC87">
        <v>-0.03</v>
      </c>
      <c r="AD87">
        <v>118</v>
      </c>
      <c r="AE87" s="1">
        <v>3.3456195066628863E-2</v>
      </c>
      <c r="AF87">
        <v>4549</v>
      </c>
      <c r="AG87" s="1">
        <v>2.3744030064984212E-2</v>
      </c>
      <c r="AH87">
        <v>-0.03</v>
      </c>
      <c r="AI87">
        <v>35</v>
      </c>
      <c r="AJ87" s="1">
        <v>2.7407987470634301E-2</v>
      </c>
    </row>
    <row r="88" spans="1:36" x14ac:dyDescent="0.3">
      <c r="A88" t="s">
        <v>58</v>
      </c>
      <c r="B88">
        <v>180108</v>
      </c>
      <c r="C88" t="s">
        <v>363</v>
      </c>
      <c r="D88" t="s">
        <v>401</v>
      </c>
      <c r="E88">
        <v>12923</v>
      </c>
      <c r="F88" s="1">
        <v>0.1176</v>
      </c>
      <c r="G88">
        <v>15236</v>
      </c>
      <c r="H88" s="1">
        <v>0.1124</v>
      </c>
      <c r="I88">
        <v>-0.52</v>
      </c>
      <c r="J88">
        <v>2313</v>
      </c>
      <c r="K88" s="1">
        <v>9.0200000000000002E-2</v>
      </c>
      <c r="L88">
        <v>17918</v>
      </c>
      <c r="M88" s="1">
        <v>0.1114774904810492</v>
      </c>
      <c r="N88">
        <v>-0.61</v>
      </c>
      <c r="O88">
        <v>2682</v>
      </c>
      <c r="P88" s="1">
        <v>0.10637369610915004</v>
      </c>
      <c r="Q88">
        <v>19463</v>
      </c>
      <c r="R88" s="1">
        <v>0.10787666487454203</v>
      </c>
      <c r="S88">
        <v>-0.97</v>
      </c>
      <c r="T88">
        <v>1545</v>
      </c>
      <c r="U88" s="1">
        <v>7.8478183572916138E-2</v>
      </c>
      <c r="V88">
        <v>19785</v>
      </c>
      <c r="W88" s="1">
        <v>0.10592619163619425</v>
      </c>
      <c r="X88">
        <v>-1.17</v>
      </c>
      <c r="Y88">
        <v>322</v>
      </c>
      <c r="Z88" s="1">
        <v>5.0613014775227914E-2</v>
      </c>
      <c r="AA88">
        <v>20278</v>
      </c>
      <c r="AB88" s="1">
        <v>0.10655358681715955</v>
      </c>
      <c r="AC88">
        <v>-1.1000000000000001</v>
      </c>
      <c r="AD88">
        <v>493</v>
      </c>
      <c r="AE88" s="1">
        <v>0.13977884888006806</v>
      </c>
      <c r="AF88">
        <v>20382</v>
      </c>
      <c r="AG88" s="1">
        <v>0.10638619933710886</v>
      </c>
      <c r="AH88">
        <v>-1.1200000000000001</v>
      </c>
      <c r="AI88">
        <v>104</v>
      </c>
      <c r="AJ88" s="1">
        <v>8.1440877055599062E-2</v>
      </c>
    </row>
    <row r="89" spans="1:36" x14ac:dyDescent="0.3">
      <c r="A89" t="s">
        <v>58</v>
      </c>
      <c r="B89">
        <v>180108</v>
      </c>
      <c r="C89" t="s">
        <v>404</v>
      </c>
      <c r="E89">
        <v>163</v>
      </c>
      <c r="F89" s="1">
        <v>1.5E-3</v>
      </c>
      <c r="G89">
        <v>210</v>
      </c>
      <c r="H89" s="1">
        <v>1.5E-3</v>
      </c>
      <c r="I89">
        <v>0</v>
      </c>
      <c r="J89">
        <v>47</v>
      </c>
      <c r="K89" s="1">
        <v>1.8E-3</v>
      </c>
      <c r="L89">
        <v>270</v>
      </c>
      <c r="M89" s="1">
        <v>1.6798148470746335E-3</v>
      </c>
      <c r="N89">
        <v>0.02</v>
      </c>
      <c r="O89">
        <v>60</v>
      </c>
      <c r="P89" s="1">
        <v>2.379724745171142E-3</v>
      </c>
      <c r="Q89">
        <v>315</v>
      </c>
      <c r="R89" s="1">
        <v>1.7459358493285076E-3</v>
      </c>
      <c r="S89">
        <v>0.02</v>
      </c>
      <c r="T89">
        <v>45</v>
      </c>
      <c r="U89" s="1">
        <v>2.2857723370752273E-3</v>
      </c>
      <c r="V89">
        <v>338</v>
      </c>
      <c r="W89" s="1">
        <v>1.8096059020992498E-3</v>
      </c>
      <c r="X89">
        <v>0.03</v>
      </c>
      <c r="Y89">
        <v>23</v>
      </c>
      <c r="Z89" s="1">
        <v>3.6152153410877082E-3</v>
      </c>
      <c r="AA89">
        <v>348</v>
      </c>
      <c r="AB89" s="1">
        <v>1.8286146667507409E-3</v>
      </c>
      <c r="AC89">
        <v>0.03</v>
      </c>
      <c r="AD89">
        <v>10</v>
      </c>
      <c r="AE89" s="1">
        <v>2.8352707683583782E-3</v>
      </c>
      <c r="AF89">
        <v>360</v>
      </c>
      <c r="AG89" s="1">
        <v>1.8790615131664796E-3</v>
      </c>
      <c r="AH89">
        <v>0.04</v>
      </c>
      <c r="AI89">
        <v>12</v>
      </c>
      <c r="AJ89" s="1">
        <v>9.3970242756460463E-3</v>
      </c>
    </row>
    <row r="90" spans="1:36" x14ac:dyDescent="0.3">
      <c r="A90" t="s">
        <v>58</v>
      </c>
      <c r="B90">
        <v>180108</v>
      </c>
      <c r="C90" t="s">
        <v>701</v>
      </c>
      <c r="E90">
        <v>112</v>
      </c>
      <c r="F90" s="1" t="s">
        <v>700</v>
      </c>
      <c r="G90">
        <v>143</v>
      </c>
      <c r="H90" s="1" t="s">
        <v>700</v>
      </c>
      <c r="I90" t="s">
        <v>700</v>
      </c>
      <c r="J90">
        <v>31</v>
      </c>
      <c r="K90" s="1" t="s">
        <v>700</v>
      </c>
      <c r="L90">
        <v>196</v>
      </c>
      <c r="M90" s="1" t="s">
        <v>700</v>
      </c>
      <c r="N90" t="s">
        <v>700</v>
      </c>
      <c r="O90">
        <v>53</v>
      </c>
      <c r="P90" s="1" t="s">
        <v>700</v>
      </c>
      <c r="Q90">
        <v>164</v>
      </c>
      <c r="R90" s="1" t="s">
        <v>700</v>
      </c>
      <c r="S90" t="s">
        <v>700</v>
      </c>
      <c r="T90">
        <v>-32</v>
      </c>
      <c r="U90" s="1" t="s">
        <v>700</v>
      </c>
      <c r="V90">
        <v>122</v>
      </c>
      <c r="Y90">
        <v>-42</v>
      </c>
      <c r="AA90">
        <v>122</v>
      </c>
      <c r="AD90">
        <v>0</v>
      </c>
      <c r="AF90">
        <v>124</v>
      </c>
      <c r="AI90">
        <v>2</v>
      </c>
    </row>
    <row r="91" spans="1:36" x14ac:dyDescent="0.3">
      <c r="A91" t="s">
        <v>58</v>
      </c>
      <c r="B91">
        <v>180108</v>
      </c>
      <c r="C91" t="s">
        <v>702</v>
      </c>
      <c r="E91">
        <v>951</v>
      </c>
      <c r="F91" s="1" t="s">
        <v>700</v>
      </c>
      <c r="G91">
        <v>1106</v>
      </c>
      <c r="H91" s="1" t="s">
        <v>700</v>
      </c>
      <c r="I91" t="s">
        <v>700</v>
      </c>
      <c r="J91">
        <v>155</v>
      </c>
      <c r="K91" s="1" t="s">
        <v>700</v>
      </c>
      <c r="L91">
        <v>1404</v>
      </c>
      <c r="M91" s="1" t="s">
        <v>700</v>
      </c>
      <c r="N91" t="s">
        <v>700</v>
      </c>
      <c r="O91">
        <v>298</v>
      </c>
      <c r="P91" s="1" t="s">
        <v>700</v>
      </c>
      <c r="Q91">
        <v>1455</v>
      </c>
      <c r="R91" s="1" t="s">
        <v>700</v>
      </c>
      <c r="S91" t="s">
        <v>700</v>
      </c>
      <c r="T91">
        <v>51</v>
      </c>
      <c r="U91" s="1" t="s">
        <v>700</v>
      </c>
      <c r="V91">
        <v>1349</v>
      </c>
      <c r="Y91">
        <v>-106</v>
      </c>
      <c r="AA91">
        <v>1478</v>
      </c>
      <c r="AD91">
        <v>129</v>
      </c>
      <c r="AF91">
        <v>1514</v>
      </c>
      <c r="AI91">
        <v>36</v>
      </c>
    </row>
    <row r="92" spans="1:36" x14ac:dyDescent="0.3">
      <c r="A92" t="s">
        <v>68</v>
      </c>
      <c r="B92">
        <v>169994</v>
      </c>
      <c r="C92" t="s">
        <v>699</v>
      </c>
      <c r="E92">
        <v>71932</v>
      </c>
      <c r="F92" s="1" t="s">
        <v>700</v>
      </c>
      <c r="G92">
        <v>89152</v>
      </c>
      <c r="H92" s="1" t="s">
        <v>700</v>
      </c>
      <c r="I92" t="s">
        <v>700</v>
      </c>
      <c r="J92">
        <v>17220</v>
      </c>
      <c r="K92" s="1" t="s">
        <v>700</v>
      </c>
      <c r="L92">
        <v>110240</v>
      </c>
      <c r="M92" s="1" t="s">
        <v>700</v>
      </c>
      <c r="N92" t="s">
        <v>700</v>
      </c>
      <c r="O92">
        <v>21088</v>
      </c>
      <c r="P92" s="1" t="s">
        <v>700</v>
      </c>
      <c r="Q92">
        <v>134241</v>
      </c>
      <c r="R92" s="1" t="s">
        <v>700</v>
      </c>
      <c r="S92" t="s">
        <v>700</v>
      </c>
      <c r="T92">
        <v>24001</v>
      </c>
      <c r="U92" s="1" t="s">
        <v>700</v>
      </c>
      <c r="V92">
        <v>142326</v>
      </c>
      <c r="Y92">
        <v>8085</v>
      </c>
      <c r="AA92">
        <v>142821</v>
      </c>
      <c r="AD92">
        <v>495</v>
      </c>
      <c r="AF92">
        <v>143943</v>
      </c>
      <c r="AI92">
        <v>1122</v>
      </c>
    </row>
    <row r="93" spans="1:36" x14ac:dyDescent="0.3">
      <c r="A93" t="s">
        <v>68</v>
      </c>
      <c r="B93">
        <v>169994</v>
      </c>
      <c r="C93" t="s">
        <v>365</v>
      </c>
      <c r="D93" t="s">
        <v>408</v>
      </c>
      <c r="E93">
        <v>802</v>
      </c>
      <c r="F93" s="1">
        <v>1.1299999999999999E-2</v>
      </c>
      <c r="G93">
        <v>937</v>
      </c>
      <c r="H93" s="1">
        <v>1.0700000000000001E-2</v>
      </c>
      <c r="I93">
        <v>-0.06</v>
      </c>
      <c r="J93">
        <v>135</v>
      </c>
      <c r="K93" s="1">
        <v>8.0000000000000002E-3</v>
      </c>
      <c r="L93">
        <v>1148</v>
      </c>
      <c r="M93" s="1">
        <v>1.0587866378912807E-2</v>
      </c>
      <c r="N93">
        <v>-7.0000000000000007E-2</v>
      </c>
      <c r="O93">
        <v>211</v>
      </c>
      <c r="P93" s="1">
        <v>1.0190283009755626E-2</v>
      </c>
      <c r="Q93">
        <v>1424</v>
      </c>
      <c r="R93" s="1">
        <v>1.078199769822521E-2</v>
      </c>
      <c r="S93">
        <v>-0.05</v>
      </c>
      <c r="T93">
        <v>276</v>
      </c>
      <c r="U93" s="1">
        <v>1.1672164425272774E-2</v>
      </c>
      <c r="V93">
        <v>1552</v>
      </c>
      <c r="W93" s="1">
        <v>1.1062877346049939E-2</v>
      </c>
      <c r="X93">
        <v>-0.02</v>
      </c>
      <c r="Y93">
        <v>128</v>
      </c>
      <c r="Z93" s="1">
        <v>1.5577461360593891E-2</v>
      </c>
      <c r="AA93">
        <v>1565</v>
      </c>
      <c r="AB93" s="1">
        <v>1.1088359702137609E-2</v>
      </c>
      <c r="AC93">
        <v>-0.02</v>
      </c>
      <c r="AD93">
        <v>13</v>
      </c>
      <c r="AE93" s="1">
        <v>1.5294117647058824E-2</v>
      </c>
      <c r="AF93">
        <v>1588</v>
      </c>
      <c r="AG93" s="1">
        <v>1.1155132203770828E-2</v>
      </c>
      <c r="AH93">
        <v>-0.01</v>
      </c>
      <c r="AI93">
        <v>23</v>
      </c>
      <c r="AJ93" s="1">
        <v>1.8898931799506986E-2</v>
      </c>
    </row>
    <row r="94" spans="1:36" x14ac:dyDescent="0.3">
      <c r="A94" t="s">
        <v>68</v>
      </c>
      <c r="B94">
        <v>169994</v>
      </c>
      <c r="C94" t="s">
        <v>366</v>
      </c>
      <c r="D94" t="s">
        <v>400</v>
      </c>
      <c r="E94">
        <v>8896</v>
      </c>
      <c r="F94" s="1">
        <v>0.12560000000000002</v>
      </c>
      <c r="G94">
        <v>11405</v>
      </c>
      <c r="H94" s="1">
        <v>0.13</v>
      </c>
      <c r="I94">
        <v>0.44</v>
      </c>
      <c r="J94">
        <v>2509</v>
      </c>
      <c r="K94" s="1">
        <v>0.14829999999999999</v>
      </c>
      <c r="L94">
        <v>16408</v>
      </c>
      <c r="M94" s="1">
        <v>0.15132901702543669</v>
      </c>
      <c r="N94">
        <v>2.57</v>
      </c>
      <c r="O94">
        <v>5003</v>
      </c>
      <c r="P94" s="1">
        <v>0.24162078624553271</v>
      </c>
      <c r="Q94">
        <v>22228</v>
      </c>
      <c r="R94" s="1">
        <v>0.1683021382276334</v>
      </c>
      <c r="S94">
        <v>4.2699999999999996</v>
      </c>
      <c r="T94">
        <v>5820</v>
      </c>
      <c r="U94" s="1">
        <v>0.24613042375031718</v>
      </c>
      <c r="V94">
        <v>23982</v>
      </c>
      <c r="W94" s="1">
        <v>0.17094711630990314</v>
      </c>
      <c r="X94">
        <v>4.53</v>
      </c>
      <c r="Y94">
        <v>1754</v>
      </c>
      <c r="Z94" s="1">
        <v>0.21345990020688815</v>
      </c>
      <c r="AA94">
        <v>24186</v>
      </c>
      <c r="AB94" s="1">
        <v>0.17136298259162952</v>
      </c>
      <c r="AC94">
        <v>4.58</v>
      </c>
      <c r="AD94">
        <v>204</v>
      </c>
      <c r="AE94" s="1">
        <v>0.24</v>
      </c>
      <c r="AF94">
        <v>24583</v>
      </c>
      <c r="AG94" s="1">
        <v>0.17268678524263115</v>
      </c>
      <c r="AH94">
        <v>4.71</v>
      </c>
      <c r="AI94">
        <v>397</v>
      </c>
      <c r="AJ94" s="1">
        <v>0.32621199671322926</v>
      </c>
    </row>
    <row r="95" spans="1:36" x14ac:dyDescent="0.3">
      <c r="A95" t="s">
        <v>68</v>
      </c>
      <c r="B95">
        <v>169994</v>
      </c>
      <c r="C95" t="s">
        <v>367</v>
      </c>
      <c r="D95" t="s">
        <v>399</v>
      </c>
      <c r="E95">
        <v>8083</v>
      </c>
      <c r="F95" s="1">
        <v>0.1142</v>
      </c>
      <c r="G95">
        <v>10124</v>
      </c>
      <c r="H95" s="1">
        <v>0.11539999999999999</v>
      </c>
      <c r="I95">
        <v>0.12</v>
      </c>
      <c r="J95">
        <v>2041</v>
      </c>
      <c r="K95" s="1">
        <v>0.1207</v>
      </c>
      <c r="L95">
        <v>13016</v>
      </c>
      <c r="M95" s="1">
        <v>0.1200450076549905</v>
      </c>
      <c r="N95">
        <v>0.57999999999999996</v>
      </c>
      <c r="O95">
        <v>2892</v>
      </c>
      <c r="P95" s="1">
        <v>0.1396696609678354</v>
      </c>
      <c r="Q95">
        <v>16204</v>
      </c>
      <c r="R95" s="1">
        <v>0.12269065358289417</v>
      </c>
      <c r="S95">
        <v>0.85</v>
      </c>
      <c r="T95">
        <v>3188</v>
      </c>
      <c r="U95" s="1">
        <v>0.13482195720206377</v>
      </c>
      <c r="V95">
        <v>17501</v>
      </c>
      <c r="W95" s="1">
        <v>0.1247496239904768</v>
      </c>
      <c r="X95">
        <v>1.05</v>
      </c>
      <c r="Y95">
        <v>1297</v>
      </c>
      <c r="Z95" s="1">
        <v>0.15784349519289279</v>
      </c>
      <c r="AA95">
        <v>17621</v>
      </c>
      <c r="AB95" s="1">
        <v>0.12484855355358901</v>
      </c>
      <c r="AC95">
        <v>1.06</v>
      </c>
      <c r="AD95">
        <v>120</v>
      </c>
      <c r="AE95" s="1">
        <v>0.14117647058823529</v>
      </c>
      <c r="AF95">
        <v>17811</v>
      </c>
      <c r="AG95" s="1">
        <v>0.12511590660035404</v>
      </c>
      <c r="AH95">
        <v>1.0900000000000001</v>
      </c>
      <c r="AI95">
        <v>190</v>
      </c>
      <c r="AJ95" s="1">
        <v>0.1561216105176664</v>
      </c>
    </row>
    <row r="96" spans="1:36" x14ac:dyDescent="0.3">
      <c r="A96" t="s">
        <v>68</v>
      </c>
      <c r="B96">
        <v>169994</v>
      </c>
      <c r="C96" t="s">
        <v>368</v>
      </c>
      <c r="D96" t="s">
        <v>401</v>
      </c>
      <c r="E96">
        <v>16842</v>
      </c>
      <c r="F96" s="1">
        <v>0.2379</v>
      </c>
      <c r="G96">
        <v>21140</v>
      </c>
      <c r="H96" s="1">
        <v>0.24100000000000002</v>
      </c>
      <c r="I96">
        <v>0.31</v>
      </c>
      <c r="J96">
        <v>4298</v>
      </c>
      <c r="K96" s="1">
        <v>0.25409999999999999</v>
      </c>
      <c r="L96">
        <v>24667</v>
      </c>
      <c r="M96" s="1">
        <v>0.2275007839448103</v>
      </c>
      <c r="N96">
        <v>-1.04</v>
      </c>
      <c r="O96">
        <v>3527</v>
      </c>
      <c r="P96" s="1">
        <v>0.17033710035738434</v>
      </c>
      <c r="Q96">
        <v>28909</v>
      </c>
      <c r="R96" s="1">
        <v>0.2188881822036465</v>
      </c>
      <c r="S96">
        <v>-1.9</v>
      </c>
      <c r="T96">
        <v>4242</v>
      </c>
      <c r="U96" s="1">
        <v>0.17939609236234458</v>
      </c>
      <c r="V96">
        <v>30726</v>
      </c>
      <c r="W96" s="1">
        <v>0.21901931013835724</v>
      </c>
      <c r="X96">
        <v>-1.89</v>
      </c>
      <c r="Y96">
        <v>1817</v>
      </c>
      <c r="Z96" s="1">
        <v>0.22112693197030547</v>
      </c>
      <c r="AA96">
        <v>30906</v>
      </c>
      <c r="AB96" s="1">
        <v>0.21897561977908303</v>
      </c>
      <c r="AC96">
        <v>-1.89</v>
      </c>
      <c r="AD96">
        <v>180</v>
      </c>
      <c r="AE96" s="1">
        <v>0.21176470588235294</v>
      </c>
      <c r="AF96">
        <v>31070</v>
      </c>
      <c r="AG96" s="1">
        <v>0.2182556407878839</v>
      </c>
      <c r="AH96">
        <v>-1.96</v>
      </c>
      <c r="AI96">
        <v>164</v>
      </c>
      <c r="AJ96" s="1">
        <v>0.13475760065735415</v>
      </c>
    </row>
    <row r="97" spans="1:36" x14ac:dyDescent="0.3">
      <c r="A97" t="s">
        <v>68</v>
      </c>
      <c r="B97">
        <v>169994</v>
      </c>
      <c r="C97" t="s">
        <v>369</v>
      </c>
      <c r="D97" t="s">
        <v>399</v>
      </c>
      <c r="E97">
        <v>36070</v>
      </c>
      <c r="F97" s="1">
        <v>0.50939999999999996</v>
      </c>
      <c r="G97">
        <v>44010</v>
      </c>
      <c r="H97" s="1">
        <v>0.50170000000000003</v>
      </c>
      <c r="I97">
        <v>-0.77</v>
      </c>
      <c r="J97">
        <v>7940</v>
      </c>
      <c r="K97" s="1">
        <v>0.46939999999999998</v>
      </c>
      <c r="L97">
        <v>53036</v>
      </c>
      <c r="M97" s="1">
        <v>0.48914467009757806</v>
      </c>
      <c r="N97">
        <v>-2.0299999999999998</v>
      </c>
      <c r="O97">
        <v>9026</v>
      </c>
      <c r="P97" s="1">
        <v>0.4359122959528639</v>
      </c>
      <c r="Q97">
        <v>63114</v>
      </c>
      <c r="R97" s="1">
        <v>0.47787570416136654</v>
      </c>
      <c r="S97">
        <v>-3.15</v>
      </c>
      <c r="T97">
        <v>10078</v>
      </c>
      <c r="U97" s="1">
        <v>0.42620316332572106</v>
      </c>
      <c r="V97">
        <v>66326</v>
      </c>
      <c r="W97" s="1">
        <v>0.47278118740599762</v>
      </c>
      <c r="X97">
        <v>-3.66</v>
      </c>
      <c r="Y97">
        <v>3212</v>
      </c>
      <c r="Z97" s="1">
        <v>0.39089692101740292</v>
      </c>
      <c r="AA97">
        <v>66657</v>
      </c>
      <c r="AB97" s="1">
        <v>0.47227910074465596</v>
      </c>
      <c r="AC97">
        <v>-3.71</v>
      </c>
      <c r="AD97">
        <v>331</v>
      </c>
      <c r="AE97" s="1">
        <v>0.38941176470588235</v>
      </c>
      <c r="AF97">
        <v>67095</v>
      </c>
      <c r="AG97" s="1">
        <v>0.47131838489420891</v>
      </c>
      <c r="AH97">
        <v>-3.81</v>
      </c>
      <c r="AI97">
        <v>438</v>
      </c>
      <c r="AJ97" s="1">
        <v>0.35990139687756778</v>
      </c>
    </row>
    <row r="98" spans="1:36" x14ac:dyDescent="0.3">
      <c r="A98" t="s">
        <v>68</v>
      </c>
      <c r="B98">
        <v>169994</v>
      </c>
      <c r="C98" t="s">
        <v>404</v>
      </c>
      <c r="E98">
        <v>113</v>
      </c>
      <c r="F98" s="1">
        <v>1.6000000000000001E-3</v>
      </c>
      <c r="G98">
        <v>104</v>
      </c>
      <c r="H98" s="1">
        <v>1.1999999999999999E-3</v>
      </c>
      <c r="I98">
        <v>-0.04</v>
      </c>
      <c r="J98">
        <v>-9</v>
      </c>
      <c r="K98" s="1">
        <v>-5.0000000000000001E-4</v>
      </c>
      <c r="L98">
        <v>151</v>
      </c>
      <c r="M98" s="1">
        <v>1.3926548982716323E-3</v>
      </c>
      <c r="N98">
        <v>-0.02</v>
      </c>
      <c r="O98">
        <v>47</v>
      </c>
      <c r="P98" s="1">
        <v>2.2698734666280304E-3</v>
      </c>
      <c r="Q98">
        <v>193</v>
      </c>
      <c r="R98" s="1">
        <v>1.4613241262341752E-3</v>
      </c>
      <c r="S98">
        <v>-0.01</v>
      </c>
      <c r="T98">
        <v>42</v>
      </c>
      <c r="U98" s="1">
        <v>1.7761989342806395E-3</v>
      </c>
      <c r="V98">
        <v>202</v>
      </c>
      <c r="W98" s="1">
        <v>1.4398848092152627E-3</v>
      </c>
      <c r="X98">
        <v>-0.02</v>
      </c>
      <c r="Y98">
        <v>9</v>
      </c>
      <c r="Z98" s="1">
        <v>1.0952902519167579E-3</v>
      </c>
      <c r="AA98">
        <v>204</v>
      </c>
      <c r="AB98" s="1">
        <v>1.4453836289048385E-3</v>
      </c>
      <c r="AC98">
        <v>-0.02</v>
      </c>
      <c r="AD98">
        <v>2</v>
      </c>
      <c r="AE98" s="1">
        <v>2.352941176470588E-3</v>
      </c>
      <c r="AF98">
        <v>209</v>
      </c>
      <c r="AG98" s="1">
        <v>1.4681502711511984E-3</v>
      </c>
      <c r="AH98">
        <v>-0.01</v>
      </c>
      <c r="AI98">
        <v>5</v>
      </c>
      <c r="AJ98" s="1">
        <v>4.1084634346754316E-3</v>
      </c>
    </row>
    <row r="99" spans="1:36" x14ac:dyDescent="0.3">
      <c r="A99" t="s">
        <v>68</v>
      </c>
      <c r="B99">
        <v>169994</v>
      </c>
      <c r="C99" t="s">
        <v>701</v>
      </c>
      <c r="E99">
        <v>0</v>
      </c>
      <c r="F99" s="1" t="s">
        <v>700</v>
      </c>
      <c r="G99">
        <v>0</v>
      </c>
      <c r="H99" s="1" t="s">
        <v>700</v>
      </c>
      <c r="I99" t="s">
        <v>700</v>
      </c>
      <c r="J99" t="s">
        <v>700</v>
      </c>
      <c r="K99" s="1" t="s">
        <v>700</v>
      </c>
      <c r="L99">
        <v>0</v>
      </c>
      <c r="M99" s="1" t="s">
        <v>700</v>
      </c>
      <c r="N99" t="s">
        <v>700</v>
      </c>
      <c r="O99" t="s">
        <v>700</v>
      </c>
      <c r="P99" s="1" t="s">
        <v>700</v>
      </c>
      <c r="Q99">
        <v>0</v>
      </c>
      <c r="R99" s="1" t="s">
        <v>700</v>
      </c>
      <c r="S99" t="s">
        <v>700</v>
      </c>
      <c r="T99" t="s">
        <v>700</v>
      </c>
      <c r="U99" s="1" t="s">
        <v>700</v>
      </c>
      <c r="V99">
        <v>0</v>
      </c>
      <c r="AA99">
        <v>0</v>
      </c>
      <c r="AF99">
        <v>0</v>
      </c>
    </row>
    <row r="100" spans="1:36" x14ac:dyDescent="0.3">
      <c r="A100" t="s">
        <v>68</v>
      </c>
      <c r="B100">
        <v>169994</v>
      </c>
      <c r="C100" t="s">
        <v>702</v>
      </c>
      <c r="E100">
        <v>0</v>
      </c>
      <c r="F100" s="1" t="s">
        <v>700</v>
      </c>
      <c r="G100">
        <v>0</v>
      </c>
      <c r="H100" s="1" t="s">
        <v>700</v>
      </c>
      <c r="I100" t="s">
        <v>700</v>
      </c>
      <c r="J100" t="s">
        <v>700</v>
      </c>
      <c r="K100" s="1" t="s">
        <v>700</v>
      </c>
      <c r="L100">
        <v>0</v>
      </c>
      <c r="M100" s="1" t="s">
        <v>700</v>
      </c>
      <c r="N100" t="s">
        <v>700</v>
      </c>
      <c r="O100" t="s">
        <v>700</v>
      </c>
      <c r="P100" s="1" t="s">
        <v>700</v>
      </c>
      <c r="Q100">
        <v>0</v>
      </c>
      <c r="R100" s="1" t="s">
        <v>700</v>
      </c>
      <c r="S100" t="s">
        <v>700</v>
      </c>
      <c r="T100" t="s">
        <v>700</v>
      </c>
      <c r="U100" s="1" t="s">
        <v>700</v>
      </c>
      <c r="V100">
        <v>0</v>
      </c>
      <c r="AA100">
        <v>0</v>
      </c>
      <c r="AF100">
        <v>0</v>
      </c>
    </row>
    <row r="101" spans="1:36" x14ac:dyDescent="0.3">
      <c r="A101" t="s">
        <v>64</v>
      </c>
      <c r="B101">
        <v>186483</v>
      </c>
      <c r="C101" t="s">
        <v>699</v>
      </c>
      <c r="E101">
        <v>81476</v>
      </c>
      <c r="F101" s="1" t="s">
        <v>700</v>
      </c>
      <c r="G101">
        <v>110756</v>
      </c>
      <c r="H101" s="1" t="s">
        <v>700</v>
      </c>
      <c r="I101" t="s">
        <v>700</v>
      </c>
      <c r="J101">
        <v>29280</v>
      </c>
      <c r="K101" s="1" t="s">
        <v>700</v>
      </c>
      <c r="L101">
        <v>121701</v>
      </c>
      <c r="M101" s="1" t="s">
        <v>700</v>
      </c>
      <c r="N101" t="s">
        <v>700</v>
      </c>
      <c r="O101">
        <v>10945</v>
      </c>
      <c r="P101" s="1" t="s">
        <v>700</v>
      </c>
      <c r="Q101">
        <v>139002</v>
      </c>
      <c r="R101" s="1" t="s">
        <v>700</v>
      </c>
      <c r="S101" t="s">
        <v>700</v>
      </c>
      <c r="T101">
        <v>17301</v>
      </c>
      <c r="U101" s="1" t="s">
        <v>700</v>
      </c>
      <c r="V101">
        <v>154434</v>
      </c>
      <c r="Y101">
        <v>15432</v>
      </c>
      <c r="AA101">
        <v>155368</v>
      </c>
      <c r="AD101">
        <v>934</v>
      </c>
      <c r="AF101">
        <v>158386</v>
      </c>
      <c r="AI101">
        <v>3018</v>
      </c>
    </row>
    <row r="102" spans="1:36" x14ac:dyDescent="0.3">
      <c r="A102" t="s">
        <v>64</v>
      </c>
      <c r="B102">
        <v>186483</v>
      </c>
      <c r="C102" t="s">
        <v>371</v>
      </c>
      <c r="D102" t="s">
        <v>399</v>
      </c>
      <c r="E102">
        <v>7147</v>
      </c>
      <c r="F102" s="1">
        <v>8.8900000000000007E-2</v>
      </c>
      <c r="G102">
        <v>9946</v>
      </c>
      <c r="H102" s="1">
        <v>9.0999999999999998E-2</v>
      </c>
      <c r="I102">
        <v>0.21</v>
      </c>
      <c r="J102">
        <v>2799</v>
      </c>
      <c r="K102" s="1">
        <v>9.6999999999999989E-2</v>
      </c>
      <c r="L102">
        <v>11025</v>
      </c>
      <c r="M102" s="1">
        <v>9.1852802239458797E-2</v>
      </c>
      <c r="N102">
        <v>0.3</v>
      </c>
      <c r="O102">
        <v>1079</v>
      </c>
      <c r="P102" s="1">
        <v>0.10000926869960144</v>
      </c>
      <c r="Q102">
        <v>12695</v>
      </c>
      <c r="R102" s="1">
        <v>9.2693327102667256E-2</v>
      </c>
      <c r="S102">
        <v>0.38</v>
      </c>
      <c r="T102">
        <v>1670</v>
      </c>
      <c r="U102" s="1">
        <v>9.8653119092627597E-2</v>
      </c>
      <c r="V102">
        <v>14253</v>
      </c>
      <c r="W102" s="1">
        <v>9.3716096707805396E-2</v>
      </c>
      <c r="X102">
        <v>0.48</v>
      </c>
      <c r="Y102">
        <v>1558</v>
      </c>
      <c r="Z102" s="1">
        <v>0.10297422339722406</v>
      </c>
      <c r="AA102">
        <v>14350</v>
      </c>
      <c r="AB102" s="1">
        <v>9.3793301785667596E-2</v>
      </c>
      <c r="AC102">
        <v>0.49</v>
      </c>
      <c r="AD102">
        <v>97</v>
      </c>
      <c r="AE102" s="1">
        <v>0.10671067106710672</v>
      </c>
      <c r="AF102">
        <v>14695</v>
      </c>
      <c r="AG102" s="1">
        <v>9.4245840869152525E-2</v>
      </c>
      <c r="AH102">
        <v>0.53</v>
      </c>
      <c r="AI102">
        <v>345</v>
      </c>
      <c r="AJ102" s="1">
        <v>0.11790840738209159</v>
      </c>
    </row>
    <row r="103" spans="1:36" x14ac:dyDescent="0.3">
      <c r="A103" t="s">
        <v>64</v>
      </c>
      <c r="B103">
        <v>186483</v>
      </c>
      <c r="C103" t="s">
        <v>372</v>
      </c>
      <c r="D103" t="s">
        <v>399</v>
      </c>
      <c r="E103">
        <v>39501</v>
      </c>
      <c r="F103" s="1">
        <v>0.4914</v>
      </c>
      <c r="G103">
        <v>52908</v>
      </c>
      <c r="H103" s="1">
        <v>0.48430000000000001</v>
      </c>
      <c r="I103">
        <v>-0.71</v>
      </c>
      <c r="J103">
        <v>13407</v>
      </c>
      <c r="K103" s="1">
        <v>0.4647</v>
      </c>
      <c r="L103">
        <v>57682</v>
      </c>
      <c r="M103" s="1">
        <v>0.48056719626090361</v>
      </c>
      <c r="N103">
        <v>-1.08</v>
      </c>
      <c r="O103">
        <v>4774</v>
      </c>
      <c r="P103" s="1">
        <v>0.44248771897302808</v>
      </c>
      <c r="Q103">
        <v>65297</v>
      </c>
      <c r="R103" s="1">
        <v>0.47677008112035163</v>
      </c>
      <c r="S103">
        <v>-1.46</v>
      </c>
      <c r="T103">
        <v>7615</v>
      </c>
      <c r="U103" s="1">
        <v>0.44984640831758033</v>
      </c>
      <c r="V103">
        <v>72062</v>
      </c>
      <c r="W103" s="1">
        <v>0.47382090513982128</v>
      </c>
      <c r="X103">
        <v>-1.76</v>
      </c>
      <c r="Y103">
        <v>6765</v>
      </c>
      <c r="Z103" s="1">
        <v>0.4471249173826834</v>
      </c>
      <c r="AA103">
        <v>72444</v>
      </c>
      <c r="AB103" s="1">
        <v>0.47350257523072498</v>
      </c>
      <c r="AC103">
        <v>-1.79</v>
      </c>
      <c r="AD103">
        <v>382</v>
      </c>
      <c r="AE103" s="1">
        <v>0.42024202420242024</v>
      </c>
      <c r="AF103">
        <v>73689</v>
      </c>
      <c r="AG103" s="1">
        <v>0.47260168545811365</v>
      </c>
      <c r="AH103">
        <v>-1.88</v>
      </c>
      <c r="AI103">
        <v>1245</v>
      </c>
      <c r="AJ103" s="1">
        <v>0.42549555707450443</v>
      </c>
    </row>
    <row r="104" spans="1:36" x14ac:dyDescent="0.3">
      <c r="A104" t="s">
        <v>64</v>
      </c>
      <c r="B104">
        <v>186483</v>
      </c>
      <c r="C104" t="s">
        <v>373</v>
      </c>
      <c r="D104" t="s">
        <v>409</v>
      </c>
      <c r="E104">
        <v>376</v>
      </c>
      <c r="F104" s="1">
        <v>4.6999999999999993E-3</v>
      </c>
      <c r="G104">
        <v>483</v>
      </c>
      <c r="H104" s="1">
        <v>4.4000000000000003E-3</v>
      </c>
      <c r="I104">
        <v>-0.03</v>
      </c>
      <c r="J104">
        <v>107</v>
      </c>
      <c r="K104" s="1">
        <v>3.7000000000000002E-3</v>
      </c>
      <c r="L104">
        <v>541</v>
      </c>
      <c r="M104" s="1">
        <v>4.5072440826800187E-3</v>
      </c>
      <c r="N104">
        <v>-0.02</v>
      </c>
      <c r="O104">
        <v>58</v>
      </c>
      <c r="P104" s="1">
        <v>5.3758457688386323E-3</v>
      </c>
      <c r="Q104">
        <v>596</v>
      </c>
      <c r="R104" s="1">
        <v>4.351730835225655E-3</v>
      </c>
      <c r="S104">
        <v>-0.03</v>
      </c>
      <c r="T104">
        <v>55</v>
      </c>
      <c r="U104" s="1">
        <v>3.2490548204158788E-3</v>
      </c>
      <c r="V104">
        <v>687</v>
      </c>
      <c r="W104" s="1">
        <v>4.5171513673095002E-3</v>
      </c>
      <c r="X104">
        <v>-0.02</v>
      </c>
      <c r="Y104">
        <v>91</v>
      </c>
      <c r="Z104" s="1">
        <v>6.014540647719762E-3</v>
      </c>
      <c r="AA104">
        <v>692</v>
      </c>
      <c r="AB104" s="1">
        <v>4.5229940652043192E-3</v>
      </c>
      <c r="AC104">
        <v>-0.02</v>
      </c>
      <c r="AD104">
        <v>5</v>
      </c>
      <c r="AE104" s="1">
        <v>5.5005500550055009E-3</v>
      </c>
      <c r="AF104">
        <v>713</v>
      </c>
      <c r="AG104" s="1">
        <v>4.5727992201228824E-3</v>
      </c>
      <c r="AH104">
        <v>-0.01</v>
      </c>
      <c r="AI104">
        <v>21</v>
      </c>
      <c r="AJ104" s="1">
        <v>7.1770334928229667E-3</v>
      </c>
    </row>
    <row r="105" spans="1:36" x14ac:dyDescent="0.3">
      <c r="A105" t="s">
        <v>64</v>
      </c>
      <c r="B105">
        <v>186483</v>
      </c>
      <c r="C105" t="s">
        <v>374</v>
      </c>
      <c r="D105" t="s">
        <v>399</v>
      </c>
      <c r="E105">
        <v>5660</v>
      </c>
      <c r="F105" s="1">
        <v>7.0400000000000004E-2</v>
      </c>
      <c r="G105">
        <v>9031</v>
      </c>
      <c r="H105" s="1">
        <v>8.2699999999999996E-2</v>
      </c>
      <c r="I105">
        <v>1.23</v>
      </c>
      <c r="J105">
        <v>3371</v>
      </c>
      <c r="K105" s="1">
        <v>0.11689999999999999</v>
      </c>
      <c r="L105">
        <v>10192</v>
      </c>
      <c r="M105" s="1">
        <v>8.4912812736921917E-2</v>
      </c>
      <c r="N105">
        <v>1.45</v>
      </c>
      <c r="O105">
        <v>1161</v>
      </c>
      <c r="P105" s="1">
        <v>0.10760960237278709</v>
      </c>
      <c r="Q105">
        <v>12568</v>
      </c>
      <c r="R105" s="1">
        <v>9.1766028753550388E-2</v>
      </c>
      <c r="S105">
        <v>2.14</v>
      </c>
      <c r="T105">
        <v>2376</v>
      </c>
      <c r="U105" s="1">
        <v>0.14035916824196598</v>
      </c>
      <c r="V105">
        <v>15290</v>
      </c>
      <c r="W105" s="1">
        <v>0.10053456245438466</v>
      </c>
      <c r="X105">
        <v>3.01</v>
      </c>
      <c r="Y105">
        <v>2722</v>
      </c>
      <c r="Z105" s="1">
        <v>0.1799074686054197</v>
      </c>
      <c r="AA105">
        <v>15476</v>
      </c>
      <c r="AB105" s="1">
        <v>0.10115297131951162</v>
      </c>
      <c r="AC105">
        <v>3.08</v>
      </c>
      <c r="AD105">
        <v>186</v>
      </c>
      <c r="AE105" s="1">
        <v>0.20462046204620463</v>
      </c>
      <c r="AF105">
        <v>16074</v>
      </c>
      <c r="AG105" s="1">
        <v>0.10309000654173241</v>
      </c>
      <c r="AH105">
        <v>3.27</v>
      </c>
      <c r="AI105">
        <v>598</v>
      </c>
      <c r="AJ105" s="1">
        <v>0.20437457279562543</v>
      </c>
    </row>
    <row r="106" spans="1:36" x14ac:dyDescent="0.3">
      <c r="A106" t="s">
        <v>64</v>
      </c>
      <c r="B106">
        <v>186483</v>
      </c>
      <c r="C106" t="s">
        <v>375</v>
      </c>
      <c r="D106" t="s">
        <v>405</v>
      </c>
      <c r="E106">
        <v>731</v>
      </c>
      <c r="F106" s="1">
        <v>9.1000000000000004E-3</v>
      </c>
      <c r="G106">
        <v>970</v>
      </c>
      <c r="H106" s="1">
        <v>8.8999999999999999E-3</v>
      </c>
      <c r="I106">
        <v>-0.02</v>
      </c>
      <c r="J106">
        <v>239</v>
      </c>
      <c r="K106" s="1">
        <v>8.3000000000000001E-3</v>
      </c>
      <c r="L106">
        <v>1081</v>
      </c>
      <c r="M106" s="1">
        <v>9.0061568454290215E-3</v>
      </c>
      <c r="N106">
        <v>-0.01</v>
      </c>
      <c r="O106">
        <v>111</v>
      </c>
      <c r="P106" s="1">
        <v>1.0288256557604968E-2</v>
      </c>
      <c r="Q106">
        <v>1248</v>
      </c>
      <c r="R106" s="1">
        <v>9.1123491314792238E-3</v>
      </c>
      <c r="S106">
        <v>0</v>
      </c>
      <c r="T106">
        <v>167</v>
      </c>
      <c r="U106" s="1">
        <v>9.8653119092627604E-3</v>
      </c>
      <c r="V106">
        <v>1390</v>
      </c>
      <c r="W106" s="1">
        <v>9.1395056776713331E-3</v>
      </c>
      <c r="X106">
        <v>0</v>
      </c>
      <c r="Y106">
        <v>142</v>
      </c>
      <c r="Z106" s="1">
        <v>9.3853271645736938E-3</v>
      </c>
      <c r="AA106">
        <v>1396</v>
      </c>
      <c r="AB106" s="1">
        <v>9.1244215535046663E-3</v>
      </c>
      <c r="AC106">
        <v>0</v>
      </c>
      <c r="AD106">
        <v>6</v>
      </c>
      <c r="AE106" s="1">
        <v>6.6006600660066007E-3</v>
      </c>
      <c r="AF106">
        <v>1431</v>
      </c>
      <c r="AG106" s="1">
        <v>9.1776657559549009E-3</v>
      </c>
      <c r="AH106">
        <v>0.01</v>
      </c>
      <c r="AI106">
        <v>35</v>
      </c>
      <c r="AJ106" s="1">
        <v>1.1961722488038277E-2</v>
      </c>
    </row>
    <row r="107" spans="1:36" x14ac:dyDescent="0.3">
      <c r="A107" t="s">
        <v>64</v>
      </c>
      <c r="B107">
        <v>186483</v>
      </c>
      <c r="C107" t="s">
        <v>376</v>
      </c>
      <c r="D107" t="s">
        <v>401</v>
      </c>
      <c r="E107">
        <v>26745</v>
      </c>
      <c r="F107" s="1">
        <v>0.33270000000000005</v>
      </c>
      <c r="G107">
        <v>35611</v>
      </c>
      <c r="H107" s="1">
        <v>0.32600000000000001</v>
      </c>
      <c r="I107">
        <v>-0.67</v>
      </c>
      <c r="J107">
        <v>8866</v>
      </c>
      <c r="K107" s="1">
        <v>0.30730000000000002</v>
      </c>
      <c r="L107">
        <v>39195</v>
      </c>
      <c r="M107" s="1">
        <v>0.32654608469619845</v>
      </c>
      <c r="N107">
        <v>-0.62</v>
      </c>
      <c r="O107">
        <v>3584</v>
      </c>
      <c r="P107" s="1">
        <v>0.33219019371582165</v>
      </c>
      <c r="Q107">
        <v>44202</v>
      </c>
      <c r="R107" s="1">
        <v>0.32274363486349728</v>
      </c>
      <c r="S107">
        <v>-1</v>
      </c>
      <c r="T107">
        <v>5007</v>
      </c>
      <c r="U107" s="1">
        <v>0.29578213610586013</v>
      </c>
      <c r="V107">
        <v>48055</v>
      </c>
      <c r="W107" s="1">
        <v>0.31597046427373804</v>
      </c>
      <c r="X107">
        <v>-1.67</v>
      </c>
      <c r="Y107">
        <v>3853</v>
      </c>
      <c r="Z107" s="1">
        <v>0.25465961665565101</v>
      </c>
      <c r="AA107">
        <v>48283</v>
      </c>
      <c r="AB107" s="1">
        <v>0.31558341394546263</v>
      </c>
      <c r="AC107">
        <v>-1.71</v>
      </c>
      <c r="AD107">
        <v>228</v>
      </c>
      <c r="AE107" s="1">
        <v>0.25082508250825081</v>
      </c>
      <c r="AF107">
        <v>48953</v>
      </c>
      <c r="AG107" s="1">
        <v>0.31395826118187298</v>
      </c>
      <c r="AH107">
        <v>-1.87</v>
      </c>
      <c r="AI107">
        <v>670</v>
      </c>
      <c r="AJ107" s="1">
        <v>0.22898154477101845</v>
      </c>
    </row>
    <row r="108" spans="1:36" x14ac:dyDescent="0.3">
      <c r="A108" t="s">
        <v>64</v>
      </c>
      <c r="B108">
        <v>186483</v>
      </c>
      <c r="C108" t="s">
        <v>402</v>
      </c>
      <c r="E108">
        <v>232</v>
      </c>
      <c r="F108" s="1">
        <v>2.8999999999999998E-3</v>
      </c>
      <c r="G108">
        <v>291</v>
      </c>
      <c r="H108" s="1">
        <v>2.7000000000000001E-3</v>
      </c>
      <c r="I108">
        <v>-0.02</v>
      </c>
      <c r="J108">
        <v>59</v>
      </c>
      <c r="K108" s="1">
        <v>2E-3</v>
      </c>
      <c r="L108">
        <v>313</v>
      </c>
      <c r="M108" s="1">
        <v>2.6077031384082179E-3</v>
      </c>
      <c r="N108">
        <v>-0.03</v>
      </c>
      <c r="O108">
        <v>22</v>
      </c>
      <c r="P108" s="1">
        <v>2.0391139123181017E-3</v>
      </c>
      <c r="Q108">
        <v>351</v>
      </c>
      <c r="R108" s="1">
        <v>2.5628481932285316E-3</v>
      </c>
      <c r="S108">
        <v>-0.03</v>
      </c>
      <c r="T108">
        <v>38</v>
      </c>
      <c r="U108" s="1">
        <v>2.2448015122873348E-3</v>
      </c>
      <c r="V108">
        <v>350</v>
      </c>
      <c r="W108" s="1">
        <v>2.3013143792697602E-3</v>
      </c>
      <c r="X108">
        <v>-0.06</v>
      </c>
      <c r="Y108">
        <v>-1</v>
      </c>
      <c r="Z108" s="1">
        <v>-6.6093853271645742E-5</v>
      </c>
      <c r="AA108">
        <v>355</v>
      </c>
      <c r="AB108" s="1">
        <v>2.320322099924181E-3</v>
      </c>
      <c r="AC108">
        <v>-0.06</v>
      </c>
      <c r="AD108">
        <v>5</v>
      </c>
      <c r="AE108" s="1">
        <v>5.5005500550055009E-3</v>
      </c>
      <c r="AF108">
        <v>367</v>
      </c>
      <c r="AG108" s="1">
        <v>2.3537409730506279E-3</v>
      </c>
      <c r="AH108">
        <v>-0.05</v>
      </c>
      <c r="AI108">
        <v>12</v>
      </c>
      <c r="AJ108" s="1">
        <v>4.1011619958988381E-3</v>
      </c>
    </row>
    <row r="109" spans="1:36" x14ac:dyDescent="0.3">
      <c r="A109" t="s">
        <v>64</v>
      </c>
      <c r="B109">
        <v>186483</v>
      </c>
      <c r="C109" t="s">
        <v>701</v>
      </c>
      <c r="E109">
        <v>76</v>
      </c>
      <c r="F109" s="1" t="s">
        <v>700</v>
      </c>
      <c r="G109">
        <v>113</v>
      </c>
      <c r="H109" s="1" t="s">
        <v>700</v>
      </c>
      <c r="I109" t="s">
        <v>700</v>
      </c>
      <c r="J109">
        <v>37</v>
      </c>
      <c r="K109" s="1" t="s">
        <v>700</v>
      </c>
      <c r="L109">
        <v>117</v>
      </c>
      <c r="M109" s="1" t="s">
        <v>700</v>
      </c>
      <c r="N109" t="s">
        <v>700</v>
      </c>
      <c r="O109">
        <v>4</v>
      </c>
      <c r="P109" s="1" t="s">
        <v>700</v>
      </c>
      <c r="Q109">
        <v>126</v>
      </c>
      <c r="R109" s="1" t="s">
        <v>700</v>
      </c>
      <c r="S109" t="s">
        <v>700</v>
      </c>
      <c r="T109">
        <v>9</v>
      </c>
      <c r="U109" s="1" t="s">
        <v>700</v>
      </c>
      <c r="V109">
        <v>68</v>
      </c>
      <c r="Y109">
        <v>-58</v>
      </c>
      <c r="AA109">
        <v>70</v>
      </c>
      <c r="AD109">
        <v>2</v>
      </c>
      <c r="AF109">
        <v>74</v>
      </c>
      <c r="AI109">
        <v>4</v>
      </c>
    </row>
    <row r="110" spans="1:36" x14ac:dyDescent="0.3">
      <c r="A110" t="s">
        <v>64</v>
      </c>
      <c r="B110">
        <v>186483</v>
      </c>
      <c r="C110" t="s">
        <v>702</v>
      </c>
      <c r="E110">
        <v>1008</v>
      </c>
      <c r="F110" s="1" t="s">
        <v>700</v>
      </c>
      <c r="G110">
        <v>1403</v>
      </c>
      <c r="H110" s="1" t="s">
        <v>700</v>
      </c>
      <c r="I110" t="s">
        <v>700</v>
      </c>
      <c r="J110">
        <v>395</v>
      </c>
      <c r="K110" s="1" t="s">
        <v>700</v>
      </c>
      <c r="L110">
        <v>1555</v>
      </c>
      <c r="M110" s="1" t="s">
        <v>700</v>
      </c>
      <c r="N110" t="s">
        <v>700</v>
      </c>
      <c r="O110">
        <v>152</v>
      </c>
      <c r="P110" s="1" t="s">
        <v>700</v>
      </c>
      <c r="Q110">
        <v>1919</v>
      </c>
      <c r="R110" s="1" t="s">
        <v>700</v>
      </c>
      <c r="S110" t="s">
        <v>700</v>
      </c>
      <c r="T110">
        <v>364</v>
      </c>
      <c r="U110" s="1" t="s">
        <v>700</v>
      </c>
      <c r="V110">
        <v>2279</v>
      </c>
      <c r="Y110">
        <v>360</v>
      </c>
      <c r="AA110">
        <v>2302</v>
      </c>
      <c r="AD110">
        <v>23</v>
      </c>
      <c r="AF110">
        <v>2390</v>
      </c>
      <c r="AI110">
        <v>88</v>
      </c>
    </row>
    <row r="111" spans="1:36" x14ac:dyDescent="0.3">
      <c r="A111" t="s">
        <v>174</v>
      </c>
      <c r="B111">
        <v>180757</v>
      </c>
      <c r="C111" t="s">
        <v>699</v>
      </c>
      <c r="E111">
        <v>22257</v>
      </c>
      <c r="F111" s="1" t="s">
        <v>700</v>
      </c>
      <c r="G111">
        <v>25791</v>
      </c>
      <c r="H111" s="1" t="s">
        <v>700</v>
      </c>
      <c r="I111" t="s">
        <v>700</v>
      </c>
      <c r="J111">
        <v>3534</v>
      </c>
      <c r="K111" s="1" t="s">
        <v>700</v>
      </c>
      <c r="L111">
        <v>34960</v>
      </c>
      <c r="M111" s="1" t="s">
        <v>700</v>
      </c>
      <c r="N111" t="s">
        <v>700</v>
      </c>
      <c r="O111">
        <v>9169</v>
      </c>
      <c r="P111" s="1" t="s">
        <v>700</v>
      </c>
      <c r="Q111">
        <v>38680</v>
      </c>
      <c r="R111" s="1" t="s">
        <v>700</v>
      </c>
      <c r="S111" t="s">
        <v>700</v>
      </c>
      <c r="T111">
        <v>3720</v>
      </c>
      <c r="U111" s="1" t="s">
        <v>700</v>
      </c>
      <c r="V111">
        <v>39880</v>
      </c>
      <c r="Y111">
        <v>1200</v>
      </c>
      <c r="AA111">
        <v>39956</v>
      </c>
      <c r="AD111">
        <v>76</v>
      </c>
      <c r="AF111">
        <v>40206</v>
      </c>
      <c r="AI111">
        <v>250</v>
      </c>
    </row>
    <row r="112" spans="1:36" x14ac:dyDescent="0.3">
      <c r="A112" t="s">
        <v>174</v>
      </c>
      <c r="B112">
        <v>180757</v>
      </c>
      <c r="C112" t="s">
        <v>454</v>
      </c>
      <c r="D112" t="s">
        <v>399</v>
      </c>
      <c r="E112">
        <v>16157</v>
      </c>
      <c r="F112" s="1">
        <v>0.74150000000000005</v>
      </c>
      <c r="G112">
        <v>18645</v>
      </c>
      <c r="H112" s="1">
        <v>0.73860000000000003</v>
      </c>
      <c r="I112">
        <v>-0.28999999999999998</v>
      </c>
      <c r="J112">
        <v>2488</v>
      </c>
      <c r="K112" s="1">
        <v>0.72030000000000005</v>
      </c>
      <c r="L112">
        <v>25401</v>
      </c>
      <c r="M112" s="1">
        <v>0.74254560336763331</v>
      </c>
      <c r="N112">
        <v>0.1</v>
      </c>
      <c r="O112">
        <v>6756</v>
      </c>
      <c r="P112" s="1">
        <v>0.75359732292247628</v>
      </c>
      <c r="Q112">
        <v>28324</v>
      </c>
      <c r="R112" s="1">
        <v>0.74788762146176591</v>
      </c>
      <c r="S112">
        <v>0.64</v>
      </c>
      <c r="T112">
        <v>2923</v>
      </c>
      <c r="U112" s="1">
        <v>0.79776200873362446</v>
      </c>
      <c r="V112">
        <v>29175</v>
      </c>
      <c r="W112" s="1">
        <v>0.74721475220898959</v>
      </c>
      <c r="X112">
        <v>0.56999999999999995</v>
      </c>
      <c r="Y112">
        <v>851</v>
      </c>
      <c r="Z112" s="1">
        <v>0.72549019607843135</v>
      </c>
      <c r="AA112">
        <v>29246</v>
      </c>
      <c r="AB112" s="1">
        <v>0.74721512519161981</v>
      </c>
      <c r="AC112">
        <v>0.56999999999999995</v>
      </c>
      <c r="AD112">
        <v>71</v>
      </c>
      <c r="AE112" s="1">
        <v>0.74736842105263157</v>
      </c>
      <c r="AF112">
        <v>29426</v>
      </c>
      <c r="AG112" s="1">
        <v>0.74734596434195155</v>
      </c>
      <c r="AH112">
        <v>0.57999999999999996</v>
      </c>
      <c r="AI112">
        <v>180</v>
      </c>
      <c r="AJ112" s="1">
        <v>0.76923076923076927</v>
      </c>
    </row>
    <row r="113" spans="1:36" x14ac:dyDescent="0.3">
      <c r="A113" t="s">
        <v>174</v>
      </c>
      <c r="B113">
        <v>180757</v>
      </c>
      <c r="C113" t="s">
        <v>455</v>
      </c>
      <c r="D113" t="s">
        <v>401</v>
      </c>
      <c r="E113">
        <v>5604</v>
      </c>
      <c r="F113" s="1">
        <v>0.25719999999999998</v>
      </c>
      <c r="G113">
        <v>6562</v>
      </c>
      <c r="H113" s="1">
        <v>0.26</v>
      </c>
      <c r="I113">
        <v>0.28000000000000003</v>
      </c>
      <c r="J113">
        <v>958</v>
      </c>
      <c r="K113" s="1">
        <v>0.27739999999999998</v>
      </c>
      <c r="L113">
        <v>8752</v>
      </c>
      <c r="M113" s="1">
        <v>0.25584658559401308</v>
      </c>
      <c r="N113">
        <v>-0.14000000000000001</v>
      </c>
      <c r="O113">
        <v>2190</v>
      </c>
      <c r="P113" s="1">
        <v>0.24428332403792527</v>
      </c>
      <c r="Q113">
        <v>9484</v>
      </c>
      <c r="R113" s="1">
        <v>0.25042247570764681</v>
      </c>
      <c r="S113">
        <v>-0.68</v>
      </c>
      <c r="T113">
        <v>732</v>
      </c>
      <c r="U113" s="1">
        <v>0.19978165938864628</v>
      </c>
      <c r="V113">
        <v>9805</v>
      </c>
      <c r="W113" s="1">
        <v>0.25112050198488922</v>
      </c>
      <c r="X113">
        <v>-0.61</v>
      </c>
      <c r="Y113">
        <v>321</v>
      </c>
      <c r="Z113" s="1">
        <v>0.27365728900255754</v>
      </c>
      <c r="AA113">
        <v>9824</v>
      </c>
      <c r="AB113" s="1">
        <v>0.25099642309657638</v>
      </c>
      <c r="AC113">
        <v>-0.62</v>
      </c>
      <c r="AD113">
        <v>19</v>
      </c>
      <c r="AE113" s="1">
        <v>0.2</v>
      </c>
      <c r="AF113">
        <v>9878</v>
      </c>
      <c r="AG113" s="1">
        <v>0.25087621272921218</v>
      </c>
      <c r="AH113">
        <v>-0.63</v>
      </c>
      <c r="AI113">
        <v>54</v>
      </c>
      <c r="AJ113" s="1">
        <v>0.23076923076923078</v>
      </c>
    </row>
    <row r="114" spans="1:36" x14ac:dyDescent="0.3">
      <c r="A114" t="s">
        <v>174</v>
      </c>
      <c r="B114">
        <v>180757</v>
      </c>
      <c r="C114" t="s">
        <v>404</v>
      </c>
      <c r="E114">
        <v>28</v>
      </c>
      <c r="F114" s="1">
        <v>1.2999999999999999E-3</v>
      </c>
      <c r="G114">
        <v>36</v>
      </c>
      <c r="H114" s="1">
        <v>1.4000000000000002E-3</v>
      </c>
      <c r="I114">
        <v>0.01</v>
      </c>
      <c r="J114">
        <v>8</v>
      </c>
      <c r="K114" s="1">
        <v>2.3E-3</v>
      </c>
      <c r="L114">
        <v>55</v>
      </c>
      <c r="M114" s="1">
        <v>1.6078110383536016E-3</v>
      </c>
      <c r="N114">
        <v>0.03</v>
      </c>
      <c r="O114">
        <v>19</v>
      </c>
      <c r="P114" s="1">
        <v>2.1193530395984383E-3</v>
      </c>
      <c r="Q114">
        <v>64</v>
      </c>
      <c r="R114" s="1">
        <v>1.6899028305872412E-3</v>
      </c>
      <c r="S114">
        <v>0.04</v>
      </c>
      <c r="T114">
        <v>9</v>
      </c>
      <c r="U114" s="1">
        <v>2.4563318777292577E-3</v>
      </c>
      <c r="V114">
        <v>65</v>
      </c>
      <c r="W114" s="1">
        <v>1.6647458061211423E-3</v>
      </c>
      <c r="X114">
        <v>0.04</v>
      </c>
      <c r="Y114">
        <v>1</v>
      </c>
      <c r="Z114" s="1">
        <v>8.5251491901108269E-4</v>
      </c>
      <c r="AA114">
        <v>70</v>
      </c>
      <c r="AB114" s="1">
        <v>1.7884517118037812E-3</v>
      </c>
      <c r="AC114">
        <v>0.05</v>
      </c>
      <c r="AD114">
        <v>5</v>
      </c>
      <c r="AE114" s="1">
        <v>5.2631578947368418E-2</v>
      </c>
      <c r="AF114">
        <v>70</v>
      </c>
      <c r="AG114" s="1">
        <v>1.7778229288362879E-3</v>
      </c>
      <c r="AH114">
        <v>0.05</v>
      </c>
      <c r="AI114">
        <v>0</v>
      </c>
      <c r="AJ114" s="1">
        <v>0</v>
      </c>
    </row>
    <row r="115" spans="1:36" x14ac:dyDescent="0.3">
      <c r="A115" t="s">
        <v>174</v>
      </c>
      <c r="B115">
        <v>180757</v>
      </c>
      <c r="C115" t="s">
        <v>701</v>
      </c>
      <c r="E115">
        <v>8</v>
      </c>
      <c r="F115" s="1" t="s">
        <v>700</v>
      </c>
      <c r="G115">
        <v>8</v>
      </c>
      <c r="H115" s="1" t="s">
        <v>700</v>
      </c>
      <c r="I115" t="s">
        <v>700</v>
      </c>
      <c r="J115">
        <v>0</v>
      </c>
      <c r="K115" s="1" t="s">
        <v>700</v>
      </c>
      <c r="L115">
        <v>13</v>
      </c>
      <c r="M115" s="1" t="s">
        <v>700</v>
      </c>
      <c r="N115" t="s">
        <v>700</v>
      </c>
      <c r="O115">
        <v>5</v>
      </c>
      <c r="P115" s="1" t="s">
        <v>700</v>
      </c>
      <c r="Q115">
        <v>2</v>
      </c>
      <c r="R115" s="1" t="s">
        <v>700</v>
      </c>
      <c r="S115" t="s">
        <v>700</v>
      </c>
      <c r="T115">
        <v>-11</v>
      </c>
      <c r="U115" s="1" t="s">
        <v>700</v>
      </c>
      <c r="V115">
        <v>2</v>
      </c>
      <c r="Y115">
        <v>0</v>
      </c>
      <c r="AA115">
        <v>0</v>
      </c>
      <c r="AD115">
        <v>-2</v>
      </c>
      <c r="AF115">
        <v>0</v>
      </c>
    </row>
    <row r="116" spans="1:36" x14ac:dyDescent="0.3">
      <c r="A116" t="s">
        <v>174</v>
      </c>
      <c r="B116">
        <v>180757</v>
      </c>
      <c r="C116" t="s">
        <v>702</v>
      </c>
      <c r="E116">
        <v>184</v>
      </c>
      <c r="F116" s="1" t="s">
        <v>700</v>
      </c>
      <c r="G116">
        <v>224</v>
      </c>
      <c r="H116" s="1" t="s">
        <v>700</v>
      </c>
      <c r="I116" t="s">
        <v>700</v>
      </c>
      <c r="J116">
        <v>40</v>
      </c>
      <c r="K116" s="1" t="s">
        <v>700</v>
      </c>
      <c r="L116">
        <v>317</v>
      </c>
      <c r="M116" s="1" t="s">
        <v>700</v>
      </c>
      <c r="N116" t="s">
        <v>700</v>
      </c>
      <c r="O116">
        <v>93</v>
      </c>
      <c r="P116" s="1" t="s">
        <v>700</v>
      </c>
      <c r="Q116">
        <v>326</v>
      </c>
      <c r="R116" s="1" t="s">
        <v>700</v>
      </c>
      <c r="S116" t="s">
        <v>700</v>
      </c>
      <c r="T116">
        <v>9</v>
      </c>
      <c r="U116" s="1" t="s">
        <v>700</v>
      </c>
      <c r="V116">
        <v>326</v>
      </c>
      <c r="Y116">
        <v>0</v>
      </c>
      <c r="AA116">
        <v>323</v>
      </c>
      <c r="AD116">
        <v>-3</v>
      </c>
      <c r="AF116">
        <v>331</v>
      </c>
      <c r="AI116">
        <v>8</v>
      </c>
    </row>
    <row r="117" spans="1:36" x14ac:dyDescent="0.3">
      <c r="A117" t="s">
        <v>175</v>
      </c>
      <c r="B117">
        <v>182344</v>
      </c>
      <c r="C117" t="s">
        <v>699</v>
      </c>
      <c r="E117">
        <v>22257</v>
      </c>
      <c r="F117" s="1" t="s">
        <v>700</v>
      </c>
      <c r="G117">
        <v>25791</v>
      </c>
      <c r="H117" s="1" t="s">
        <v>700</v>
      </c>
      <c r="I117" t="s">
        <v>700</v>
      </c>
      <c r="J117">
        <v>3534</v>
      </c>
      <c r="K117" s="1" t="s">
        <v>700</v>
      </c>
      <c r="L117">
        <v>34960</v>
      </c>
      <c r="M117" s="1" t="s">
        <v>700</v>
      </c>
      <c r="N117" t="s">
        <v>700</v>
      </c>
      <c r="O117">
        <v>9169</v>
      </c>
      <c r="P117" s="1" t="s">
        <v>700</v>
      </c>
      <c r="Q117">
        <v>38680</v>
      </c>
      <c r="R117" s="1" t="s">
        <v>700</v>
      </c>
      <c r="S117" t="s">
        <v>700</v>
      </c>
      <c r="T117">
        <v>3720</v>
      </c>
      <c r="U117" s="1" t="s">
        <v>700</v>
      </c>
      <c r="V117">
        <v>39880</v>
      </c>
      <c r="Y117">
        <v>1200</v>
      </c>
      <c r="AA117">
        <v>39956</v>
      </c>
      <c r="AD117">
        <v>76</v>
      </c>
      <c r="AF117">
        <v>40206</v>
      </c>
      <c r="AI117">
        <v>250</v>
      </c>
    </row>
    <row r="118" spans="1:36" x14ac:dyDescent="0.3">
      <c r="A118" t="s">
        <v>175</v>
      </c>
      <c r="B118">
        <v>182344</v>
      </c>
      <c r="C118" t="s">
        <v>456</v>
      </c>
      <c r="D118" t="s">
        <v>457</v>
      </c>
      <c r="E118">
        <v>1154</v>
      </c>
      <c r="F118" s="1">
        <v>5.2900000000000003E-2</v>
      </c>
      <c r="G118">
        <v>1364</v>
      </c>
      <c r="H118" s="1">
        <v>5.3899999999999997E-2</v>
      </c>
      <c r="I118">
        <v>0.1</v>
      </c>
      <c r="J118">
        <v>210</v>
      </c>
      <c r="K118" s="1">
        <v>6.0499999999999998E-2</v>
      </c>
      <c r="L118">
        <v>1869</v>
      </c>
      <c r="M118" s="1">
        <v>5.4577310556285591E-2</v>
      </c>
      <c r="N118">
        <v>0.17</v>
      </c>
      <c r="O118">
        <v>505</v>
      </c>
      <c r="P118" s="1">
        <v>5.6349029234545864E-2</v>
      </c>
      <c r="Q118">
        <v>2094</v>
      </c>
      <c r="R118" s="1">
        <v>5.525503337995092E-2</v>
      </c>
      <c r="S118">
        <v>0.24</v>
      </c>
      <c r="T118">
        <v>225</v>
      </c>
      <c r="U118" s="1">
        <v>6.1610076670317634E-2</v>
      </c>
      <c r="V118">
        <v>2173</v>
      </c>
      <c r="W118" s="1">
        <v>5.557829044963937E-2</v>
      </c>
      <c r="X118">
        <v>0.27</v>
      </c>
      <c r="Y118">
        <v>79</v>
      </c>
      <c r="Z118" s="1">
        <v>6.5778517901748546E-2</v>
      </c>
      <c r="AA118">
        <v>2176</v>
      </c>
      <c r="AB118" s="1">
        <v>5.5476239037324085E-2</v>
      </c>
      <c r="AC118">
        <v>0.26</v>
      </c>
      <c r="AD118">
        <v>3</v>
      </c>
      <c r="AE118" s="1">
        <v>2.3809523809523808E-2</v>
      </c>
      <c r="AF118">
        <v>2190</v>
      </c>
      <c r="AG118" s="1">
        <v>5.5503459462199353E-2</v>
      </c>
      <c r="AH118">
        <v>0.26</v>
      </c>
      <c r="AI118">
        <v>14</v>
      </c>
      <c r="AJ118" s="1">
        <v>6.0085836909871244E-2</v>
      </c>
    </row>
    <row r="119" spans="1:36" x14ac:dyDescent="0.3">
      <c r="A119" t="s">
        <v>175</v>
      </c>
      <c r="B119">
        <v>182344</v>
      </c>
      <c r="C119" t="s">
        <v>458</v>
      </c>
      <c r="D119" t="s">
        <v>399</v>
      </c>
      <c r="E119">
        <v>10677</v>
      </c>
      <c r="F119" s="1">
        <v>0.48950000000000005</v>
      </c>
      <c r="G119">
        <v>12299</v>
      </c>
      <c r="H119" s="1">
        <v>0.48649999999999999</v>
      </c>
      <c r="I119">
        <v>-0.3</v>
      </c>
      <c r="J119">
        <v>1622</v>
      </c>
      <c r="K119" s="1">
        <v>0.46740000000000004</v>
      </c>
      <c r="L119">
        <v>16602</v>
      </c>
      <c r="M119" s="1">
        <v>0.48480070083223831</v>
      </c>
      <c r="N119">
        <v>-0.47</v>
      </c>
      <c r="O119">
        <v>4303</v>
      </c>
      <c r="P119" s="1">
        <v>0.48013836197277393</v>
      </c>
      <c r="Q119">
        <v>18426</v>
      </c>
      <c r="R119" s="1">
        <v>0.48621262896799217</v>
      </c>
      <c r="S119">
        <v>-0.33</v>
      </c>
      <c r="T119">
        <v>1824</v>
      </c>
      <c r="U119" s="1">
        <v>0.4994523548740416</v>
      </c>
      <c r="V119">
        <v>18977</v>
      </c>
      <c r="W119" s="1">
        <v>0.48537009565706685</v>
      </c>
      <c r="X119">
        <v>-0.41</v>
      </c>
      <c r="Y119">
        <v>551</v>
      </c>
      <c r="Z119" s="1">
        <v>0.45878434637801829</v>
      </c>
      <c r="AA119">
        <v>19035</v>
      </c>
      <c r="AB119" s="1">
        <v>0.48528961860085662</v>
      </c>
      <c r="AC119">
        <v>-0.42</v>
      </c>
      <c r="AD119">
        <v>58</v>
      </c>
      <c r="AE119" s="1">
        <v>0.46031746031746029</v>
      </c>
      <c r="AF119">
        <v>19150</v>
      </c>
      <c r="AG119" s="1">
        <v>0.48533846972653777</v>
      </c>
      <c r="AH119">
        <v>-0.42</v>
      </c>
      <c r="AI119">
        <v>115</v>
      </c>
      <c r="AJ119" s="1">
        <v>0.49356223175965663</v>
      </c>
    </row>
    <row r="120" spans="1:36" x14ac:dyDescent="0.3">
      <c r="A120" t="s">
        <v>175</v>
      </c>
      <c r="B120">
        <v>182344</v>
      </c>
      <c r="C120" t="s">
        <v>459</v>
      </c>
      <c r="D120" t="s">
        <v>401</v>
      </c>
      <c r="E120">
        <v>5242</v>
      </c>
      <c r="F120" s="1">
        <v>0.24030000000000001</v>
      </c>
      <c r="G120">
        <v>6100</v>
      </c>
      <c r="H120" s="1">
        <v>0.24129999999999999</v>
      </c>
      <c r="I120">
        <v>0.1</v>
      </c>
      <c r="J120">
        <v>858</v>
      </c>
      <c r="K120" s="1">
        <v>0.24729999999999999</v>
      </c>
      <c r="L120">
        <v>8116</v>
      </c>
      <c r="M120" s="1">
        <v>0.236998101912688</v>
      </c>
      <c r="N120">
        <v>-0.33</v>
      </c>
      <c r="O120">
        <v>2016</v>
      </c>
      <c r="P120" s="1">
        <v>0.2249497879937514</v>
      </c>
      <c r="Q120">
        <v>8751</v>
      </c>
      <c r="R120" s="1">
        <v>0.2309153758872734</v>
      </c>
      <c r="S120">
        <v>-0.94</v>
      </c>
      <c r="T120">
        <v>635</v>
      </c>
      <c r="U120" s="1">
        <v>0.17387732749178533</v>
      </c>
      <c r="V120">
        <v>9043</v>
      </c>
      <c r="W120" s="1">
        <v>0.23129060309990282</v>
      </c>
      <c r="X120">
        <v>-0.9</v>
      </c>
      <c r="Y120">
        <v>292</v>
      </c>
      <c r="Z120" s="1">
        <v>0.24313072439633637</v>
      </c>
      <c r="AA120">
        <v>9062</v>
      </c>
      <c r="AB120" s="1">
        <v>0.23103202121150315</v>
      </c>
      <c r="AC120">
        <v>-0.93</v>
      </c>
      <c r="AD120">
        <v>19</v>
      </c>
      <c r="AE120" s="1">
        <v>0.15079365079365079</v>
      </c>
      <c r="AF120">
        <v>9110</v>
      </c>
      <c r="AG120" s="1">
        <v>0.23088425374458271</v>
      </c>
      <c r="AH120">
        <v>-0.94</v>
      </c>
      <c r="AI120">
        <v>48</v>
      </c>
      <c r="AJ120" s="1">
        <v>0.20600858369098712</v>
      </c>
    </row>
    <row r="121" spans="1:36" x14ac:dyDescent="0.3">
      <c r="A121" t="s">
        <v>175</v>
      </c>
      <c r="B121">
        <v>182344</v>
      </c>
      <c r="C121" t="s">
        <v>460</v>
      </c>
      <c r="D121" t="s">
        <v>399</v>
      </c>
      <c r="E121">
        <v>4729</v>
      </c>
      <c r="F121" s="1">
        <v>0.21679999999999999</v>
      </c>
      <c r="G121">
        <v>5509</v>
      </c>
      <c r="H121" s="1">
        <v>0.21789999999999998</v>
      </c>
      <c r="I121">
        <v>0.11</v>
      </c>
      <c r="J121">
        <v>780</v>
      </c>
      <c r="K121" s="1">
        <v>0.2248</v>
      </c>
      <c r="L121">
        <v>7632</v>
      </c>
      <c r="M121" s="1">
        <v>0.2228646517739816</v>
      </c>
      <c r="N121">
        <v>0.61</v>
      </c>
      <c r="O121">
        <v>2123</v>
      </c>
      <c r="P121" s="1">
        <v>0.23688908725730864</v>
      </c>
      <c r="Q121">
        <v>8598</v>
      </c>
      <c r="R121" s="1">
        <v>0.22687811700134575</v>
      </c>
      <c r="S121">
        <v>1.01</v>
      </c>
      <c r="T121">
        <v>966</v>
      </c>
      <c r="U121" s="1">
        <v>0.26451259583789705</v>
      </c>
      <c r="V121">
        <v>8876</v>
      </c>
      <c r="W121" s="1">
        <v>0.2270192848739066</v>
      </c>
      <c r="X121">
        <v>1.02</v>
      </c>
      <c r="Y121">
        <v>278</v>
      </c>
      <c r="Z121" s="1">
        <v>0.231473771856786</v>
      </c>
      <c r="AA121">
        <v>8919</v>
      </c>
      <c r="AB121" s="1">
        <v>0.22738629410564959</v>
      </c>
      <c r="AC121">
        <v>1.06</v>
      </c>
      <c r="AD121">
        <v>43</v>
      </c>
      <c r="AE121" s="1">
        <v>0.34126984126984128</v>
      </c>
      <c r="AF121">
        <v>8974</v>
      </c>
      <c r="AG121" s="1">
        <v>0.22743746356793471</v>
      </c>
      <c r="AH121">
        <v>1.06</v>
      </c>
      <c r="AI121">
        <v>55</v>
      </c>
      <c r="AJ121" s="1">
        <v>0.23605150214592274</v>
      </c>
    </row>
    <row r="122" spans="1:36" x14ac:dyDescent="0.3">
      <c r="A122" t="s">
        <v>175</v>
      </c>
      <c r="B122">
        <v>182344</v>
      </c>
      <c r="C122" t="s">
        <v>402</v>
      </c>
      <c r="E122">
        <v>11</v>
      </c>
      <c r="F122" s="1">
        <v>5.0000000000000001E-4</v>
      </c>
      <c r="G122">
        <v>11</v>
      </c>
      <c r="H122" s="1">
        <v>4.0000000000000002E-4</v>
      </c>
      <c r="I122">
        <v>-0.01</v>
      </c>
      <c r="J122">
        <v>0</v>
      </c>
      <c r="K122" s="1" t="s">
        <v>700</v>
      </c>
      <c r="L122">
        <v>26</v>
      </c>
      <c r="M122" s="1">
        <v>7.5923492480654115E-4</v>
      </c>
      <c r="N122">
        <v>0.03</v>
      </c>
      <c r="O122">
        <v>15</v>
      </c>
      <c r="P122" s="1">
        <v>1.673733541620174E-3</v>
      </c>
      <c r="Q122">
        <v>28</v>
      </c>
      <c r="R122" s="1">
        <v>7.3884476343773914E-4</v>
      </c>
      <c r="S122">
        <v>0.02</v>
      </c>
      <c r="T122">
        <v>2</v>
      </c>
      <c r="U122" s="1">
        <v>5.4764512595837896E-4</v>
      </c>
      <c r="V122">
        <v>29</v>
      </c>
      <c r="W122" s="1">
        <v>7.4172591948437258E-4</v>
      </c>
      <c r="X122">
        <v>0.02</v>
      </c>
      <c r="Y122">
        <v>1</v>
      </c>
      <c r="Z122" s="1">
        <v>8.3263946711074107E-4</v>
      </c>
      <c r="AA122">
        <v>32</v>
      </c>
      <c r="AB122" s="1">
        <v>8.1582704466653065E-4</v>
      </c>
      <c r="AC122">
        <v>0.03</v>
      </c>
      <c r="AD122">
        <v>3</v>
      </c>
      <c r="AE122" s="1">
        <v>2.3809523809523808E-2</v>
      </c>
      <c r="AF122">
        <v>33</v>
      </c>
      <c r="AG122" s="1">
        <v>8.363534987454698E-4</v>
      </c>
      <c r="AH122">
        <v>0.03</v>
      </c>
      <c r="AI122">
        <v>1</v>
      </c>
      <c r="AJ122" s="1">
        <v>4.2918454935622317E-3</v>
      </c>
    </row>
    <row r="123" spans="1:36" x14ac:dyDescent="0.3">
      <c r="A123" t="s">
        <v>175</v>
      </c>
      <c r="B123">
        <v>182344</v>
      </c>
      <c r="C123" t="s">
        <v>701</v>
      </c>
      <c r="E123">
        <v>14</v>
      </c>
      <c r="F123" s="1" t="s">
        <v>700</v>
      </c>
      <c r="G123">
        <v>18</v>
      </c>
      <c r="H123" s="1" t="s">
        <v>700</v>
      </c>
      <c r="I123" t="s">
        <v>700</v>
      </c>
      <c r="J123">
        <v>4</v>
      </c>
      <c r="K123" s="1" t="s">
        <v>700</v>
      </c>
      <c r="L123">
        <v>28</v>
      </c>
      <c r="M123" s="1" t="s">
        <v>700</v>
      </c>
      <c r="N123" t="s">
        <v>700</v>
      </c>
      <c r="O123">
        <v>10</v>
      </c>
      <c r="P123" s="1" t="s">
        <v>700</v>
      </c>
      <c r="Q123">
        <v>5</v>
      </c>
      <c r="R123" s="1" t="s">
        <v>700</v>
      </c>
      <c r="S123" t="s">
        <v>700</v>
      </c>
      <c r="T123">
        <v>-23</v>
      </c>
      <c r="U123" s="1" t="s">
        <v>700</v>
      </c>
      <c r="V123">
        <v>5</v>
      </c>
      <c r="Y123">
        <v>0</v>
      </c>
      <c r="AA123">
        <v>1</v>
      </c>
      <c r="AD123">
        <v>-4</v>
      </c>
      <c r="AF123">
        <v>1</v>
      </c>
      <c r="AI123">
        <v>0</v>
      </c>
    </row>
    <row r="124" spans="1:36" x14ac:dyDescent="0.3">
      <c r="A124" t="s">
        <v>175</v>
      </c>
      <c r="B124">
        <v>182344</v>
      </c>
      <c r="C124" t="s">
        <v>702</v>
      </c>
      <c r="E124">
        <v>192</v>
      </c>
      <c r="F124" s="1" t="s">
        <v>700</v>
      </c>
      <c r="G124">
        <v>215</v>
      </c>
      <c r="H124" s="1" t="s">
        <v>700</v>
      </c>
      <c r="I124" t="s">
        <v>700</v>
      </c>
      <c r="J124">
        <v>23</v>
      </c>
      <c r="K124" s="1" t="s">
        <v>700</v>
      </c>
      <c r="L124">
        <v>308</v>
      </c>
      <c r="M124" s="1" t="s">
        <v>700</v>
      </c>
      <c r="N124" t="s">
        <v>700</v>
      </c>
      <c r="O124">
        <v>93</v>
      </c>
      <c r="P124" s="1" t="s">
        <v>700</v>
      </c>
      <c r="Q124">
        <v>324</v>
      </c>
      <c r="R124" s="1" t="s">
        <v>700</v>
      </c>
      <c r="S124" t="s">
        <v>700</v>
      </c>
      <c r="T124">
        <v>16</v>
      </c>
      <c r="U124" s="1" t="s">
        <v>700</v>
      </c>
      <c r="V124">
        <v>324</v>
      </c>
      <c r="Y124">
        <v>0</v>
      </c>
      <c r="AA124">
        <v>323</v>
      </c>
      <c r="AD124">
        <v>-1</v>
      </c>
      <c r="AF124">
        <v>332</v>
      </c>
      <c r="AI124">
        <v>9</v>
      </c>
    </row>
    <row r="125" spans="1:36" x14ac:dyDescent="0.3">
      <c r="A125" t="s">
        <v>210</v>
      </c>
      <c r="B125">
        <v>173361</v>
      </c>
      <c r="C125" t="s">
        <v>699</v>
      </c>
      <c r="E125">
        <v>15662</v>
      </c>
      <c r="F125" s="1" t="s">
        <v>700</v>
      </c>
      <c r="G125">
        <v>22366</v>
      </c>
      <c r="H125" s="1" t="s">
        <v>700</v>
      </c>
      <c r="I125" t="s">
        <v>700</v>
      </c>
      <c r="J125">
        <v>6704</v>
      </c>
      <c r="K125" s="1" t="s">
        <v>700</v>
      </c>
      <c r="L125">
        <v>24688</v>
      </c>
      <c r="M125" s="1" t="s">
        <v>700</v>
      </c>
      <c r="N125" t="s">
        <v>700</v>
      </c>
      <c r="O125">
        <v>2322</v>
      </c>
      <c r="P125" s="1" t="s">
        <v>700</v>
      </c>
      <c r="Q125">
        <v>28692</v>
      </c>
      <c r="R125" s="1" t="s">
        <v>700</v>
      </c>
      <c r="S125" t="s">
        <v>700</v>
      </c>
      <c r="T125">
        <v>4004</v>
      </c>
      <c r="U125" s="1" t="s">
        <v>700</v>
      </c>
      <c r="V125">
        <v>31578</v>
      </c>
      <c r="Y125">
        <v>2886</v>
      </c>
      <c r="AA125">
        <v>31804</v>
      </c>
      <c r="AD125">
        <v>226</v>
      </c>
      <c r="AF125">
        <v>32399</v>
      </c>
      <c r="AI125">
        <v>595</v>
      </c>
    </row>
    <row r="126" spans="1:36" x14ac:dyDescent="0.3">
      <c r="A126" t="s">
        <v>210</v>
      </c>
      <c r="B126">
        <v>173361</v>
      </c>
      <c r="C126" t="s">
        <v>461</v>
      </c>
      <c r="D126" t="s">
        <v>462</v>
      </c>
      <c r="E126">
        <v>6352</v>
      </c>
      <c r="F126" s="1">
        <v>0.41299999999999998</v>
      </c>
      <c r="G126">
        <v>9042</v>
      </c>
      <c r="H126" s="1">
        <v>0.41220000000000001</v>
      </c>
      <c r="I126">
        <v>-0.08</v>
      </c>
      <c r="J126">
        <v>2690</v>
      </c>
      <c r="K126" s="1">
        <v>0.41009999999999996</v>
      </c>
      <c r="L126">
        <v>9931</v>
      </c>
      <c r="M126" s="1">
        <v>0.40982997689006273</v>
      </c>
      <c r="N126">
        <v>-0.32</v>
      </c>
      <c r="O126">
        <v>889</v>
      </c>
      <c r="P126" s="1">
        <v>0.3875326939843069</v>
      </c>
      <c r="Q126">
        <v>11597</v>
      </c>
      <c r="R126" s="1">
        <v>0.41285154859380563</v>
      </c>
      <c r="S126">
        <v>-0.01</v>
      </c>
      <c r="T126">
        <v>1666</v>
      </c>
      <c r="U126" s="1">
        <v>0.43182996371176774</v>
      </c>
      <c r="V126">
        <v>12852</v>
      </c>
      <c r="W126" s="1">
        <v>0.41607044578976332</v>
      </c>
      <c r="X126">
        <v>0.31</v>
      </c>
      <c r="Y126">
        <v>1255</v>
      </c>
      <c r="Z126" s="1">
        <v>0.44837441943551271</v>
      </c>
      <c r="AA126">
        <v>12959</v>
      </c>
      <c r="AB126" s="1">
        <v>0.41659433568007204</v>
      </c>
      <c r="AC126">
        <v>0.36</v>
      </c>
      <c r="AD126">
        <v>107</v>
      </c>
      <c r="AE126" s="1">
        <v>0.49082568807339449</v>
      </c>
      <c r="AF126">
        <v>13214</v>
      </c>
      <c r="AG126" s="1">
        <v>0.41737207833228046</v>
      </c>
      <c r="AH126">
        <v>0.44</v>
      </c>
      <c r="AI126">
        <v>255</v>
      </c>
      <c r="AJ126" s="1">
        <v>0.46112115732368897</v>
      </c>
    </row>
    <row r="127" spans="1:36" x14ac:dyDescent="0.3">
      <c r="A127" t="s">
        <v>210</v>
      </c>
      <c r="B127">
        <v>173361</v>
      </c>
      <c r="C127" t="s">
        <v>463</v>
      </c>
      <c r="D127" t="s">
        <v>401</v>
      </c>
      <c r="E127">
        <v>8993</v>
      </c>
      <c r="F127" s="1">
        <v>0.58479999999999999</v>
      </c>
      <c r="G127">
        <v>12851</v>
      </c>
      <c r="H127" s="1">
        <v>0.58579999999999999</v>
      </c>
      <c r="I127">
        <v>0.1</v>
      </c>
      <c r="J127">
        <v>3858</v>
      </c>
      <c r="K127" s="1">
        <v>0.58820000000000006</v>
      </c>
      <c r="L127">
        <v>14253</v>
      </c>
      <c r="M127" s="1">
        <v>0.58818917134367776</v>
      </c>
      <c r="N127">
        <v>0.34</v>
      </c>
      <c r="O127">
        <v>1402</v>
      </c>
      <c r="P127" s="1">
        <v>0.61115954664341765</v>
      </c>
      <c r="Q127">
        <v>16435</v>
      </c>
      <c r="R127" s="1">
        <v>0.58508365966536136</v>
      </c>
      <c r="S127">
        <v>0.03</v>
      </c>
      <c r="T127">
        <v>2182</v>
      </c>
      <c r="U127" s="1">
        <v>0.56557801969932608</v>
      </c>
      <c r="V127">
        <v>17983</v>
      </c>
      <c r="W127" s="1">
        <v>0.58218135905985946</v>
      </c>
      <c r="X127">
        <v>-0.26</v>
      </c>
      <c r="Y127">
        <v>1548</v>
      </c>
      <c r="Z127" s="1">
        <v>0.55305466237942125</v>
      </c>
      <c r="AA127">
        <v>18093</v>
      </c>
      <c r="AB127" s="1">
        <v>0.58163757353650303</v>
      </c>
      <c r="AC127">
        <v>-0.32</v>
      </c>
      <c r="AD127">
        <v>110</v>
      </c>
      <c r="AE127" s="1">
        <v>0.50458715596330272</v>
      </c>
      <c r="AF127">
        <v>18389</v>
      </c>
      <c r="AG127" s="1">
        <v>0.58082754264055592</v>
      </c>
      <c r="AH127">
        <v>-0.4</v>
      </c>
      <c r="AI127">
        <v>296</v>
      </c>
      <c r="AJ127" s="1">
        <v>0.53526220614828213</v>
      </c>
    </row>
    <row r="128" spans="1:36" x14ac:dyDescent="0.3">
      <c r="A128" t="s">
        <v>210</v>
      </c>
      <c r="B128">
        <v>173361</v>
      </c>
      <c r="C128" t="s">
        <v>402</v>
      </c>
      <c r="E128">
        <v>34</v>
      </c>
      <c r="F128" s="1">
        <v>2.2000000000000001E-3</v>
      </c>
      <c r="G128">
        <v>45</v>
      </c>
      <c r="H128" s="1">
        <v>2.0999999999999999E-3</v>
      </c>
      <c r="I128">
        <v>-0.01</v>
      </c>
      <c r="J128">
        <v>11</v>
      </c>
      <c r="K128" s="1">
        <v>1.7000000000000001E-3</v>
      </c>
      <c r="L128">
        <v>48</v>
      </c>
      <c r="M128" s="1">
        <v>1.9808517662594917E-3</v>
      </c>
      <c r="N128">
        <v>-0.02</v>
      </c>
      <c r="O128">
        <v>3</v>
      </c>
      <c r="P128" s="1">
        <v>1.3077593722755014E-3</v>
      </c>
      <c r="Q128">
        <v>58</v>
      </c>
      <c r="R128" s="1">
        <v>2.0647917408330367E-3</v>
      </c>
      <c r="S128">
        <v>-0.01</v>
      </c>
      <c r="T128">
        <v>10</v>
      </c>
      <c r="U128" s="1">
        <v>2.592016588906169E-3</v>
      </c>
      <c r="V128">
        <v>54</v>
      </c>
      <c r="W128" s="1">
        <v>1.7481951503771568E-3</v>
      </c>
      <c r="X128">
        <v>-0.05</v>
      </c>
      <c r="Y128">
        <v>-4</v>
      </c>
      <c r="Z128" s="1">
        <v>-1.4290818149339049E-3</v>
      </c>
      <c r="AA128">
        <v>55</v>
      </c>
      <c r="AB128" s="1">
        <v>1.7680907834249527E-3</v>
      </c>
      <c r="AC128">
        <v>-0.04</v>
      </c>
      <c r="AD128">
        <v>1</v>
      </c>
      <c r="AE128" s="1">
        <v>4.5871559633027525E-3</v>
      </c>
      <c r="AF128">
        <v>57</v>
      </c>
      <c r="AG128" s="1">
        <v>1.8003790271636133E-3</v>
      </c>
      <c r="AH128">
        <v>-0.04</v>
      </c>
      <c r="AI128">
        <v>2</v>
      </c>
      <c r="AJ128" s="1">
        <v>3.616636528028933E-3</v>
      </c>
    </row>
    <row r="129" spans="1:36" x14ac:dyDescent="0.3">
      <c r="A129" t="s">
        <v>210</v>
      </c>
      <c r="B129">
        <v>173361</v>
      </c>
      <c r="C129" t="s">
        <v>701</v>
      </c>
      <c r="E129">
        <v>1</v>
      </c>
      <c r="F129" s="1" t="s">
        <v>700</v>
      </c>
      <c r="G129">
        <v>3</v>
      </c>
      <c r="H129" s="1" t="s">
        <v>700</v>
      </c>
      <c r="I129" t="s">
        <v>700</v>
      </c>
      <c r="J129">
        <v>2</v>
      </c>
      <c r="K129" s="1" t="s">
        <v>700</v>
      </c>
      <c r="L129">
        <v>9</v>
      </c>
      <c r="M129" s="1" t="s">
        <v>700</v>
      </c>
      <c r="N129" t="s">
        <v>700</v>
      </c>
      <c r="O129">
        <v>6</v>
      </c>
      <c r="P129" s="1" t="s">
        <v>700</v>
      </c>
      <c r="Q129">
        <v>9</v>
      </c>
      <c r="R129" s="1" t="s">
        <v>700</v>
      </c>
      <c r="S129" t="s">
        <v>700</v>
      </c>
      <c r="T129">
        <v>0</v>
      </c>
      <c r="U129" s="1" t="s">
        <v>700</v>
      </c>
      <c r="V129">
        <v>1</v>
      </c>
      <c r="Y129">
        <v>-8</v>
      </c>
      <c r="AA129">
        <v>1</v>
      </c>
      <c r="AD129">
        <v>0</v>
      </c>
      <c r="AF129">
        <v>2</v>
      </c>
      <c r="AI129">
        <v>1</v>
      </c>
    </row>
    <row r="130" spans="1:36" x14ac:dyDescent="0.3">
      <c r="A130" t="s">
        <v>210</v>
      </c>
      <c r="B130">
        <v>173361</v>
      </c>
      <c r="C130" t="s">
        <v>702</v>
      </c>
      <c r="E130">
        <v>282</v>
      </c>
      <c r="F130" s="1" t="s">
        <v>700</v>
      </c>
      <c r="G130">
        <v>425</v>
      </c>
      <c r="H130" s="1" t="s">
        <v>700</v>
      </c>
      <c r="I130" t="s">
        <v>700</v>
      </c>
      <c r="J130">
        <v>143</v>
      </c>
      <c r="K130" s="1" t="s">
        <v>700</v>
      </c>
      <c r="L130">
        <v>447</v>
      </c>
      <c r="M130" s="1" t="s">
        <v>700</v>
      </c>
      <c r="N130" t="s">
        <v>700</v>
      </c>
      <c r="O130">
        <v>22</v>
      </c>
      <c r="P130" s="1" t="s">
        <v>700</v>
      </c>
      <c r="Q130">
        <v>593</v>
      </c>
      <c r="R130" s="1" t="s">
        <v>700</v>
      </c>
      <c r="S130" t="s">
        <v>700</v>
      </c>
      <c r="T130">
        <v>146</v>
      </c>
      <c r="U130" s="1" t="s">
        <v>700</v>
      </c>
      <c r="V130">
        <v>688</v>
      </c>
      <c r="Y130">
        <v>95</v>
      </c>
      <c r="AA130">
        <v>696</v>
      </c>
      <c r="AD130">
        <v>8</v>
      </c>
      <c r="AF130">
        <v>737</v>
      </c>
      <c r="AI130">
        <v>41</v>
      </c>
    </row>
    <row r="131" spans="1:36" x14ac:dyDescent="0.3">
      <c r="A131" t="s">
        <v>211</v>
      </c>
      <c r="B131">
        <v>176934</v>
      </c>
      <c r="C131" t="s">
        <v>699</v>
      </c>
      <c r="E131">
        <v>15662</v>
      </c>
      <c r="F131" s="1" t="s">
        <v>700</v>
      </c>
      <c r="G131">
        <v>22366</v>
      </c>
      <c r="H131" s="1" t="s">
        <v>700</v>
      </c>
      <c r="I131" t="s">
        <v>700</v>
      </c>
      <c r="J131">
        <v>6704</v>
      </c>
      <c r="K131" s="1" t="s">
        <v>700</v>
      </c>
      <c r="L131">
        <v>24688</v>
      </c>
      <c r="M131" s="1" t="s">
        <v>700</v>
      </c>
      <c r="N131" t="s">
        <v>700</v>
      </c>
      <c r="O131">
        <v>2322</v>
      </c>
      <c r="P131" s="1" t="s">
        <v>700</v>
      </c>
      <c r="Q131">
        <v>28692</v>
      </c>
      <c r="R131" s="1" t="s">
        <v>700</v>
      </c>
      <c r="S131" t="s">
        <v>700</v>
      </c>
      <c r="T131">
        <v>4004</v>
      </c>
      <c r="U131" s="1" t="s">
        <v>700</v>
      </c>
      <c r="V131">
        <v>31578</v>
      </c>
      <c r="Y131">
        <v>2886</v>
      </c>
      <c r="AA131">
        <v>31804</v>
      </c>
      <c r="AD131">
        <v>226</v>
      </c>
      <c r="AF131">
        <v>32399</v>
      </c>
      <c r="AI131">
        <v>595</v>
      </c>
    </row>
    <row r="132" spans="1:36" x14ac:dyDescent="0.3">
      <c r="A132" t="s">
        <v>211</v>
      </c>
      <c r="B132">
        <v>176934</v>
      </c>
      <c r="C132" t="s">
        <v>464</v>
      </c>
      <c r="D132" t="s">
        <v>399</v>
      </c>
      <c r="E132">
        <v>4985</v>
      </c>
      <c r="F132" s="1">
        <v>0.32390000000000002</v>
      </c>
      <c r="G132">
        <v>7178</v>
      </c>
      <c r="H132" s="1">
        <v>0.32640000000000002</v>
      </c>
      <c r="I132">
        <v>0.25</v>
      </c>
      <c r="J132">
        <v>2193</v>
      </c>
      <c r="K132" s="1">
        <v>0.3322</v>
      </c>
      <c r="L132">
        <v>7861</v>
      </c>
      <c r="M132" s="1">
        <v>0.323737748126184</v>
      </c>
      <c r="N132">
        <v>-0.02</v>
      </c>
      <c r="O132">
        <v>683</v>
      </c>
      <c r="P132" s="1">
        <v>0.29825327510917032</v>
      </c>
      <c r="Q132">
        <v>9280</v>
      </c>
      <c r="R132" s="1">
        <v>0.32967423354293224</v>
      </c>
      <c r="S132">
        <v>0.57999999999999996</v>
      </c>
      <c r="T132">
        <v>1419</v>
      </c>
      <c r="U132" s="1">
        <v>0.36695112490302562</v>
      </c>
      <c r="V132">
        <v>10349</v>
      </c>
      <c r="W132" s="1">
        <v>0.33430241948509221</v>
      </c>
      <c r="X132">
        <v>1.04</v>
      </c>
      <c r="Y132">
        <v>1069</v>
      </c>
      <c r="Z132" s="1">
        <v>0.38069800569800571</v>
      </c>
      <c r="AA132">
        <v>10443</v>
      </c>
      <c r="AB132" s="1">
        <v>0.33496920708237105</v>
      </c>
      <c r="AC132">
        <v>1.1100000000000001</v>
      </c>
      <c r="AD132">
        <v>94</v>
      </c>
      <c r="AE132" s="1">
        <v>0.42922374429223742</v>
      </c>
      <c r="AF132">
        <v>10650</v>
      </c>
      <c r="AG132" s="1">
        <v>0.33562334551871925</v>
      </c>
      <c r="AH132">
        <v>1.17</v>
      </c>
      <c r="AI132">
        <v>207</v>
      </c>
      <c r="AJ132" s="1">
        <v>0.37230215827338131</v>
      </c>
    </row>
    <row r="133" spans="1:36" x14ac:dyDescent="0.3">
      <c r="A133" t="s">
        <v>211</v>
      </c>
      <c r="B133">
        <v>176934</v>
      </c>
      <c r="C133" t="s">
        <v>465</v>
      </c>
      <c r="D133" t="s">
        <v>399</v>
      </c>
      <c r="E133">
        <v>1548</v>
      </c>
      <c r="F133" s="1">
        <v>0.10060000000000001</v>
      </c>
      <c r="G133">
        <v>2163</v>
      </c>
      <c r="H133" s="1">
        <v>9.8400000000000001E-2</v>
      </c>
      <c r="I133">
        <v>-0.22</v>
      </c>
      <c r="J133">
        <v>615</v>
      </c>
      <c r="K133" s="1">
        <v>9.3200000000000005E-2</v>
      </c>
      <c r="L133">
        <v>2373</v>
      </c>
      <c r="M133" s="1">
        <v>9.7726711144057329E-2</v>
      </c>
      <c r="N133">
        <v>-0.28999999999999998</v>
      </c>
      <c r="O133">
        <v>210</v>
      </c>
      <c r="P133" s="1">
        <v>9.1703056768558958E-2</v>
      </c>
      <c r="Q133">
        <v>2694</v>
      </c>
      <c r="R133" s="1">
        <v>9.5704998401364164E-2</v>
      </c>
      <c r="S133">
        <v>-0.49</v>
      </c>
      <c r="T133">
        <v>321</v>
      </c>
      <c r="U133" s="1">
        <v>8.301008533747091E-2</v>
      </c>
      <c r="V133">
        <v>2921</v>
      </c>
      <c r="W133" s="1">
        <v>9.4356688309590722E-2</v>
      </c>
      <c r="X133">
        <v>-0.62</v>
      </c>
      <c r="Y133">
        <v>227</v>
      </c>
      <c r="Z133" s="1">
        <v>8.0840455840455835E-2</v>
      </c>
      <c r="AA133">
        <v>2940</v>
      </c>
      <c r="AB133" s="1">
        <v>9.4303310238645105E-2</v>
      </c>
      <c r="AC133">
        <v>-0.63</v>
      </c>
      <c r="AD133">
        <v>19</v>
      </c>
      <c r="AE133" s="1">
        <v>8.6757990867579904E-2</v>
      </c>
      <c r="AF133">
        <v>2986</v>
      </c>
      <c r="AG133" s="1">
        <v>9.4100592461868152E-2</v>
      </c>
      <c r="AH133">
        <v>-0.65</v>
      </c>
      <c r="AI133">
        <v>46</v>
      </c>
      <c r="AJ133" s="1">
        <v>8.2733812949640287E-2</v>
      </c>
    </row>
    <row r="134" spans="1:36" x14ac:dyDescent="0.3">
      <c r="A134" t="s">
        <v>211</v>
      </c>
      <c r="B134">
        <v>176934</v>
      </c>
      <c r="C134" t="s">
        <v>466</v>
      </c>
      <c r="D134" t="s">
        <v>401</v>
      </c>
      <c r="E134">
        <v>8829</v>
      </c>
      <c r="F134" s="1">
        <v>0.5736</v>
      </c>
      <c r="G134">
        <v>12613</v>
      </c>
      <c r="H134" s="1">
        <v>0.57350000000000001</v>
      </c>
      <c r="I134">
        <v>-0.01</v>
      </c>
      <c r="J134">
        <v>3784</v>
      </c>
      <c r="K134" s="1">
        <v>0.57320000000000004</v>
      </c>
      <c r="L134">
        <v>14008</v>
      </c>
      <c r="M134" s="1">
        <v>0.57688822996458278</v>
      </c>
      <c r="N134">
        <v>0.33</v>
      </c>
      <c r="O134">
        <v>1395</v>
      </c>
      <c r="P134" s="1">
        <v>0.60917030567685593</v>
      </c>
      <c r="Q134">
        <v>16130</v>
      </c>
      <c r="R134" s="1">
        <v>0.5730221322249458</v>
      </c>
      <c r="S134">
        <v>-0.06</v>
      </c>
      <c r="T134">
        <v>2122</v>
      </c>
      <c r="U134" s="1">
        <v>0.54874579777605381</v>
      </c>
      <c r="V134">
        <v>17651</v>
      </c>
      <c r="W134" s="1">
        <v>0.57017798882320636</v>
      </c>
      <c r="X134">
        <v>-0.34</v>
      </c>
      <c r="Y134">
        <v>1521</v>
      </c>
      <c r="Z134" s="1">
        <v>0.54166666666666663</v>
      </c>
      <c r="AA134">
        <v>17756</v>
      </c>
      <c r="AB134" s="1">
        <v>0.56954067231203487</v>
      </c>
      <c r="AC134">
        <v>-0.41</v>
      </c>
      <c r="AD134">
        <v>105</v>
      </c>
      <c r="AE134" s="1">
        <v>0.47945205479452052</v>
      </c>
      <c r="AF134">
        <v>18054</v>
      </c>
      <c r="AG134" s="1">
        <v>0.56895247699483176</v>
      </c>
      <c r="AH134">
        <v>-0.46</v>
      </c>
      <c r="AI134">
        <v>298</v>
      </c>
      <c r="AJ134" s="1">
        <v>0.53597122302158273</v>
      </c>
    </row>
    <row r="135" spans="1:36" x14ac:dyDescent="0.3">
      <c r="A135" t="s">
        <v>211</v>
      </c>
      <c r="B135">
        <v>176934</v>
      </c>
      <c r="C135" t="s">
        <v>402</v>
      </c>
      <c r="E135">
        <v>29</v>
      </c>
      <c r="F135" s="1">
        <v>1.9E-3</v>
      </c>
      <c r="G135">
        <v>38</v>
      </c>
      <c r="H135" s="1">
        <v>1.7000000000000001E-3</v>
      </c>
      <c r="I135">
        <v>-0.02</v>
      </c>
      <c r="J135">
        <v>9</v>
      </c>
      <c r="K135" s="1">
        <v>1.4000000000000002E-3</v>
      </c>
      <c r="L135">
        <v>40</v>
      </c>
      <c r="M135" s="1">
        <v>1.6473107651758503E-3</v>
      </c>
      <c r="N135">
        <v>-0.03</v>
      </c>
      <c r="O135">
        <v>2</v>
      </c>
      <c r="P135" s="1">
        <v>8.7336244541484718E-4</v>
      </c>
      <c r="Q135">
        <v>45</v>
      </c>
      <c r="R135" s="1">
        <v>1.5986358307577533E-3</v>
      </c>
      <c r="S135">
        <v>-0.03</v>
      </c>
      <c r="T135">
        <v>5</v>
      </c>
      <c r="U135" s="1">
        <v>1.2929919834497026E-3</v>
      </c>
      <c r="V135">
        <v>36</v>
      </c>
      <c r="W135" s="1">
        <v>1.1629033821106696E-3</v>
      </c>
      <c r="X135">
        <v>-7.0000000000000007E-2</v>
      </c>
      <c r="Y135">
        <v>-9</v>
      </c>
      <c r="Z135" s="1">
        <v>-3.205128205128205E-3</v>
      </c>
      <c r="AA135">
        <v>37</v>
      </c>
      <c r="AB135" s="1">
        <v>1.1868103669489352E-3</v>
      </c>
      <c r="AC135">
        <v>-7.0000000000000007E-2</v>
      </c>
      <c r="AD135">
        <v>1</v>
      </c>
      <c r="AE135" s="1">
        <v>4.5662100456621002E-3</v>
      </c>
      <c r="AF135">
        <v>42</v>
      </c>
      <c r="AG135" s="1">
        <v>1.3235850245808646E-3</v>
      </c>
      <c r="AH135">
        <v>-0.06</v>
      </c>
      <c r="AI135">
        <v>5</v>
      </c>
      <c r="AJ135" s="1">
        <v>8.9928057553956831E-3</v>
      </c>
    </row>
    <row r="136" spans="1:36" x14ac:dyDescent="0.3">
      <c r="A136" t="s">
        <v>211</v>
      </c>
      <c r="B136">
        <v>176934</v>
      </c>
      <c r="C136" t="s">
        <v>701</v>
      </c>
      <c r="E136">
        <v>24</v>
      </c>
      <c r="F136" s="1" t="s">
        <v>700</v>
      </c>
      <c r="G136">
        <v>12</v>
      </c>
      <c r="H136" s="1" t="s">
        <v>700</v>
      </c>
      <c r="I136" t="s">
        <v>700</v>
      </c>
      <c r="J136">
        <v>-12</v>
      </c>
      <c r="K136" s="1" t="s">
        <v>700</v>
      </c>
      <c r="L136">
        <v>20</v>
      </c>
      <c r="M136" s="1" t="s">
        <v>700</v>
      </c>
      <c r="N136" t="s">
        <v>700</v>
      </c>
      <c r="O136">
        <v>8</v>
      </c>
      <c r="P136" s="1" t="s">
        <v>700</v>
      </c>
      <c r="Q136">
        <v>21</v>
      </c>
      <c r="R136" s="1" t="s">
        <v>700</v>
      </c>
      <c r="S136" t="s">
        <v>700</v>
      </c>
      <c r="T136">
        <v>1</v>
      </c>
      <c r="U136" s="1" t="s">
        <v>700</v>
      </c>
      <c r="V136">
        <v>9</v>
      </c>
      <c r="Y136">
        <v>-12</v>
      </c>
      <c r="AA136">
        <v>9</v>
      </c>
      <c r="AD136">
        <v>0</v>
      </c>
      <c r="AF136">
        <v>9</v>
      </c>
      <c r="AI136">
        <v>0</v>
      </c>
    </row>
    <row r="137" spans="1:36" x14ac:dyDescent="0.3">
      <c r="A137" t="s">
        <v>211</v>
      </c>
      <c r="B137">
        <v>176934</v>
      </c>
      <c r="C137" t="s">
        <v>702</v>
      </c>
      <c r="E137">
        <v>247</v>
      </c>
      <c r="F137" s="1" t="s">
        <v>700</v>
      </c>
      <c r="G137">
        <v>362</v>
      </c>
      <c r="H137" s="1" t="s">
        <v>700</v>
      </c>
      <c r="I137" t="s">
        <v>700</v>
      </c>
      <c r="J137">
        <v>115</v>
      </c>
      <c r="K137" s="1" t="s">
        <v>700</v>
      </c>
      <c r="L137">
        <v>386</v>
      </c>
      <c r="M137" s="1" t="s">
        <v>700</v>
      </c>
      <c r="N137" t="s">
        <v>700</v>
      </c>
      <c r="O137">
        <v>24</v>
      </c>
      <c r="P137" s="1" t="s">
        <v>700</v>
      </c>
      <c r="Q137">
        <v>522</v>
      </c>
      <c r="R137" s="1" t="s">
        <v>700</v>
      </c>
      <c r="S137" t="s">
        <v>700</v>
      </c>
      <c r="T137">
        <v>136</v>
      </c>
      <c r="U137" s="1" t="s">
        <v>700</v>
      </c>
      <c r="V137">
        <v>612</v>
      </c>
      <c r="Y137">
        <v>90</v>
      </c>
      <c r="AA137">
        <v>619</v>
      </c>
      <c r="AD137">
        <v>7</v>
      </c>
      <c r="AF137">
        <v>658</v>
      </c>
      <c r="AI137">
        <v>39</v>
      </c>
    </row>
    <row r="138" spans="1:36" x14ac:dyDescent="0.3">
      <c r="A138" t="s">
        <v>156</v>
      </c>
      <c r="B138" t="s">
        <v>703</v>
      </c>
      <c r="C138" t="s">
        <v>699</v>
      </c>
      <c r="E138">
        <v>22788</v>
      </c>
      <c r="F138" s="1" t="s">
        <v>700</v>
      </c>
      <c r="G138">
        <v>26602</v>
      </c>
      <c r="H138" s="1" t="s">
        <v>700</v>
      </c>
      <c r="I138" t="s">
        <v>700</v>
      </c>
      <c r="J138">
        <v>3814</v>
      </c>
      <c r="K138" s="1" t="s">
        <v>700</v>
      </c>
      <c r="L138">
        <v>32739</v>
      </c>
      <c r="M138" s="1" t="s">
        <v>700</v>
      </c>
      <c r="N138" t="s">
        <v>700</v>
      </c>
      <c r="O138">
        <v>6137</v>
      </c>
      <c r="P138" s="1" t="s">
        <v>700</v>
      </c>
      <c r="Q138">
        <v>38245</v>
      </c>
      <c r="R138" s="1" t="s">
        <v>700</v>
      </c>
      <c r="S138" t="s">
        <v>700</v>
      </c>
      <c r="T138">
        <v>5506</v>
      </c>
      <c r="U138" s="1" t="s">
        <v>700</v>
      </c>
      <c r="V138">
        <v>41232</v>
      </c>
      <c r="Y138">
        <v>2987</v>
      </c>
      <c r="AA138">
        <v>41904</v>
      </c>
      <c r="AD138">
        <v>672</v>
      </c>
      <c r="AF138">
        <v>42959</v>
      </c>
      <c r="AI138">
        <v>1055</v>
      </c>
    </row>
    <row r="139" spans="1:36" x14ac:dyDescent="0.3">
      <c r="A139" t="s">
        <v>156</v>
      </c>
      <c r="B139" t="s">
        <v>703</v>
      </c>
      <c r="C139" t="s">
        <v>467</v>
      </c>
      <c r="E139">
        <v>14458</v>
      </c>
      <c r="F139" s="1">
        <v>0.63450000000000006</v>
      </c>
      <c r="G139">
        <v>17033</v>
      </c>
      <c r="H139" s="1">
        <v>0.64029999999999998</v>
      </c>
      <c r="I139">
        <v>0.57999999999999996</v>
      </c>
      <c r="J139">
        <v>2575</v>
      </c>
      <c r="K139" s="1">
        <v>0.67510000000000003</v>
      </c>
      <c r="L139">
        <v>20981</v>
      </c>
      <c r="M139" s="1">
        <v>0.64085647087571396</v>
      </c>
      <c r="N139">
        <v>0.64</v>
      </c>
      <c r="O139">
        <v>3948</v>
      </c>
      <c r="P139" s="1">
        <v>0.64331106403780347</v>
      </c>
      <c r="Q139">
        <v>24792</v>
      </c>
      <c r="R139" s="1">
        <v>0.64824160020917765</v>
      </c>
      <c r="S139">
        <v>1.37</v>
      </c>
      <c r="T139">
        <v>3811</v>
      </c>
      <c r="U139" s="1">
        <v>0.69215401380312391</v>
      </c>
      <c r="V139">
        <v>26543</v>
      </c>
      <c r="W139" s="1">
        <v>0.64374757469926269</v>
      </c>
      <c r="X139">
        <v>0.92</v>
      </c>
      <c r="Y139">
        <v>1751</v>
      </c>
      <c r="Z139" s="1">
        <v>0.58620689655172409</v>
      </c>
      <c r="AA139">
        <v>26960</v>
      </c>
      <c r="AB139" s="1">
        <v>0.64337533409698355</v>
      </c>
      <c r="AC139">
        <v>0.89</v>
      </c>
      <c r="AD139">
        <v>417</v>
      </c>
      <c r="AE139" s="1">
        <v>0.6205357142857143</v>
      </c>
      <c r="AF139">
        <v>27075</v>
      </c>
      <c r="AG139" s="1">
        <v>0.6437232524964337</v>
      </c>
      <c r="AH139">
        <v>0.92</v>
      </c>
      <c r="AI139">
        <v>115</v>
      </c>
      <c r="AJ139" s="1">
        <v>0.73717948717948723</v>
      </c>
    </row>
    <row r="140" spans="1:36" x14ac:dyDescent="0.3">
      <c r="A140" t="s">
        <v>156</v>
      </c>
      <c r="B140" t="s">
        <v>703</v>
      </c>
      <c r="C140" t="s">
        <v>469</v>
      </c>
      <c r="E140">
        <v>1184</v>
      </c>
      <c r="F140" s="1">
        <v>5.2000000000000005E-2</v>
      </c>
      <c r="G140">
        <v>1355</v>
      </c>
      <c r="H140" s="1">
        <v>5.0900000000000001E-2</v>
      </c>
      <c r="I140">
        <v>-0.11</v>
      </c>
      <c r="J140">
        <v>171</v>
      </c>
      <c r="K140" s="1">
        <v>4.4800000000000006E-2</v>
      </c>
      <c r="L140">
        <v>1700</v>
      </c>
      <c r="M140" s="1">
        <v>5.1925837685940314E-2</v>
      </c>
      <c r="N140">
        <v>-0.01</v>
      </c>
      <c r="O140">
        <v>345</v>
      </c>
      <c r="P140" s="1">
        <v>5.6216392374124166E-2</v>
      </c>
      <c r="Q140">
        <v>2003</v>
      </c>
      <c r="R140" s="1">
        <v>5.2372859197280693E-2</v>
      </c>
      <c r="S140">
        <v>0.04</v>
      </c>
      <c r="T140">
        <v>303</v>
      </c>
      <c r="U140" s="1">
        <v>5.5030875408645118E-2</v>
      </c>
      <c r="V140">
        <v>2159</v>
      </c>
      <c r="W140" s="1">
        <v>5.2362242918121846E-2</v>
      </c>
      <c r="X140">
        <v>0.04</v>
      </c>
      <c r="Y140">
        <v>156</v>
      </c>
      <c r="Z140" s="1">
        <v>5.2226314027452293E-2</v>
      </c>
      <c r="AA140">
        <v>2192</v>
      </c>
      <c r="AB140" s="1">
        <v>5.2310042000763647E-2</v>
      </c>
      <c r="AC140">
        <v>0.03</v>
      </c>
      <c r="AD140">
        <v>33</v>
      </c>
      <c r="AE140" s="1">
        <v>4.9107142857142856E-2</v>
      </c>
      <c r="AF140">
        <v>2197</v>
      </c>
      <c r="AG140" s="1">
        <v>5.2234902520209223E-2</v>
      </c>
      <c r="AH140">
        <v>0.02</v>
      </c>
      <c r="AI140">
        <v>5</v>
      </c>
      <c r="AJ140" s="1">
        <v>3.2051282051282048E-2</v>
      </c>
    </row>
    <row r="141" spans="1:36" x14ac:dyDescent="0.3">
      <c r="A141" t="s">
        <v>156</v>
      </c>
      <c r="B141" t="s">
        <v>703</v>
      </c>
      <c r="C141" t="s">
        <v>470</v>
      </c>
      <c r="E141">
        <v>7094</v>
      </c>
      <c r="F141" s="1">
        <v>0.31129999999999997</v>
      </c>
      <c r="G141">
        <v>8160</v>
      </c>
      <c r="H141" s="1">
        <v>0.30670000000000003</v>
      </c>
      <c r="I141">
        <v>-0.46</v>
      </c>
      <c r="J141">
        <v>1066</v>
      </c>
      <c r="K141" s="1">
        <v>0.27949999999999997</v>
      </c>
      <c r="L141">
        <v>9989</v>
      </c>
      <c r="M141" s="1">
        <v>0.30511011332050458</v>
      </c>
      <c r="N141">
        <v>-0.62</v>
      </c>
      <c r="O141">
        <v>1829</v>
      </c>
      <c r="P141" s="1">
        <v>0.29802835261528432</v>
      </c>
      <c r="Q141">
        <v>11371</v>
      </c>
      <c r="R141" s="1">
        <v>0.29731991109949013</v>
      </c>
      <c r="S141">
        <v>-1.4</v>
      </c>
      <c r="T141">
        <v>1382</v>
      </c>
      <c r="U141" s="1">
        <v>0.2509989102796949</v>
      </c>
      <c r="V141">
        <v>12449</v>
      </c>
      <c r="W141" s="1">
        <v>0.30192568878540937</v>
      </c>
      <c r="X141">
        <v>-0.94</v>
      </c>
      <c r="Y141">
        <v>1078</v>
      </c>
      <c r="Z141" s="1">
        <v>0.36089722129226648</v>
      </c>
      <c r="AA141">
        <v>12670</v>
      </c>
      <c r="AB141" s="1">
        <v>0.30235777014127529</v>
      </c>
      <c r="AC141">
        <v>-0.89</v>
      </c>
      <c r="AD141">
        <v>221</v>
      </c>
      <c r="AE141" s="1">
        <v>0.32886904761904762</v>
      </c>
      <c r="AF141">
        <v>12705</v>
      </c>
      <c r="AG141" s="1">
        <v>0.30206847360912981</v>
      </c>
      <c r="AH141">
        <v>-0.92</v>
      </c>
      <c r="AI141">
        <v>35</v>
      </c>
      <c r="AJ141" s="1">
        <v>0.22435897435897437</v>
      </c>
    </row>
    <row r="142" spans="1:36" x14ac:dyDescent="0.3">
      <c r="A142" t="s">
        <v>156</v>
      </c>
      <c r="B142" t="s">
        <v>703</v>
      </c>
      <c r="C142" t="s">
        <v>402</v>
      </c>
      <c r="E142">
        <v>52</v>
      </c>
      <c r="F142" s="1">
        <v>2.3E-3</v>
      </c>
      <c r="G142">
        <v>54</v>
      </c>
      <c r="H142" s="1">
        <v>2E-3</v>
      </c>
      <c r="I142">
        <v>-0.03</v>
      </c>
      <c r="J142">
        <v>2</v>
      </c>
      <c r="K142" s="1">
        <v>5.0000000000000001E-4</v>
      </c>
      <c r="L142">
        <v>69</v>
      </c>
      <c r="M142" s="1">
        <v>2.1075781178411068E-3</v>
      </c>
      <c r="N142">
        <v>-0.02</v>
      </c>
      <c r="O142">
        <v>15</v>
      </c>
      <c r="P142" s="1">
        <v>2.444190972788007E-3</v>
      </c>
      <c r="Q142">
        <v>79</v>
      </c>
      <c r="R142" s="1">
        <v>2.06562949405151E-3</v>
      </c>
      <c r="S142">
        <v>-0.02</v>
      </c>
      <c r="T142">
        <v>10</v>
      </c>
      <c r="U142" s="1">
        <v>1.8162005085361425E-3</v>
      </c>
      <c r="V142">
        <v>81</v>
      </c>
      <c r="W142" s="1">
        <v>1.9644935972060536E-3</v>
      </c>
      <c r="X142">
        <v>-0.03</v>
      </c>
      <c r="Y142">
        <v>2</v>
      </c>
      <c r="Z142" s="1">
        <v>6.6956812855708072E-4</v>
      </c>
      <c r="AA142">
        <v>82</v>
      </c>
      <c r="AB142" s="1">
        <v>1.9568537609774722E-3</v>
      </c>
      <c r="AC142">
        <v>-0.03</v>
      </c>
      <c r="AD142">
        <v>1</v>
      </c>
      <c r="AE142" s="1">
        <v>1.488095238095238E-3</v>
      </c>
      <c r="AF142">
        <v>83</v>
      </c>
      <c r="AG142" s="1">
        <v>1.9733713742272944E-3</v>
      </c>
      <c r="AH142">
        <v>-0.03</v>
      </c>
      <c r="AI142">
        <v>1</v>
      </c>
      <c r="AJ142" s="1">
        <v>6.41025641025641E-3</v>
      </c>
    </row>
    <row r="143" spans="1:36" x14ac:dyDescent="0.3">
      <c r="A143" t="s">
        <v>158</v>
      </c>
      <c r="B143" t="s">
        <v>704</v>
      </c>
      <c r="C143" t="s">
        <v>699</v>
      </c>
      <c r="E143">
        <v>22723</v>
      </c>
      <c r="F143" s="1" t="s">
        <v>700</v>
      </c>
      <c r="G143">
        <v>26524</v>
      </c>
      <c r="H143" s="1" t="s">
        <v>700</v>
      </c>
      <c r="I143" t="s">
        <v>700</v>
      </c>
      <c r="J143">
        <v>3801</v>
      </c>
      <c r="K143" s="1" t="s">
        <v>700</v>
      </c>
      <c r="L143">
        <v>32628</v>
      </c>
      <c r="M143" s="1" t="s">
        <v>700</v>
      </c>
      <c r="N143" t="s">
        <v>700</v>
      </c>
      <c r="O143">
        <v>6104</v>
      </c>
      <c r="P143" s="1" t="s">
        <v>700</v>
      </c>
      <c r="Q143">
        <v>38109</v>
      </c>
      <c r="R143" s="1" t="s">
        <v>700</v>
      </c>
      <c r="S143" t="s">
        <v>700</v>
      </c>
      <c r="T143">
        <v>5481</v>
      </c>
      <c r="U143" s="1" t="s">
        <v>700</v>
      </c>
      <c r="V143">
        <v>41104</v>
      </c>
      <c r="Y143">
        <v>2995</v>
      </c>
      <c r="AA143">
        <v>41769</v>
      </c>
      <c r="AD143">
        <v>665</v>
      </c>
      <c r="AF143">
        <v>42959</v>
      </c>
      <c r="AI143">
        <v>1190</v>
      </c>
    </row>
    <row r="144" spans="1:36" x14ac:dyDescent="0.3">
      <c r="A144" t="s">
        <v>158</v>
      </c>
      <c r="B144" t="s">
        <v>704</v>
      </c>
      <c r="C144" t="s">
        <v>471</v>
      </c>
      <c r="E144">
        <v>7653</v>
      </c>
      <c r="F144" s="1">
        <v>0.33679999999999999</v>
      </c>
      <c r="G144">
        <v>8797</v>
      </c>
      <c r="H144" s="1">
        <v>0.33169999999999999</v>
      </c>
      <c r="I144">
        <v>-0.51</v>
      </c>
      <c r="J144">
        <v>1144</v>
      </c>
      <c r="K144" s="1">
        <v>0.30099999999999999</v>
      </c>
      <c r="L144">
        <v>10831</v>
      </c>
      <c r="M144" s="1">
        <v>0.33195414980997917</v>
      </c>
      <c r="N144">
        <v>-0.48</v>
      </c>
      <c r="O144">
        <v>2034</v>
      </c>
      <c r="P144" s="1">
        <v>0.33322411533420709</v>
      </c>
      <c r="Q144">
        <v>12372</v>
      </c>
      <c r="R144" s="1">
        <v>0.32464772101078487</v>
      </c>
      <c r="S144">
        <v>-1.22</v>
      </c>
      <c r="T144">
        <v>1541</v>
      </c>
      <c r="U144" s="1">
        <v>0.28115307425652253</v>
      </c>
      <c r="V144">
        <v>13516</v>
      </c>
      <c r="W144" s="1">
        <v>0.32882444530945892</v>
      </c>
      <c r="X144">
        <v>-0.8</v>
      </c>
      <c r="Y144">
        <v>1144</v>
      </c>
      <c r="Z144" s="1">
        <v>0.38196994991652755</v>
      </c>
      <c r="AA144">
        <v>13751</v>
      </c>
      <c r="AB144" s="1">
        <v>0.3292154468625057</v>
      </c>
      <c r="AC144">
        <v>-0.76</v>
      </c>
      <c r="AD144">
        <v>235</v>
      </c>
      <c r="AE144" s="1">
        <v>0.35338345864661652</v>
      </c>
      <c r="AF144">
        <v>13790</v>
      </c>
      <c r="AG144" s="1">
        <v>0.3289128464437342</v>
      </c>
      <c r="AH144">
        <v>-0.79</v>
      </c>
      <c r="AI144">
        <v>39</v>
      </c>
      <c r="AJ144" s="1">
        <v>0.24840764331210191</v>
      </c>
    </row>
    <row r="145" spans="1:36" x14ac:dyDescent="0.3">
      <c r="A145" t="s">
        <v>158</v>
      </c>
      <c r="B145" t="s">
        <v>704</v>
      </c>
      <c r="C145" t="s">
        <v>472</v>
      </c>
      <c r="E145">
        <v>7237</v>
      </c>
      <c r="F145" s="1">
        <v>0.31850000000000001</v>
      </c>
      <c r="G145">
        <v>8384</v>
      </c>
      <c r="H145" s="1">
        <v>0.31609999999999999</v>
      </c>
      <c r="I145">
        <v>-0.24</v>
      </c>
      <c r="J145">
        <v>1147</v>
      </c>
      <c r="K145" s="1">
        <v>0.30180000000000001</v>
      </c>
      <c r="L145">
        <v>10054</v>
      </c>
      <c r="M145" s="1">
        <v>0.30814024764006376</v>
      </c>
      <c r="N145">
        <v>-1.04</v>
      </c>
      <c r="O145">
        <v>1670</v>
      </c>
      <c r="P145" s="1">
        <v>0.27359108781127128</v>
      </c>
      <c r="Q145">
        <v>11581</v>
      </c>
      <c r="R145" s="1">
        <v>0.30389146920674909</v>
      </c>
      <c r="S145">
        <v>-1.46</v>
      </c>
      <c r="T145">
        <v>1527</v>
      </c>
      <c r="U145" s="1">
        <v>0.27859879584017516</v>
      </c>
      <c r="V145">
        <v>12433</v>
      </c>
      <c r="W145" s="1">
        <v>0.3024766446087972</v>
      </c>
      <c r="X145">
        <v>-1.6</v>
      </c>
      <c r="Y145">
        <v>852</v>
      </c>
      <c r="Z145" s="1">
        <v>0.28447412353923207</v>
      </c>
      <c r="AA145">
        <v>12605</v>
      </c>
      <c r="AB145" s="1">
        <v>0.3017788311905959</v>
      </c>
      <c r="AC145">
        <v>-1.67</v>
      </c>
      <c r="AD145">
        <v>172</v>
      </c>
      <c r="AE145" s="1">
        <v>0.2586466165413534</v>
      </c>
      <c r="AF145">
        <v>12662</v>
      </c>
      <c r="AG145" s="1">
        <v>0.30200830033869197</v>
      </c>
      <c r="AH145">
        <v>-1.65</v>
      </c>
      <c r="AI145">
        <v>57</v>
      </c>
      <c r="AJ145" s="1">
        <v>0.36305732484076431</v>
      </c>
    </row>
    <row r="146" spans="1:36" x14ac:dyDescent="0.3">
      <c r="A146" t="s">
        <v>158</v>
      </c>
      <c r="B146" t="s">
        <v>704</v>
      </c>
      <c r="C146" t="s">
        <v>473</v>
      </c>
      <c r="E146">
        <v>6877</v>
      </c>
      <c r="F146" s="1">
        <v>0.30260000000000004</v>
      </c>
      <c r="G146">
        <v>8246</v>
      </c>
      <c r="H146" s="1">
        <v>0.31090000000000001</v>
      </c>
      <c r="I146">
        <v>0.83</v>
      </c>
      <c r="J146">
        <v>1369</v>
      </c>
      <c r="K146" s="1">
        <v>0.36020000000000002</v>
      </c>
      <c r="L146">
        <v>10330</v>
      </c>
      <c r="M146" s="1">
        <v>0.31659923991663602</v>
      </c>
      <c r="N146">
        <v>1.4</v>
      </c>
      <c r="O146">
        <v>2084</v>
      </c>
      <c r="P146" s="1">
        <v>0.34141546526867628</v>
      </c>
      <c r="Q146">
        <v>12481</v>
      </c>
      <c r="R146" s="1">
        <v>0.3275079377574851</v>
      </c>
      <c r="S146">
        <v>2.4900000000000002</v>
      </c>
      <c r="T146">
        <v>2151</v>
      </c>
      <c r="U146" s="1">
        <v>0.39244663382594419</v>
      </c>
      <c r="V146">
        <v>13307</v>
      </c>
      <c r="W146" s="1">
        <v>0.32373978201634879</v>
      </c>
      <c r="X146">
        <v>2.11</v>
      </c>
      <c r="Y146">
        <v>826</v>
      </c>
      <c r="Z146" s="1">
        <v>0.2757929883138564</v>
      </c>
      <c r="AA146">
        <v>13530</v>
      </c>
      <c r="AB146" s="1">
        <v>0.32392444157150041</v>
      </c>
      <c r="AC146">
        <v>2.13</v>
      </c>
      <c r="AD146">
        <v>223</v>
      </c>
      <c r="AE146" s="1">
        <v>0.33533834586466166</v>
      </c>
      <c r="AF146">
        <v>13581</v>
      </c>
      <c r="AG146" s="1">
        <v>0.32392787291895242</v>
      </c>
      <c r="AH146">
        <v>2.13</v>
      </c>
      <c r="AI146">
        <v>51</v>
      </c>
      <c r="AJ146" s="1">
        <v>0.32484076433121017</v>
      </c>
    </row>
    <row r="147" spans="1:36" x14ac:dyDescent="0.3">
      <c r="A147" t="s">
        <v>158</v>
      </c>
      <c r="B147" t="s">
        <v>704</v>
      </c>
      <c r="C147" t="s">
        <v>474</v>
      </c>
      <c r="E147">
        <v>939</v>
      </c>
      <c r="F147" s="1">
        <v>4.1299999999999996E-2</v>
      </c>
      <c r="G147">
        <v>1078</v>
      </c>
      <c r="H147" s="1">
        <v>4.0599999999999997E-2</v>
      </c>
      <c r="I147">
        <v>-7.0000000000000007E-2</v>
      </c>
      <c r="J147">
        <v>139</v>
      </c>
      <c r="K147" s="1">
        <v>3.6600000000000001E-2</v>
      </c>
      <c r="L147">
        <v>1384</v>
      </c>
      <c r="M147" s="1">
        <v>4.2417555473826161E-2</v>
      </c>
      <c r="N147">
        <v>0.11</v>
      </c>
      <c r="O147">
        <v>306</v>
      </c>
      <c r="P147" s="1">
        <v>5.0131061598951504E-2</v>
      </c>
      <c r="Q147">
        <v>1640</v>
      </c>
      <c r="R147" s="1">
        <v>4.3034453803563466E-2</v>
      </c>
      <c r="S147">
        <v>0.17</v>
      </c>
      <c r="T147">
        <v>256</v>
      </c>
      <c r="U147" s="1">
        <v>4.670680532749498E-2</v>
      </c>
      <c r="V147">
        <v>1807</v>
      </c>
      <c r="W147" s="1">
        <v>4.3961658232775397E-2</v>
      </c>
      <c r="X147">
        <v>0.27</v>
      </c>
      <c r="Y147">
        <v>167</v>
      </c>
      <c r="Z147" s="1">
        <v>5.5759599332220369E-2</v>
      </c>
      <c r="AA147">
        <v>1840</v>
      </c>
      <c r="AB147" s="1">
        <v>4.4051808757691109E-2</v>
      </c>
      <c r="AC147">
        <v>0.28000000000000003</v>
      </c>
      <c r="AD147">
        <v>33</v>
      </c>
      <c r="AE147" s="1">
        <v>4.9624060150375938E-2</v>
      </c>
      <c r="AF147">
        <v>1850</v>
      </c>
      <c r="AG147" s="1">
        <v>4.4125363736106475E-2</v>
      </c>
      <c r="AH147">
        <v>0.28000000000000003</v>
      </c>
      <c r="AI147">
        <v>10</v>
      </c>
      <c r="AJ147" s="1">
        <v>6.3694267515923567E-2</v>
      </c>
    </row>
    <row r="148" spans="1:36" x14ac:dyDescent="0.3">
      <c r="A148" t="s">
        <v>158</v>
      </c>
      <c r="B148" t="s">
        <v>704</v>
      </c>
      <c r="C148" t="s">
        <v>402</v>
      </c>
      <c r="E148">
        <v>17</v>
      </c>
      <c r="F148" s="1">
        <v>7.000000000000001E-4</v>
      </c>
      <c r="G148">
        <v>19</v>
      </c>
      <c r="H148" s="1">
        <v>7.000000000000001E-4</v>
      </c>
      <c r="I148">
        <v>0</v>
      </c>
      <c r="J148">
        <v>2</v>
      </c>
      <c r="K148" s="1">
        <v>5.0000000000000001E-4</v>
      </c>
      <c r="L148">
        <v>29</v>
      </c>
      <c r="M148" s="1">
        <v>8.8880715949491232E-4</v>
      </c>
      <c r="N148">
        <v>0.02</v>
      </c>
      <c r="O148">
        <v>10</v>
      </c>
      <c r="P148" s="1">
        <v>1.63826998689384E-3</v>
      </c>
      <c r="Q148">
        <v>35</v>
      </c>
      <c r="R148" s="1">
        <v>9.1841822141751296E-4</v>
      </c>
      <c r="S148">
        <v>0.02</v>
      </c>
      <c r="T148">
        <v>6</v>
      </c>
      <c r="U148" s="1">
        <v>1.0946907498631637E-3</v>
      </c>
      <c r="V148">
        <v>41</v>
      </c>
      <c r="W148" s="1">
        <v>9.9746983261969646E-4</v>
      </c>
      <c r="X148">
        <v>0.03</v>
      </c>
      <c r="Y148">
        <v>6</v>
      </c>
      <c r="Z148" s="1">
        <v>2.0033388981636059E-3</v>
      </c>
      <c r="AA148">
        <v>43</v>
      </c>
      <c r="AB148" s="1">
        <v>1.0294716177069118E-3</v>
      </c>
      <c r="AC148">
        <v>0.03</v>
      </c>
      <c r="AD148">
        <v>2</v>
      </c>
      <c r="AE148" s="1">
        <v>3.0075187969924814E-3</v>
      </c>
      <c r="AF148">
        <v>43</v>
      </c>
      <c r="AG148" s="1">
        <v>1.0256165625149073E-3</v>
      </c>
      <c r="AH148">
        <v>0.03</v>
      </c>
      <c r="AI148">
        <v>0</v>
      </c>
      <c r="AJ148" s="1">
        <v>0</v>
      </c>
    </row>
    <row r="149" spans="1:36" x14ac:dyDescent="0.3">
      <c r="A149" t="s">
        <v>148</v>
      </c>
      <c r="B149" t="s">
        <v>705</v>
      </c>
      <c r="C149" t="s">
        <v>699</v>
      </c>
      <c r="E149">
        <v>18688</v>
      </c>
      <c r="F149" s="1" t="s">
        <v>700</v>
      </c>
      <c r="G149">
        <v>22549</v>
      </c>
      <c r="H149" s="1" t="s">
        <v>700</v>
      </c>
      <c r="I149" t="s">
        <v>700</v>
      </c>
      <c r="J149">
        <v>3861</v>
      </c>
      <c r="K149" s="1" t="s">
        <v>700</v>
      </c>
      <c r="L149">
        <v>24019</v>
      </c>
      <c r="M149" s="1" t="s">
        <v>700</v>
      </c>
      <c r="N149" t="s">
        <v>700</v>
      </c>
      <c r="O149">
        <v>1470</v>
      </c>
      <c r="P149" s="1" t="s">
        <v>700</v>
      </c>
      <c r="Q149">
        <v>32151</v>
      </c>
      <c r="R149" s="1" t="s">
        <v>700</v>
      </c>
      <c r="S149" t="s">
        <v>700</v>
      </c>
      <c r="T149">
        <v>8132</v>
      </c>
      <c r="U149" s="1" t="s">
        <v>700</v>
      </c>
      <c r="V149">
        <v>34806</v>
      </c>
      <c r="Y149">
        <v>2655</v>
      </c>
      <c r="AA149">
        <v>35709</v>
      </c>
      <c r="AD149">
        <v>903</v>
      </c>
      <c r="AF149">
        <v>42966</v>
      </c>
      <c r="AI149">
        <v>7257</v>
      </c>
    </row>
    <row r="150" spans="1:36" x14ac:dyDescent="0.3">
      <c r="A150" t="s">
        <v>148</v>
      </c>
      <c r="B150" t="s">
        <v>705</v>
      </c>
      <c r="C150" t="s">
        <v>475</v>
      </c>
      <c r="E150">
        <v>5486</v>
      </c>
      <c r="F150" s="1">
        <v>0.29359999999999997</v>
      </c>
      <c r="G150">
        <v>6635</v>
      </c>
      <c r="H150" s="1">
        <v>0.29420000000000002</v>
      </c>
      <c r="I150">
        <v>0.06</v>
      </c>
      <c r="J150">
        <v>1149</v>
      </c>
      <c r="K150" s="1">
        <v>0.29760000000000003</v>
      </c>
      <c r="L150">
        <v>7049</v>
      </c>
      <c r="M150" s="1">
        <v>0.29347599816811692</v>
      </c>
      <c r="N150">
        <v>-0.01</v>
      </c>
      <c r="O150">
        <v>414</v>
      </c>
      <c r="P150" s="1">
        <v>0.28163265306122448</v>
      </c>
      <c r="Q150">
        <v>9442</v>
      </c>
      <c r="R150" s="1">
        <v>0.29367671301048182</v>
      </c>
      <c r="S150">
        <v>0.01</v>
      </c>
      <c r="T150">
        <v>2393</v>
      </c>
      <c r="U150" s="1">
        <v>0.29426955238563701</v>
      </c>
      <c r="V150">
        <v>10270</v>
      </c>
      <c r="W150" s="1">
        <v>0.29506406941331953</v>
      </c>
      <c r="X150">
        <v>0.15</v>
      </c>
      <c r="Y150">
        <v>828</v>
      </c>
      <c r="Z150" s="1">
        <v>0.31186440677966104</v>
      </c>
      <c r="AA150">
        <v>10568</v>
      </c>
      <c r="AB150" s="1">
        <v>0.29594780027444062</v>
      </c>
      <c r="AC150">
        <v>0.23</v>
      </c>
      <c r="AD150">
        <v>298</v>
      </c>
      <c r="AE150" s="1">
        <v>0.33001107419712072</v>
      </c>
      <c r="AF150">
        <v>10583</v>
      </c>
      <c r="AG150" s="1">
        <v>0.29577976523197319</v>
      </c>
      <c r="AH150">
        <v>0.22</v>
      </c>
      <c r="AI150">
        <v>15</v>
      </c>
      <c r="AJ150" s="1">
        <v>0.21126760563380281</v>
      </c>
    </row>
    <row r="151" spans="1:36" x14ac:dyDescent="0.3">
      <c r="A151" t="s">
        <v>148</v>
      </c>
      <c r="B151" t="s">
        <v>705</v>
      </c>
      <c r="C151" t="s">
        <v>476</v>
      </c>
      <c r="E151">
        <v>5642</v>
      </c>
      <c r="F151" s="1">
        <v>0.3019</v>
      </c>
      <c r="G151">
        <v>6954</v>
      </c>
      <c r="H151" s="1">
        <v>0.30840000000000001</v>
      </c>
      <c r="I151">
        <v>0.65</v>
      </c>
      <c r="J151">
        <v>1312</v>
      </c>
      <c r="K151" s="1">
        <v>0.33979999999999999</v>
      </c>
      <c r="L151">
        <v>7446</v>
      </c>
      <c r="M151" s="1">
        <v>0.31000457970773138</v>
      </c>
      <c r="N151">
        <v>0.81</v>
      </c>
      <c r="O151">
        <v>492</v>
      </c>
      <c r="P151" s="1">
        <v>0.33469387755102042</v>
      </c>
      <c r="Q151">
        <v>10216</v>
      </c>
      <c r="R151" s="1">
        <v>0.31775061428882462</v>
      </c>
      <c r="S151">
        <v>1.59</v>
      </c>
      <c r="T151">
        <v>2770</v>
      </c>
      <c r="U151" s="1">
        <v>0.34062961141170683</v>
      </c>
      <c r="V151">
        <v>10976</v>
      </c>
      <c r="W151" s="1">
        <v>0.31534792851807159</v>
      </c>
      <c r="X151">
        <v>1.34</v>
      </c>
      <c r="Y151">
        <v>760</v>
      </c>
      <c r="Z151" s="1">
        <v>0.28625235404896421</v>
      </c>
      <c r="AA151">
        <v>11249</v>
      </c>
      <c r="AB151" s="1">
        <v>0.31501862275616793</v>
      </c>
      <c r="AC151">
        <v>1.31</v>
      </c>
      <c r="AD151">
        <v>273</v>
      </c>
      <c r="AE151" s="1">
        <v>0.30232558139534882</v>
      </c>
      <c r="AF151">
        <v>11278</v>
      </c>
      <c r="AG151" s="1">
        <v>0.31520402459474567</v>
      </c>
      <c r="AH151">
        <v>1.33</v>
      </c>
      <c r="AI151">
        <v>29</v>
      </c>
      <c r="AJ151" s="1">
        <v>0.40845070422535212</v>
      </c>
    </row>
    <row r="152" spans="1:36" x14ac:dyDescent="0.3">
      <c r="A152" t="s">
        <v>148</v>
      </c>
      <c r="B152" t="s">
        <v>705</v>
      </c>
      <c r="C152" t="s">
        <v>477</v>
      </c>
      <c r="E152">
        <v>3828</v>
      </c>
      <c r="F152" s="1">
        <v>0.20480000000000001</v>
      </c>
      <c r="G152">
        <v>4429</v>
      </c>
      <c r="H152" s="1">
        <v>0.19640000000000002</v>
      </c>
      <c r="I152">
        <v>-0.84</v>
      </c>
      <c r="J152">
        <v>601</v>
      </c>
      <c r="K152" s="1">
        <v>0.15570000000000001</v>
      </c>
      <c r="L152">
        <v>4675</v>
      </c>
      <c r="M152" s="1">
        <v>0.1946375785836213</v>
      </c>
      <c r="N152">
        <v>-1.02</v>
      </c>
      <c r="O152">
        <v>246</v>
      </c>
      <c r="P152" s="1">
        <v>0.16734693877551021</v>
      </c>
      <c r="Q152">
        <v>5870</v>
      </c>
      <c r="R152" s="1">
        <v>0.18257596964324593</v>
      </c>
      <c r="S152">
        <v>-2.2200000000000002</v>
      </c>
      <c r="T152">
        <v>1195</v>
      </c>
      <c r="U152" s="1">
        <v>0.146950319724545</v>
      </c>
      <c r="V152">
        <v>6343</v>
      </c>
      <c r="W152" s="1">
        <v>0.18223869447796356</v>
      </c>
      <c r="X152">
        <v>-2.2599999999999998</v>
      </c>
      <c r="Y152">
        <v>473</v>
      </c>
      <c r="Z152" s="1">
        <v>0.17815442561205272</v>
      </c>
      <c r="AA152">
        <v>6490</v>
      </c>
      <c r="AB152" s="1">
        <v>0.18174689854098405</v>
      </c>
      <c r="AC152">
        <v>-2.31</v>
      </c>
      <c r="AD152">
        <v>147</v>
      </c>
      <c r="AE152" s="1">
        <v>0.16279069767441862</v>
      </c>
      <c r="AF152">
        <v>6498</v>
      </c>
      <c r="AG152" s="1">
        <v>0.18160983789826718</v>
      </c>
      <c r="AH152">
        <v>-2.3199999999999998</v>
      </c>
      <c r="AI152">
        <v>8</v>
      </c>
      <c r="AJ152" s="1">
        <v>0.11267605633802817</v>
      </c>
    </row>
    <row r="153" spans="1:36" x14ac:dyDescent="0.3">
      <c r="A153" t="s">
        <v>148</v>
      </c>
      <c r="B153" t="s">
        <v>705</v>
      </c>
      <c r="C153" t="s">
        <v>478</v>
      </c>
      <c r="E153">
        <v>3034</v>
      </c>
      <c r="F153" s="1">
        <v>0.16239999999999999</v>
      </c>
      <c r="G153">
        <v>3659</v>
      </c>
      <c r="H153" s="1">
        <v>0.1623</v>
      </c>
      <c r="I153">
        <v>-0.01</v>
      </c>
      <c r="J153">
        <v>625</v>
      </c>
      <c r="K153" s="1">
        <v>0.16190000000000002</v>
      </c>
      <c r="L153">
        <v>3927</v>
      </c>
      <c r="M153" s="1">
        <v>0.1634955660102419</v>
      </c>
      <c r="N153">
        <v>0.11</v>
      </c>
      <c r="O153">
        <v>268</v>
      </c>
      <c r="P153" s="1">
        <v>0.18231292517006803</v>
      </c>
      <c r="Q153">
        <v>5319</v>
      </c>
      <c r="R153" s="1">
        <v>0.16543808901744891</v>
      </c>
      <c r="S153">
        <v>0.3</v>
      </c>
      <c r="T153">
        <v>1392</v>
      </c>
      <c r="U153" s="1">
        <v>0.17117560255779635</v>
      </c>
      <c r="V153">
        <v>5832</v>
      </c>
      <c r="W153" s="1">
        <v>0.16755731770384416</v>
      </c>
      <c r="X153">
        <v>0.52</v>
      </c>
      <c r="Y153">
        <v>513</v>
      </c>
      <c r="Z153" s="1">
        <v>0.19322033898305085</v>
      </c>
      <c r="AA153">
        <v>5988</v>
      </c>
      <c r="AB153" s="1">
        <v>0.16768881794505586</v>
      </c>
      <c r="AC153">
        <v>0.53</v>
      </c>
      <c r="AD153">
        <v>156</v>
      </c>
      <c r="AE153" s="1">
        <v>0.17275747508305647</v>
      </c>
      <c r="AF153">
        <v>6002</v>
      </c>
      <c r="AG153" s="1">
        <v>0.16774734488541085</v>
      </c>
      <c r="AH153">
        <v>0.53</v>
      </c>
      <c r="AI153">
        <v>14</v>
      </c>
      <c r="AJ153" s="1">
        <v>0.19718309859154928</v>
      </c>
    </row>
    <row r="154" spans="1:36" x14ac:dyDescent="0.3">
      <c r="A154" t="s">
        <v>148</v>
      </c>
      <c r="B154" t="s">
        <v>705</v>
      </c>
      <c r="C154" t="s">
        <v>402</v>
      </c>
      <c r="E154">
        <v>698</v>
      </c>
      <c r="F154" s="1">
        <v>3.7400000000000003E-2</v>
      </c>
      <c r="G154">
        <v>872</v>
      </c>
      <c r="H154" s="1">
        <v>3.8699999999999998E-2</v>
      </c>
      <c r="I154">
        <v>0.13</v>
      </c>
      <c r="J154">
        <v>174</v>
      </c>
      <c r="K154" s="1">
        <v>4.5100000000000001E-2</v>
      </c>
      <c r="L154">
        <v>922</v>
      </c>
      <c r="M154" s="1">
        <v>3.8386277530288525E-2</v>
      </c>
      <c r="N154">
        <v>0.1</v>
      </c>
      <c r="O154">
        <v>50</v>
      </c>
      <c r="P154" s="1">
        <v>3.4013605442176874E-2</v>
      </c>
      <c r="Q154">
        <v>1304</v>
      </c>
      <c r="R154" s="1">
        <v>4.0558614039998754E-2</v>
      </c>
      <c r="S154">
        <v>0.32</v>
      </c>
      <c r="T154">
        <v>382</v>
      </c>
      <c r="U154" s="1">
        <v>4.6974913920314804E-2</v>
      </c>
      <c r="V154">
        <v>1385</v>
      </c>
      <c r="W154" s="1">
        <v>3.9791989886801125E-2</v>
      </c>
      <c r="X154">
        <v>0.24</v>
      </c>
      <c r="Y154">
        <v>81</v>
      </c>
      <c r="Z154" s="1">
        <v>3.0508474576271188E-2</v>
      </c>
      <c r="AA154">
        <v>1414</v>
      </c>
      <c r="AB154" s="1">
        <v>3.9597860483351538E-2</v>
      </c>
      <c r="AC154">
        <v>0.22</v>
      </c>
      <c r="AD154">
        <v>29</v>
      </c>
      <c r="AE154" s="1">
        <v>3.2115171650055369E-2</v>
      </c>
      <c r="AF154">
        <v>1419</v>
      </c>
      <c r="AG154" s="1">
        <v>3.9659027389603127E-2</v>
      </c>
      <c r="AH154">
        <v>0.23</v>
      </c>
      <c r="AI154">
        <v>5</v>
      </c>
      <c r="AJ154" s="1">
        <v>7.0422535211267609E-2</v>
      </c>
    </row>
    <row r="155" spans="1:36" x14ac:dyDescent="0.3">
      <c r="A155" t="s">
        <v>150</v>
      </c>
      <c r="B155" t="s">
        <v>706</v>
      </c>
      <c r="C155" t="s">
        <v>699</v>
      </c>
      <c r="E155">
        <v>21682</v>
      </c>
      <c r="F155" s="1" t="s">
        <v>700</v>
      </c>
      <c r="G155">
        <v>26202</v>
      </c>
      <c r="H155" s="1" t="s">
        <v>700</v>
      </c>
      <c r="I155" t="s">
        <v>700</v>
      </c>
      <c r="J155">
        <v>4520</v>
      </c>
      <c r="K155" s="1" t="s">
        <v>700</v>
      </c>
      <c r="L155">
        <v>27904</v>
      </c>
      <c r="M155" s="1" t="s">
        <v>700</v>
      </c>
      <c r="N155" t="s">
        <v>700</v>
      </c>
      <c r="O155">
        <v>1702</v>
      </c>
      <c r="P155" s="1" t="s">
        <v>700</v>
      </c>
      <c r="Q155">
        <v>37306</v>
      </c>
      <c r="R155" s="1" t="s">
        <v>700</v>
      </c>
      <c r="S155" t="s">
        <v>700</v>
      </c>
      <c r="T155">
        <v>9402</v>
      </c>
      <c r="U155" s="1" t="s">
        <v>700</v>
      </c>
      <c r="V155">
        <v>40259</v>
      </c>
      <c r="Y155">
        <v>2953</v>
      </c>
      <c r="AA155">
        <v>41310</v>
      </c>
      <c r="AD155">
        <v>1051</v>
      </c>
      <c r="AF155">
        <v>42966</v>
      </c>
      <c r="AI155">
        <v>1656</v>
      </c>
    </row>
    <row r="156" spans="1:36" x14ac:dyDescent="0.3">
      <c r="A156" t="s">
        <v>150</v>
      </c>
      <c r="B156" t="s">
        <v>706</v>
      </c>
      <c r="C156" t="s">
        <v>479</v>
      </c>
      <c r="E156">
        <v>9207</v>
      </c>
      <c r="F156" s="1">
        <v>0.42460000000000003</v>
      </c>
      <c r="G156">
        <v>11092</v>
      </c>
      <c r="H156" s="1">
        <v>0.42330000000000001</v>
      </c>
      <c r="I156">
        <v>-0.13</v>
      </c>
      <c r="J156">
        <v>1885</v>
      </c>
      <c r="K156" s="1">
        <v>0.41700000000000004</v>
      </c>
      <c r="L156">
        <v>11848</v>
      </c>
      <c r="M156" s="1">
        <v>0.42459862385321101</v>
      </c>
      <c r="N156">
        <v>0</v>
      </c>
      <c r="O156">
        <v>756</v>
      </c>
      <c r="P156" s="1">
        <v>0.44418331374853115</v>
      </c>
      <c r="Q156">
        <v>15884</v>
      </c>
      <c r="R156" s="1">
        <v>0.42577601458210473</v>
      </c>
      <c r="S156">
        <v>0.12</v>
      </c>
      <c r="T156">
        <v>4036</v>
      </c>
      <c r="U156" s="1">
        <v>0.42927036800680707</v>
      </c>
      <c r="V156">
        <v>17260</v>
      </c>
      <c r="W156" s="1">
        <v>0.42872401202215654</v>
      </c>
      <c r="X156">
        <v>0.41</v>
      </c>
      <c r="Y156">
        <v>1376</v>
      </c>
      <c r="Z156" s="1">
        <v>0.46596681341009144</v>
      </c>
      <c r="AA156">
        <v>17728</v>
      </c>
      <c r="AB156" s="1">
        <v>0.4291454853546357</v>
      </c>
      <c r="AC156">
        <v>0.45</v>
      </c>
      <c r="AD156">
        <v>468</v>
      </c>
      <c r="AE156" s="1">
        <v>0.44529019980970502</v>
      </c>
      <c r="AF156">
        <v>17757</v>
      </c>
      <c r="AG156" s="1">
        <v>0.42886124864146841</v>
      </c>
      <c r="AH156">
        <v>0.43</v>
      </c>
      <c r="AI156">
        <v>29</v>
      </c>
      <c r="AJ156" s="1">
        <v>0.30526315789473685</v>
      </c>
    </row>
    <row r="157" spans="1:36" x14ac:dyDescent="0.3">
      <c r="A157" t="s">
        <v>150</v>
      </c>
      <c r="B157" t="s">
        <v>706</v>
      </c>
      <c r="C157" t="s">
        <v>480</v>
      </c>
      <c r="E157">
        <v>3439</v>
      </c>
      <c r="F157" s="1">
        <v>0.15859999999999999</v>
      </c>
      <c r="G157">
        <v>4081</v>
      </c>
      <c r="H157" s="1">
        <v>0.15579999999999999</v>
      </c>
      <c r="I157">
        <v>-0.28000000000000003</v>
      </c>
      <c r="J157">
        <v>642</v>
      </c>
      <c r="K157" s="1">
        <v>0.14199999999999999</v>
      </c>
      <c r="L157">
        <v>4356</v>
      </c>
      <c r="M157" s="1">
        <v>0.15610665137614679</v>
      </c>
      <c r="N157">
        <v>-0.25</v>
      </c>
      <c r="O157">
        <v>275</v>
      </c>
      <c r="P157" s="1">
        <v>0.16157461809635723</v>
      </c>
      <c r="Q157">
        <v>5944</v>
      </c>
      <c r="R157" s="1">
        <v>0.15933093872299361</v>
      </c>
      <c r="S157">
        <v>7.0000000000000007E-2</v>
      </c>
      <c r="T157">
        <v>1588</v>
      </c>
      <c r="U157" s="1">
        <v>0.16890023399276749</v>
      </c>
      <c r="V157">
        <v>6507</v>
      </c>
      <c r="W157" s="1">
        <v>0.16162845574902507</v>
      </c>
      <c r="X157">
        <v>0.3</v>
      </c>
      <c r="Y157">
        <v>563</v>
      </c>
      <c r="Z157" s="1">
        <v>0.19065357263799526</v>
      </c>
      <c r="AA157">
        <v>6714</v>
      </c>
      <c r="AB157" s="1">
        <v>0.16252723311546841</v>
      </c>
      <c r="AC157">
        <v>0.39</v>
      </c>
      <c r="AD157">
        <v>207</v>
      </c>
      <c r="AE157" s="1">
        <v>0.19695528068506185</v>
      </c>
      <c r="AF157">
        <v>6731</v>
      </c>
      <c r="AG157" s="1">
        <v>0.16256490761985268</v>
      </c>
      <c r="AH157">
        <v>0.4</v>
      </c>
      <c r="AI157">
        <v>17</v>
      </c>
      <c r="AJ157" s="1">
        <v>0.17894736842105263</v>
      </c>
    </row>
    <row r="158" spans="1:36" x14ac:dyDescent="0.3">
      <c r="A158" t="s">
        <v>150</v>
      </c>
      <c r="B158" t="s">
        <v>706</v>
      </c>
      <c r="C158" t="s">
        <v>481</v>
      </c>
      <c r="E158">
        <v>8937</v>
      </c>
      <c r="F158" s="1">
        <v>0.41220000000000001</v>
      </c>
      <c r="G158">
        <v>10908</v>
      </c>
      <c r="H158" s="1">
        <v>0.4163</v>
      </c>
      <c r="I158">
        <v>0.41</v>
      </c>
      <c r="J158">
        <v>1971</v>
      </c>
      <c r="K158" s="1">
        <v>0.43609999999999999</v>
      </c>
      <c r="L158">
        <v>11574</v>
      </c>
      <c r="M158" s="1">
        <v>0.41477924311926606</v>
      </c>
      <c r="N158">
        <v>0.26</v>
      </c>
      <c r="O158">
        <v>666</v>
      </c>
      <c r="P158" s="1">
        <v>0.39130434782608697</v>
      </c>
      <c r="Q158">
        <v>15300</v>
      </c>
      <c r="R158" s="1">
        <v>0.41012169624189138</v>
      </c>
      <c r="S158">
        <v>-0.21</v>
      </c>
      <c r="T158">
        <v>3726</v>
      </c>
      <c r="U158" s="1">
        <v>0.39629865985960433</v>
      </c>
      <c r="V158">
        <v>16354</v>
      </c>
      <c r="W158" s="1">
        <v>0.40621972726595296</v>
      </c>
      <c r="X158">
        <v>-0.6</v>
      </c>
      <c r="Y158">
        <v>1054</v>
      </c>
      <c r="Z158" s="1">
        <v>0.35692516085336945</v>
      </c>
      <c r="AA158">
        <v>16729</v>
      </c>
      <c r="AB158" s="1">
        <v>0.40496247881868797</v>
      </c>
      <c r="AC158">
        <v>-0.72</v>
      </c>
      <c r="AD158">
        <v>375</v>
      </c>
      <c r="AE158" s="1">
        <v>0.35680304471931495</v>
      </c>
      <c r="AF158">
        <v>16778</v>
      </c>
      <c r="AG158" s="1">
        <v>0.40521676126071732</v>
      </c>
      <c r="AH158">
        <v>-0.7</v>
      </c>
      <c r="AI158">
        <v>49</v>
      </c>
      <c r="AJ158" s="1">
        <v>0.51578947368421058</v>
      </c>
    </row>
    <row r="159" spans="1:36" x14ac:dyDescent="0.3">
      <c r="A159" t="s">
        <v>150</v>
      </c>
      <c r="B159" t="s">
        <v>706</v>
      </c>
      <c r="C159" t="s">
        <v>402</v>
      </c>
      <c r="E159">
        <v>99</v>
      </c>
      <c r="F159" s="1">
        <v>4.5999999999999999E-3</v>
      </c>
      <c r="G159">
        <v>121</v>
      </c>
      <c r="H159" s="1">
        <v>4.5999999999999999E-3</v>
      </c>
      <c r="I159">
        <v>0</v>
      </c>
      <c r="J159">
        <v>22</v>
      </c>
      <c r="K159" s="1">
        <v>4.8999999999999998E-3</v>
      </c>
      <c r="L159">
        <v>126</v>
      </c>
      <c r="M159" s="1">
        <v>4.5154816513761466E-3</v>
      </c>
      <c r="N159">
        <v>-0.01</v>
      </c>
      <c r="O159">
        <v>5</v>
      </c>
      <c r="P159" s="1">
        <v>2.9377203290246769E-3</v>
      </c>
      <c r="Q159">
        <v>178</v>
      </c>
      <c r="R159" s="1">
        <v>4.7713504530102393E-3</v>
      </c>
      <c r="S159">
        <v>0.02</v>
      </c>
      <c r="T159">
        <v>52</v>
      </c>
      <c r="U159" s="1">
        <v>5.5307381408211016E-3</v>
      </c>
      <c r="V159">
        <v>138</v>
      </c>
      <c r="W159" s="1">
        <v>3.4278049628654462E-3</v>
      </c>
      <c r="X159">
        <v>-0.12</v>
      </c>
      <c r="Y159">
        <v>-40</v>
      </c>
      <c r="Z159" s="1">
        <v>-1.3545546901456146E-2</v>
      </c>
      <c r="AA159">
        <v>139</v>
      </c>
      <c r="AB159" s="1">
        <v>3.3648027112079398E-3</v>
      </c>
      <c r="AC159">
        <v>-0.12</v>
      </c>
      <c r="AD159">
        <v>1</v>
      </c>
      <c r="AE159" s="1">
        <v>9.5147478591817321E-4</v>
      </c>
      <c r="AF159">
        <v>139</v>
      </c>
      <c r="AG159" s="1">
        <v>3.3570824779615986E-3</v>
      </c>
      <c r="AH159">
        <v>-0.12</v>
      </c>
      <c r="AI159">
        <v>0</v>
      </c>
      <c r="AJ159" s="1">
        <v>0</v>
      </c>
    </row>
    <row r="160" spans="1:36" x14ac:dyDescent="0.3">
      <c r="A160" t="s">
        <v>160</v>
      </c>
      <c r="B160" t="s">
        <v>707</v>
      </c>
      <c r="C160" t="s">
        <v>699</v>
      </c>
      <c r="D160" t="s">
        <v>700</v>
      </c>
      <c r="E160">
        <v>21847</v>
      </c>
      <c r="F160" s="1" t="s">
        <v>700</v>
      </c>
      <c r="G160">
        <v>28021</v>
      </c>
      <c r="H160" s="1" t="s">
        <v>700</v>
      </c>
      <c r="I160" t="s">
        <v>700</v>
      </c>
      <c r="J160">
        <v>6174</v>
      </c>
      <c r="K160" s="1" t="s">
        <v>700</v>
      </c>
      <c r="L160">
        <v>30967</v>
      </c>
      <c r="M160" s="1" t="s">
        <v>700</v>
      </c>
      <c r="N160" t="s">
        <v>700</v>
      </c>
      <c r="O160">
        <v>2946</v>
      </c>
      <c r="P160" s="1" t="s">
        <v>700</v>
      </c>
      <c r="Q160">
        <v>38339</v>
      </c>
      <c r="R160" s="1" t="s">
        <v>700</v>
      </c>
      <c r="S160" t="s">
        <v>700</v>
      </c>
      <c r="T160">
        <v>7372</v>
      </c>
      <c r="U160" s="1" t="s">
        <v>700</v>
      </c>
      <c r="V160">
        <v>41569</v>
      </c>
      <c r="Y160">
        <v>3230</v>
      </c>
      <c r="AA160">
        <v>41665</v>
      </c>
      <c r="AD160">
        <v>96</v>
      </c>
      <c r="AF160">
        <v>41922</v>
      </c>
      <c r="AI160">
        <v>257</v>
      </c>
    </row>
    <row r="161" spans="1:36" x14ac:dyDescent="0.3">
      <c r="A161" t="s">
        <v>160</v>
      </c>
      <c r="B161" t="s">
        <v>707</v>
      </c>
      <c r="C161" t="s">
        <v>483</v>
      </c>
      <c r="D161" t="s">
        <v>700</v>
      </c>
      <c r="E161">
        <v>9671</v>
      </c>
      <c r="F161" s="1">
        <v>0.4521</v>
      </c>
      <c r="G161">
        <v>12434</v>
      </c>
      <c r="H161" s="1">
        <v>0.45340000000000003</v>
      </c>
      <c r="I161">
        <v>0.13</v>
      </c>
      <c r="J161">
        <v>2763</v>
      </c>
      <c r="K161" s="1">
        <v>0.45789999999999997</v>
      </c>
      <c r="L161">
        <v>13619</v>
      </c>
      <c r="M161" s="1">
        <v>0.44923472753661431</v>
      </c>
      <c r="N161">
        <v>-0.28999999999999998</v>
      </c>
      <c r="O161">
        <v>1185</v>
      </c>
      <c r="P161" s="1">
        <v>0.41003460207612458</v>
      </c>
      <c r="Q161">
        <v>16868</v>
      </c>
      <c r="R161" s="1">
        <v>0.44931010601459698</v>
      </c>
      <c r="S161">
        <v>-0.28000000000000003</v>
      </c>
      <c r="T161">
        <v>3249</v>
      </c>
      <c r="U161" s="1">
        <v>0.44962634929421536</v>
      </c>
      <c r="V161">
        <v>18142</v>
      </c>
      <c r="W161" s="1">
        <v>0.44555233557640356</v>
      </c>
      <c r="X161">
        <v>-0.65</v>
      </c>
      <c r="Y161">
        <v>1274</v>
      </c>
      <c r="Z161" s="1">
        <v>0.40113350125944586</v>
      </c>
      <c r="AA161">
        <v>18187</v>
      </c>
      <c r="AB161" s="1">
        <v>0.4453559272228616</v>
      </c>
      <c r="AC161">
        <v>-0.67</v>
      </c>
      <c r="AD161">
        <v>45</v>
      </c>
      <c r="AE161" s="1">
        <v>0.37815126050420167</v>
      </c>
      <c r="AF161">
        <v>18294</v>
      </c>
      <c r="AG161" s="1">
        <v>0.44528283516697498</v>
      </c>
      <c r="AH161">
        <v>-0.68</v>
      </c>
      <c r="AI161">
        <v>107</v>
      </c>
      <c r="AJ161" s="1">
        <v>0.4331983805668016</v>
      </c>
    </row>
    <row r="162" spans="1:36" x14ac:dyDescent="0.3">
      <c r="A162" t="s">
        <v>160</v>
      </c>
      <c r="B162" t="s">
        <v>707</v>
      </c>
      <c r="C162" t="s">
        <v>485</v>
      </c>
      <c r="D162" t="s">
        <v>700</v>
      </c>
      <c r="E162">
        <v>9247</v>
      </c>
      <c r="F162" s="1">
        <v>0.43229999999999996</v>
      </c>
      <c r="G162">
        <v>11801</v>
      </c>
      <c r="H162" s="1">
        <v>0.43030000000000002</v>
      </c>
      <c r="I162">
        <v>-0.2</v>
      </c>
      <c r="J162">
        <v>2554</v>
      </c>
      <c r="K162" s="1">
        <v>0.42330000000000001</v>
      </c>
      <c r="L162">
        <v>13096</v>
      </c>
      <c r="M162" s="1">
        <v>0.43198311122839422</v>
      </c>
      <c r="N162">
        <v>-0.03</v>
      </c>
      <c r="O162">
        <v>1295</v>
      </c>
      <c r="P162" s="1">
        <v>0.44809688581314877</v>
      </c>
      <c r="Q162">
        <v>16157</v>
      </c>
      <c r="R162" s="1">
        <v>0.43037131745778062</v>
      </c>
      <c r="S162">
        <v>-0.19</v>
      </c>
      <c r="T162">
        <v>3061</v>
      </c>
      <c r="U162" s="1">
        <v>0.42360918903957928</v>
      </c>
      <c r="V162">
        <v>17550</v>
      </c>
      <c r="W162" s="1">
        <v>0.43101331106635887</v>
      </c>
      <c r="X162">
        <v>-0.13</v>
      </c>
      <c r="Y162">
        <v>1393</v>
      </c>
      <c r="Z162" s="1">
        <v>0.43860201511335012</v>
      </c>
      <c r="AA162">
        <v>17599</v>
      </c>
      <c r="AB162" s="1">
        <v>0.43095722016798493</v>
      </c>
      <c r="AC162">
        <v>-0.13</v>
      </c>
      <c r="AD162">
        <v>49</v>
      </c>
      <c r="AE162" s="1">
        <v>0.41176470588235292</v>
      </c>
      <c r="AF162">
        <v>17681</v>
      </c>
      <c r="AG162" s="1">
        <v>0.43036218479213317</v>
      </c>
      <c r="AH162">
        <v>-0.19</v>
      </c>
      <c r="AI162">
        <v>82</v>
      </c>
      <c r="AJ162" s="1">
        <v>0.33198380566801622</v>
      </c>
    </row>
    <row r="163" spans="1:36" x14ac:dyDescent="0.3">
      <c r="A163" t="s">
        <v>160</v>
      </c>
      <c r="B163" t="s">
        <v>707</v>
      </c>
      <c r="C163" t="s">
        <v>484</v>
      </c>
      <c r="D163" t="s">
        <v>700</v>
      </c>
      <c r="E163">
        <v>1924</v>
      </c>
      <c r="F163" s="1">
        <v>8.9900000000000008E-2</v>
      </c>
      <c r="G163">
        <v>2489</v>
      </c>
      <c r="H163" s="1">
        <v>9.0800000000000006E-2</v>
      </c>
      <c r="I163">
        <v>0.09</v>
      </c>
      <c r="J163">
        <v>565</v>
      </c>
      <c r="K163" s="1">
        <v>9.3599999999999989E-2</v>
      </c>
      <c r="L163">
        <v>2807</v>
      </c>
      <c r="M163" s="1">
        <v>9.2591370893257682E-2</v>
      </c>
      <c r="N163">
        <v>0.27</v>
      </c>
      <c r="O163">
        <v>318</v>
      </c>
      <c r="P163" s="1">
        <v>0.11003460207612457</v>
      </c>
      <c r="Q163">
        <v>3524</v>
      </c>
      <c r="R163" s="1">
        <v>9.3868200948271266E-2</v>
      </c>
      <c r="S163">
        <v>0.4</v>
      </c>
      <c r="T163">
        <v>717</v>
      </c>
      <c r="U163" s="1">
        <v>9.9225020758372542E-2</v>
      </c>
      <c r="V163">
        <v>3927</v>
      </c>
      <c r="W163" s="1">
        <v>9.6443833194164746E-2</v>
      </c>
      <c r="X163">
        <v>0.65</v>
      </c>
      <c r="Y163">
        <v>403</v>
      </c>
      <c r="Z163" s="1">
        <v>0.12688916876574308</v>
      </c>
      <c r="AA163">
        <v>3946</v>
      </c>
      <c r="AB163" s="1">
        <v>9.6628057888679383E-2</v>
      </c>
      <c r="AC163">
        <v>0.67</v>
      </c>
      <c r="AD163">
        <v>19</v>
      </c>
      <c r="AE163" s="1">
        <v>0.15966386554621848</v>
      </c>
      <c r="AF163">
        <v>3994</v>
      </c>
      <c r="AG163" s="1">
        <v>9.7215461006717949E-2</v>
      </c>
      <c r="AH163">
        <v>0.73</v>
      </c>
      <c r="AI163">
        <v>48</v>
      </c>
      <c r="AJ163" s="1">
        <v>0.19433198380566802</v>
      </c>
    </row>
    <row r="164" spans="1:36" x14ac:dyDescent="0.3">
      <c r="A164" t="s">
        <v>160</v>
      </c>
      <c r="B164" t="s">
        <v>707</v>
      </c>
      <c r="C164" t="s">
        <v>482</v>
      </c>
      <c r="D164" t="s">
        <v>700</v>
      </c>
      <c r="E164">
        <v>525</v>
      </c>
      <c r="F164" s="1">
        <v>2.4500000000000001E-2</v>
      </c>
      <c r="G164">
        <v>671</v>
      </c>
      <c r="H164" s="1">
        <v>2.4500000000000001E-2</v>
      </c>
      <c r="I164">
        <v>0</v>
      </c>
      <c r="J164">
        <v>146</v>
      </c>
      <c r="K164" s="1">
        <v>2.4199999999999999E-2</v>
      </c>
      <c r="L164">
        <v>760</v>
      </c>
      <c r="M164" s="1">
        <v>2.506927035228922E-2</v>
      </c>
      <c r="N164">
        <v>0.06</v>
      </c>
      <c r="O164">
        <v>89</v>
      </c>
      <c r="P164" s="1">
        <v>3.0795847750865052E-2</v>
      </c>
      <c r="Q164">
        <v>958</v>
      </c>
      <c r="R164" s="1">
        <v>2.5518086409887591E-2</v>
      </c>
      <c r="S164">
        <v>0.1</v>
      </c>
      <c r="T164">
        <v>198</v>
      </c>
      <c r="U164" s="1">
        <v>2.7401051757542209E-2</v>
      </c>
      <c r="V164">
        <v>1068</v>
      </c>
      <c r="W164" s="1">
        <v>2.6229186109337395E-2</v>
      </c>
      <c r="X164">
        <v>0.17</v>
      </c>
      <c r="Y164">
        <v>110</v>
      </c>
      <c r="Z164" s="1">
        <v>3.4634760705289674E-2</v>
      </c>
      <c r="AA164">
        <v>1073</v>
      </c>
      <c r="AB164" s="1">
        <v>2.6275191615446777E-2</v>
      </c>
      <c r="AC164">
        <v>0.18</v>
      </c>
      <c r="AD164">
        <v>5</v>
      </c>
      <c r="AE164" s="1">
        <v>4.2016806722689079E-2</v>
      </c>
      <c r="AF164">
        <v>1083</v>
      </c>
      <c r="AG164" s="1">
        <v>2.6360627008081006E-2</v>
      </c>
      <c r="AH164">
        <v>0.19</v>
      </c>
      <c r="AI164">
        <v>10</v>
      </c>
      <c r="AJ164" s="1">
        <v>4.048582995951417E-2</v>
      </c>
    </row>
    <row r="165" spans="1:36" x14ac:dyDescent="0.3">
      <c r="A165" t="s">
        <v>160</v>
      </c>
      <c r="B165" t="s">
        <v>707</v>
      </c>
      <c r="C165" t="s">
        <v>404</v>
      </c>
      <c r="D165" t="s">
        <v>700</v>
      </c>
      <c r="E165">
        <v>25</v>
      </c>
      <c r="F165" s="1">
        <v>1.1999999999999999E-3</v>
      </c>
      <c r="G165">
        <v>31</v>
      </c>
      <c r="H165" s="1">
        <v>1.1000000000000001E-3</v>
      </c>
      <c r="I165">
        <v>-0.01</v>
      </c>
      <c r="J165">
        <v>6</v>
      </c>
      <c r="K165" s="1">
        <v>1E-3</v>
      </c>
      <c r="L165">
        <v>34</v>
      </c>
      <c r="M165" s="1">
        <v>1.1215199894445177E-3</v>
      </c>
      <c r="N165">
        <v>-0.01</v>
      </c>
      <c r="O165">
        <v>3</v>
      </c>
      <c r="P165" s="1">
        <v>1.0380622837370243E-3</v>
      </c>
      <c r="Q165">
        <v>35</v>
      </c>
      <c r="R165" s="1">
        <v>9.3228916946353413E-4</v>
      </c>
      <c r="S165">
        <v>-0.03</v>
      </c>
      <c r="T165">
        <v>1</v>
      </c>
      <c r="U165" s="1">
        <v>1.3838915029061721E-4</v>
      </c>
      <c r="V165">
        <v>31</v>
      </c>
      <c r="W165" s="1">
        <v>7.6133405373544872E-4</v>
      </c>
      <c r="X165">
        <v>-0.04</v>
      </c>
      <c r="Y165">
        <v>-4</v>
      </c>
      <c r="Z165" s="1">
        <v>-1.2594458438287153E-3</v>
      </c>
      <c r="AA165">
        <v>32</v>
      </c>
      <c r="AB165" s="1">
        <v>7.8360310502730371E-4</v>
      </c>
      <c r="AC165">
        <v>-0.04</v>
      </c>
      <c r="AD165">
        <v>1</v>
      </c>
      <c r="AE165" s="1">
        <v>8.4033613445378148E-3</v>
      </c>
      <c r="AF165">
        <v>32</v>
      </c>
      <c r="AG165" s="1">
        <v>7.7889202609288284E-4</v>
      </c>
      <c r="AH165">
        <v>-0.04</v>
      </c>
      <c r="AI165">
        <v>0</v>
      </c>
      <c r="AJ165" s="1">
        <v>0</v>
      </c>
    </row>
    <row r="166" spans="1:36" x14ac:dyDescent="0.3">
      <c r="A166" t="s">
        <v>162</v>
      </c>
      <c r="B166" t="s">
        <v>708</v>
      </c>
      <c r="C166" t="s">
        <v>699</v>
      </c>
      <c r="D166" t="s">
        <v>700</v>
      </c>
      <c r="E166">
        <v>21847</v>
      </c>
      <c r="F166" s="1" t="s">
        <v>700</v>
      </c>
      <c r="G166">
        <v>28021</v>
      </c>
      <c r="H166" s="1" t="s">
        <v>700</v>
      </c>
      <c r="I166" t="s">
        <v>700</v>
      </c>
      <c r="J166">
        <v>6174</v>
      </c>
      <c r="K166" s="1" t="s">
        <v>700</v>
      </c>
      <c r="L166">
        <v>30967</v>
      </c>
      <c r="M166" s="1" t="s">
        <v>700</v>
      </c>
      <c r="N166" t="s">
        <v>700</v>
      </c>
      <c r="O166">
        <v>2946</v>
      </c>
      <c r="P166" s="1" t="s">
        <v>700</v>
      </c>
      <c r="Q166">
        <v>38339</v>
      </c>
      <c r="R166" s="1" t="s">
        <v>700</v>
      </c>
      <c r="S166" t="s">
        <v>700</v>
      </c>
      <c r="T166">
        <v>7372</v>
      </c>
      <c r="U166" s="1" t="s">
        <v>700</v>
      </c>
      <c r="V166">
        <v>41569</v>
      </c>
      <c r="Y166">
        <v>3230</v>
      </c>
      <c r="AA166">
        <v>41665</v>
      </c>
      <c r="AD166">
        <v>96</v>
      </c>
      <c r="AF166">
        <v>41922</v>
      </c>
      <c r="AI166">
        <v>257</v>
      </c>
    </row>
    <row r="167" spans="1:36" x14ac:dyDescent="0.3">
      <c r="A167" t="s">
        <v>162</v>
      </c>
      <c r="B167" t="s">
        <v>708</v>
      </c>
      <c r="C167" t="s">
        <v>487</v>
      </c>
      <c r="D167" t="s">
        <v>700</v>
      </c>
      <c r="E167">
        <v>12399</v>
      </c>
      <c r="F167" s="1">
        <v>0.57630000000000003</v>
      </c>
      <c r="G167">
        <v>15965</v>
      </c>
      <c r="H167" s="1">
        <v>0.57810000000000006</v>
      </c>
      <c r="I167">
        <v>0.18</v>
      </c>
      <c r="J167">
        <v>3566</v>
      </c>
      <c r="K167" s="1">
        <v>0.58430000000000004</v>
      </c>
      <c r="L167">
        <v>17583</v>
      </c>
      <c r="M167" s="1">
        <v>0.57617065897696362</v>
      </c>
      <c r="N167">
        <v>-0.01</v>
      </c>
      <c r="O167">
        <v>1618</v>
      </c>
      <c r="P167" s="1">
        <v>0.5579310344827586</v>
      </c>
      <c r="Q167">
        <v>21812</v>
      </c>
      <c r="R167" s="1">
        <v>0.57746478873239437</v>
      </c>
      <c r="S167">
        <v>0.12</v>
      </c>
      <c r="T167">
        <v>4229</v>
      </c>
      <c r="U167" s="1">
        <v>0.58290833907649897</v>
      </c>
      <c r="V167">
        <v>23599</v>
      </c>
      <c r="W167" s="1">
        <v>0.57623186990281783</v>
      </c>
      <c r="X167">
        <v>-0.01</v>
      </c>
      <c r="Y167">
        <v>1787</v>
      </c>
      <c r="Z167" s="1">
        <v>0.5615964802011314</v>
      </c>
      <c r="AA167">
        <v>23654</v>
      </c>
      <c r="AB167" s="1">
        <v>0.5761258737852254</v>
      </c>
      <c r="AC167">
        <v>-0.02</v>
      </c>
      <c r="AD167">
        <v>55</v>
      </c>
      <c r="AE167" s="1">
        <v>0.53398058252427183</v>
      </c>
      <c r="AF167">
        <v>23812</v>
      </c>
      <c r="AG167" s="1">
        <v>0.57656174334140431</v>
      </c>
      <c r="AH167">
        <v>0.03</v>
      </c>
      <c r="AI167">
        <v>158</v>
      </c>
      <c r="AJ167" s="1">
        <v>0.65020576131687247</v>
      </c>
    </row>
    <row r="168" spans="1:36" x14ac:dyDescent="0.3">
      <c r="A168" t="s">
        <v>162</v>
      </c>
      <c r="B168" t="s">
        <v>708</v>
      </c>
      <c r="C168" t="s">
        <v>486</v>
      </c>
      <c r="D168" t="s">
        <v>700</v>
      </c>
      <c r="E168">
        <v>9087</v>
      </c>
      <c r="F168" s="1">
        <v>0.4224</v>
      </c>
      <c r="G168">
        <v>11618</v>
      </c>
      <c r="H168" s="1">
        <v>0.42070000000000002</v>
      </c>
      <c r="I168">
        <v>-0.17</v>
      </c>
      <c r="J168">
        <v>2531</v>
      </c>
      <c r="K168" s="1">
        <v>0.41470000000000001</v>
      </c>
      <c r="L168">
        <v>12899</v>
      </c>
      <c r="M168" s="1">
        <v>0.42268243929613003</v>
      </c>
      <c r="N168">
        <v>0.03</v>
      </c>
      <c r="O168">
        <v>1281</v>
      </c>
      <c r="P168" s="1">
        <v>0.44172413793103449</v>
      </c>
      <c r="Q168">
        <v>15925</v>
      </c>
      <c r="R168" s="1">
        <v>0.42160859896219421</v>
      </c>
      <c r="S168">
        <v>-0.08</v>
      </c>
      <c r="T168">
        <v>3026</v>
      </c>
      <c r="U168" s="1">
        <v>0.41709166092350103</v>
      </c>
      <c r="V168">
        <v>17318</v>
      </c>
      <c r="W168" s="1">
        <v>0.42286467744298484</v>
      </c>
      <c r="X168">
        <v>0.05</v>
      </c>
      <c r="Y168">
        <v>1393</v>
      </c>
      <c r="Z168" s="1">
        <v>0.43777498428661221</v>
      </c>
      <c r="AA168">
        <v>17364</v>
      </c>
      <c r="AB168" s="1">
        <v>0.42292422729376233</v>
      </c>
      <c r="AC168">
        <v>0.05</v>
      </c>
      <c r="AD168">
        <v>46</v>
      </c>
      <c r="AE168" s="1">
        <v>0.44660194174757284</v>
      </c>
      <c r="AF168">
        <v>17449</v>
      </c>
      <c r="AG168" s="1">
        <v>0.42249394673123486</v>
      </c>
      <c r="AH168">
        <v>0.01</v>
      </c>
      <c r="AI168">
        <v>85</v>
      </c>
      <c r="AJ168" s="1">
        <v>0.34979423868312759</v>
      </c>
    </row>
    <row r="169" spans="1:36" x14ac:dyDescent="0.3">
      <c r="A169" t="s">
        <v>162</v>
      </c>
      <c r="B169" t="s">
        <v>708</v>
      </c>
      <c r="C169" t="s">
        <v>404</v>
      </c>
      <c r="D169" t="s">
        <v>700</v>
      </c>
      <c r="E169">
        <v>28</v>
      </c>
      <c r="F169" s="1">
        <v>1.2999999999999999E-3</v>
      </c>
      <c r="G169">
        <v>34</v>
      </c>
      <c r="H169" s="1">
        <v>1.1999999999999999E-3</v>
      </c>
      <c r="I169">
        <v>-0.01</v>
      </c>
      <c r="J169">
        <v>6</v>
      </c>
      <c r="K169" s="1">
        <v>1E-3</v>
      </c>
      <c r="L169">
        <v>35</v>
      </c>
      <c r="M169" s="1">
        <v>1.1469017269063145E-3</v>
      </c>
      <c r="N169">
        <v>-0.02</v>
      </c>
      <c r="O169">
        <v>1</v>
      </c>
      <c r="P169" s="1">
        <v>3.4482758620689653E-4</v>
      </c>
      <c r="Q169">
        <v>35</v>
      </c>
      <c r="R169" s="1">
        <v>9.2661230541141583E-4</v>
      </c>
      <c r="S169">
        <v>-0.04</v>
      </c>
      <c r="T169">
        <v>0</v>
      </c>
      <c r="U169" s="1">
        <v>0</v>
      </c>
      <c r="V169">
        <v>37</v>
      </c>
      <c r="W169" s="1">
        <v>9.0345265419739223E-4</v>
      </c>
      <c r="X169">
        <v>-0.04</v>
      </c>
      <c r="Y169">
        <v>2</v>
      </c>
      <c r="Z169" s="1">
        <v>6.285355122564425E-4</v>
      </c>
      <c r="AA169">
        <v>39</v>
      </c>
      <c r="AB169" s="1">
        <v>9.4989892101225129E-4</v>
      </c>
      <c r="AC169">
        <v>-0.04</v>
      </c>
      <c r="AD169">
        <v>2</v>
      </c>
      <c r="AE169" s="1">
        <v>1.9417475728155338E-2</v>
      </c>
      <c r="AF169">
        <v>39</v>
      </c>
      <c r="AG169" s="1">
        <v>9.4430992736077482E-4</v>
      </c>
      <c r="AH169">
        <v>-0.04</v>
      </c>
      <c r="AI169">
        <v>0</v>
      </c>
      <c r="AJ169" s="1">
        <v>0</v>
      </c>
    </row>
    <row r="170" spans="1:36" x14ac:dyDescent="0.3">
      <c r="A170" t="s">
        <v>181</v>
      </c>
      <c r="B170" t="s">
        <v>709</v>
      </c>
      <c r="C170" t="s">
        <v>699</v>
      </c>
      <c r="E170">
        <v>14564</v>
      </c>
      <c r="F170" s="1" t="s">
        <v>700</v>
      </c>
      <c r="G170">
        <v>16595</v>
      </c>
      <c r="H170" s="1" t="s">
        <v>700</v>
      </c>
      <c r="I170" t="s">
        <v>700</v>
      </c>
      <c r="J170">
        <v>2031</v>
      </c>
      <c r="K170" s="1" t="s">
        <v>700</v>
      </c>
      <c r="L170">
        <v>18767</v>
      </c>
      <c r="M170" s="1" t="s">
        <v>700</v>
      </c>
      <c r="N170" t="s">
        <v>700</v>
      </c>
      <c r="O170">
        <v>2172</v>
      </c>
      <c r="P170" s="1" t="s">
        <v>700</v>
      </c>
      <c r="Q170">
        <v>20584</v>
      </c>
      <c r="R170" s="1" t="s">
        <v>700</v>
      </c>
      <c r="S170" t="s">
        <v>700</v>
      </c>
      <c r="T170">
        <v>1817</v>
      </c>
      <c r="U170" s="1" t="s">
        <v>700</v>
      </c>
      <c r="V170">
        <v>24454</v>
      </c>
      <c r="Y170">
        <v>3870</v>
      </c>
      <c r="AA170">
        <v>26344</v>
      </c>
      <c r="AD170">
        <v>1890</v>
      </c>
      <c r="AF170">
        <v>37970</v>
      </c>
      <c r="AI170">
        <v>11626</v>
      </c>
    </row>
    <row r="171" spans="1:36" x14ac:dyDescent="0.3">
      <c r="A171" t="s">
        <v>181</v>
      </c>
      <c r="B171" t="s">
        <v>709</v>
      </c>
      <c r="C171" t="s">
        <v>410</v>
      </c>
      <c r="E171">
        <v>13456</v>
      </c>
      <c r="F171" s="1">
        <v>0.92390000000000005</v>
      </c>
      <c r="G171">
        <v>15293</v>
      </c>
      <c r="H171" s="1">
        <v>0.9215000000000001</v>
      </c>
      <c r="I171">
        <v>-0.24</v>
      </c>
      <c r="J171">
        <v>1837</v>
      </c>
      <c r="K171" s="1">
        <v>0.90450000000000008</v>
      </c>
      <c r="L171">
        <v>17267</v>
      </c>
      <c r="M171" s="1">
        <v>0.92007246762934936</v>
      </c>
      <c r="N171">
        <v>-0.38</v>
      </c>
      <c r="O171">
        <v>1974</v>
      </c>
      <c r="P171" s="1">
        <v>0.90883977900552482</v>
      </c>
      <c r="Q171">
        <v>18890</v>
      </c>
      <c r="R171" s="1">
        <v>0.91770307034589971</v>
      </c>
      <c r="S171">
        <v>-0.62</v>
      </c>
      <c r="T171">
        <v>1623</v>
      </c>
      <c r="U171" s="1">
        <v>0.89323059988992848</v>
      </c>
      <c r="V171">
        <v>22383</v>
      </c>
      <c r="W171" s="1">
        <v>0.91531037867015619</v>
      </c>
      <c r="X171">
        <v>-0.86</v>
      </c>
      <c r="Y171">
        <v>3493</v>
      </c>
      <c r="Z171" s="1">
        <v>0.90258397932816536</v>
      </c>
      <c r="AA171">
        <v>24137</v>
      </c>
      <c r="AB171" s="1">
        <v>0.91622380807774062</v>
      </c>
      <c r="AC171">
        <v>-0.77</v>
      </c>
      <c r="AD171">
        <v>1754</v>
      </c>
      <c r="AE171" s="1">
        <v>0.928042328042328</v>
      </c>
      <c r="AF171">
        <v>24422</v>
      </c>
      <c r="AG171" s="1">
        <v>0.91588224264016505</v>
      </c>
      <c r="AH171">
        <v>-0.8</v>
      </c>
      <c r="AI171">
        <v>285</v>
      </c>
      <c r="AJ171" s="1">
        <v>0.88785046728971961</v>
      </c>
    </row>
    <row r="172" spans="1:36" x14ac:dyDescent="0.3">
      <c r="A172" t="s">
        <v>181</v>
      </c>
      <c r="B172" t="s">
        <v>709</v>
      </c>
      <c r="C172" t="s">
        <v>402</v>
      </c>
      <c r="E172">
        <v>1108</v>
      </c>
      <c r="F172" s="1">
        <v>7.6100000000000001E-2</v>
      </c>
      <c r="G172">
        <v>1302</v>
      </c>
      <c r="H172" s="1">
        <v>7.85E-2</v>
      </c>
      <c r="I172">
        <v>0.24</v>
      </c>
      <c r="J172">
        <v>194</v>
      </c>
      <c r="K172" s="1">
        <v>9.5500000000000002E-2</v>
      </c>
      <c r="L172">
        <v>1500</v>
      </c>
      <c r="M172" s="1">
        <v>7.9927532370650617E-2</v>
      </c>
      <c r="N172">
        <v>0.38</v>
      </c>
      <c r="O172">
        <v>198</v>
      </c>
      <c r="P172" s="1">
        <v>9.1160220994475141E-2</v>
      </c>
      <c r="Q172">
        <v>1694</v>
      </c>
      <c r="R172" s="1">
        <v>8.2296929654100279E-2</v>
      </c>
      <c r="S172">
        <v>0.62</v>
      </c>
      <c r="T172">
        <v>194</v>
      </c>
      <c r="U172" s="1">
        <v>0.10676940011007155</v>
      </c>
      <c r="V172">
        <v>2071</v>
      </c>
      <c r="W172" s="1">
        <v>8.4689621329843784E-2</v>
      </c>
      <c r="X172">
        <v>0.86</v>
      </c>
      <c r="Y172">
        <v>377</v>
      </c>
      <c r="Z172" s="1">
        <v>9.7416020671834622E-2</v>
      </c>
      <c r="AA172">
        <v>2207</v>
      </c>
      <c r="AB172" s="1">
        <v>8.3776191922259338E-2</v>
      </c>
      <c r="AC172">
        <v>0.77</v>
      </c>
      <c r="AD172">
        <v>136</v>
      </c>
      <c r="AE172" s="1">
        <v>7.1957671957671956E-2</v>
      </c>
      <c r="AF172">
        <v>2243</v>
      </c>
      <c r="AG172" s="1">
        <v>8.4117757359834996E-2</v>
      </c>
      <c r="AH172">
        <v>0.8</v>
      </c>
      <c r="AI172">
        <v>36</v>
      </c>
      <c r="AJ172" s="1">
        <v>0.11214953271028037</v>
      </c>
    </row>
    <row r="173" spans="1:36" x14ac:dyDescent="0.3">
      <c r="A173" t="s">
        <v>182</v>
      </c>
      <c r="B173" t="s">
        <v>710</v>
      </c>
      <c r="C173" t="s">
        <v>699</v>
      </c>
      <c r="E173">
        <v>19518</v>
      </c>
      <c r="F173" s="1" t="s">
        <v>700</v>
      </c>
      <c r="G173">
        <v>22303</v>
      </c>
      <c r="H173" s="1" t="s">
        <v>700</v>
      </c>
      <c r="I173" t="s">
        <v>700</v>
      </c>
      <c r="J173">
        <v>2785</v>
      </c>
      <c r="K173" s="1" t="s">
        <v>700</v>
      </c>
      <c r="L173">
        <v>25332</v>
      </c>
      <c r="M173" s="1" t="s">
        <v>700</v>
      </c>
      <c r="N173" t="s">
        <v>700</v>
      </c>
      <c r="O173">
        <v>3029</v>
      </c>
      <c r="P173" s="1" t="s">
        <v>700</v>
      </c>
      <c r="Q173">
        <v>28067</v>
      </c>
      <c r="R173" s="1" t="s">
        <v>700</v>
      </c>
      <c r="S173" t="s">
        <v>700</v>
      </c>
      <c r="T173">
        <v>2735</v>
      </c>
      <c r="U173" s="1" t="s">
        <v>700</v>
      </c>
      <c r="V173">
        <v>33393</v>
      </c>
      <c r="Y173">
        <v>5326</v>
      </c>
      <c r="AA173">
        <v>35892</v>
      </c>
      <c r="AD173">
        <v>2499</v>
      </c>
      <c r="AF173">
        <v>37970</v>
      </c>
      <c r="AI173">
        <v>2078</v>
      </c>
    </row>
    <row r="174" spans="1:36" x14ac:dyDescent="0.3">
      <c r="A174" t="s">
        <v>182</v>
      </c>
      <c r="B174" t="s">
        <v>710</v>
      </c>
      <c r="C174" t="s">
        <v>378</v>
      </c>
      <c r="E174">
        <v>1021</v>
      </c>
      <c r="F174" s="1">
        <v>5.2300000000000006E-2</v>
      </c>
      <c r="G174">
        <v>1116</v>
      </c>
      <c r="H174" s="1">
        <v>0.05</v>
      </c>
      <c r="I174">
        <v>-0.23</v>
      </c>
      <c r="J174">
        <v>95</v>
      </c>
      <c r="K174" s="1">
        <v>3.4099999999999998E-2</v>
      </c>
      <c r="L174">
        <v>1242</v>
      </c>
      <c r="M174" s="1">
        <v>4.9028896257697775E-2</v>
      </c>
      <c r="N174">
        <v>-0.33</v>
      </c>
      <c r="O174">
        <v>126</v>
      </c>
      <c r="P174" s="1">
        <v>4.159788709144932E-2</v>
      </c>
      <c r="Q174">
        <v>1335</v>
      </c>
      <c r="R174" s="1">
        <v>4.7564755762995688E-2</v>
      </c>
      <c r="S174">
        <v>-0.47</v>
      </c>
      <c r="T174">
        <v>93</v>
      </c>
      <c r="U174" s="1">
        <v>3.4003656307129801E-2</v>
      </c>
      <c r="V174">
        <v>1569</v>
      </c>
      <c r="W174" s="1">
        <v>4.6985895247506959E-2</v>
      </c>
      <c r="X174">
        <v>-0.53</v>
      </c>
      <c r="Y174">
        <v>234</v>
      </c>
      <c r="Z174" s="1">
        <v>4.3935411190386783E-2</v>
      </c>
      <c r="AA174">
        <v>1721</v>
      </c>
      <c r="AB174" s="1">
        <v>4.7949403766856122E-2</v>
      </c>
      <c r="AC174">
        <v>-0.44</v>
      </c>
      <c r="AD174">
        <v>152</v>
      </c>
      <c r="AE174" s="1">
        <v>6.0824329731892758E-2</v>
      </c>
      <c r="AF174">
        <v>1732</v>
      </c>
      <c r="AG174" s="1">
        <v>4.7637383794488147E-2</v>
      </c>
      <c r="AH174">
        <v>-0.47</v>
      </c>
      <c r="AI174">
        <v>11</v>
      </c>
      <c r="AJ174" s="1">
        <v>2.3605150214592276E-2</v>
      </c>
    </row>
    <row r="175" spans="1:36" x14ac:dyDescent="0.3">
      <c r="A175" t="s">
        <v>182</v>
      </c>
      <c r="B175" t="s">
        <v>710</v>
      </c>
      <c r="C175" t="s">
        <v>379</v>
      </c>
      <c r="E175">
        <v>3731</v>
      </c>
      <c r="F175" s="1">
        <v>0.19120000000000001</v>
      </c>
      <c r="G175">
        <v>4293</v>
      </c>
      <c r="H175" s="1">
        <v>0.1925</v>
      </c>
      <c r="I175">
        <v>0.13</v>
      </c>
      <c r="J175">
        <v>562</v>
      </c>
      <c r="K175" s="1">
        <v>0.20180000000000001</v>
      </c>
      <c r="L175">
        <v>4884</v>
      </c>
      <c r="M175" s="1">
        <v>0.19279962103268594</v>
      </c>
      <c r="N175">
        <v>0.16</v>
      </c>
      <c r="O175">
        <v>591</v>
      </c>
      <c r="P175" s="1">
        <v>0.19511389897655992</v>
      </c>
      <c r="Q175">
        <v>5356</v>
      </c>
      <c r="R175" s="1">
        <v>0.19082908754052802</v>
      </c>
      <c r="S175">
        <v>-0.04</v>
      </c>
      <c r="T175">
        <v>472</v>
      </c>
      <c r="U175" s="1">
        <v>0.17257769652650823</v>
      </c>
      <c r="V175">
        <v>6428</v>
      </c>
      <c r="W175" s="1">
        <v>0.19249543317461743</v>
      </c>
      <c r="X175">
        <v>0.13</v>
      </c>
      <c r="Y175">
        <v>1072</v>
      </c>
      <c r="Z175" s="1">
        <v>0.20127675553886595</v>
      </c>
      <c r="AA175">
        <v>6948</v>
      </c>
      <c r="AB175" s="1">
        <v>0.19358074222668004</v>
      </c>
      <c r="AC175">
        <v>0.24</v>
      </c>
      <c r="AD175">
        <v>520</v>
      </c>
      <c r="AE175" s="1">
        <v>0.20808323329331732</v>
      </c>
      <c r="AF175">
        <v>7035</v>
      </c>
      <c r="AG175" s="1">
        <v>0.19349249133615709</v>
      </c>
      <c r="AH175">
        <v>0.23</v>
      </c>
      <c r="AI175">
        <v>87</v>
      </c>
      <c r="AJ175" s="1">
        <v>0.18669527896995708</v>
      </c>
    </row>
    <row r="176" spans="1:36" x14ac:dyDescent="0.3">
      <c r="A176" t="s">
        <v>182</v>
      </c>
      <c r="B176" t="s">
        <v>710</v>
      </c>
      <c r="C176" t="s">
        <v>380</v>
      </c>
      <c r="E176">
        <v>5794</v>
      </c>
      <c r="F176" s="1">
        <v>0.2969</v>
      </c>
      <c r="G176">
        <v>6667</v>
      </c>
      <c r="H176" s="1">
        <v>0.2989</v>
      </c>
      <c r="I176">
        <v>0.2</v>
      </c>
      <c r="J176">
        <v>873</v>
      </c>
      <c r="K176" s="1">
        <v>0.3135</v>
      </c>
      <c r="L176">
        <v>7610</v>
      </c>
      <c r="M176" s="1">
        <v>0.30041054792357491</v>
      </c>
      <c r="N176">
        <v>0.35</v>
      </c>
      <c r="O176">
        <v>943</v>
      </c>
      <c r="P176" s="1">
        <v>0.31132386926378341</v>
      </c>
      <c r="Q176">
        <v>8619</v>
      </c>
      <c r="R176" s="1">
        <v>0.30708661417322836</v>
      </c>
      <c r="S176">
        <v>1.02</v>
      </c>
      <c r="T176">
        <v>1009</v>
      </c>
      <c r="U176" s="1">
        <v>0.36892138939670932</v>
      </c>
      <c r="V176">
        <v>10260</v>
      </c>
      <c r="W176" s="1">
        <v>0.30725002245979699</v>
      </c>
      <c r="X176">
        <v>1.04</v>
      </c>
      <c r="Y176">
        <v>1641</v>
      </c>
      <c r="Z176" s="1">
        <v>0.30811115283514834</v>
      </c>
      <c r="AA176">
        <v>10929</v>
      </c>
      <c r="AB176" s="1">
        <v>0.30449682380474757</v>
      </c>
      <c r="AC176">
        <v>0.76</v>
      </c>
      <c r="AD176">
        <v>669</v>
      </c>
      <c r="AE176" s="1">
        <v>0.26770708283313327</v>
      </c>
      <c r="AF176">
        <v>11093</v>
      </c>
      <c r="AG176" s="1">
        <v>0.30510479124264261</v>
      </c>
      <c r="AH176">
        <v>0.82</v>
      </c>
      <c r="AI176">
        <v>164</v>
      </c>
      <c r="AJ176" s="1">
        <v>0.35193133047210301</v>
      </c>
    </row>
    <row r="177" spans="1:36" x14ac:dyDescent="0.3">
      <c r="A177" t="s">
        <v>182</v>
      </c>
      <c r="B177" t="s">
        <v>710</v>
      </c>
      <c r="C177" t="s">
        <v>381</v>
      </c>
      <c r="E177">
        <v>1482</v>
      </c>
      <c r="F177" s="1">
        <v>7.5899999999999995E-2</v>
      </c>
      <c r="G177">
        <v>1690</v>
      </c>
      <c r="H177" s="1">
        <v>7.5800000000000006E-2</v>
      </c>
      <c r="I177">
        <v>-0.01</v>
      </c>
      <c r="J177">
        <v>208</v>
      </c>
      <c r="K177" s="1">
        <v>7.4700000000000003E-2</v>
      </c>
      <c r="L177">
        <v>1881</v>
      </c>
      <c r="M177" s="1">
        <v>7.4253908100426341E-2</v>
      </c>
      <c r="N177">
        <v>-0.16</v>
      </c>
      <c r="O177">
        <v>191</v>
      </c>
      <c r="P177" s="1">
        <v>6.3057114559260483E-2</v>
      </c>
      <c r="Q177">
        <v>2077</v>
      </c>
      <c r="R177" s="1">
        <v>7.4001496419282428E-2</v>
      </c>
      <c r="S177">
        <v>-0.19</v>
      </c>
      <c r="T177">
        <v>196</v>
      </c>
      <c r="U177" s="1">
        <v>7.1663619744058507E-2</v>
      </c>
      <c r="V177">
        <v>2411</v>
      </c>
      <c r="W177" s="1">
        <v>7.2200760638457165E-2</v>
      </c>
      <c r="X177">
        <v>-0.37</v>
      </c>
      <c r="Y177">
        <v>334</v>
      </c>
      <c r="Z177" s="1">
        <v>6.2711227938415326E-2</v>
      </c>
      <c r="AA177">
        <v>2616</v>
      </c>
      <c r="AB177" s="1">
        <v>7.2885322634570385E-2</v>
      </c>
      <c r="AC177">
        <v>-0.3</v>
      </c>
      <c r="AD177">
        <v>205</v>
      </c>
      <c r="AE177" s="1">
        <v>8.2032813125250098E-2</v>
      </c>
      <c r="AF177">
        <v>2640</v>
      </c>
      <c r="AG177" s="1">
        <v>7.261125474448539E-2</v>
      </c>
      <c r="AH177">
        <v>-0.33</v>
      </c>
      <c r="AI177">
        <v>24</v>
      </c>
      <c r="AJ177" s="1">
        <v>5.1502145922746781E-2</v>
      </c>
    </row>
    <row r="178" spans="1:36" x14ac:dyDescent="0.3">
      <c r="A178" t="s">
        <v>182</v>
      </c>
      <c r="B178" t="s">
        <v>710</v>
      </c>
      <c r="C178" t="s">
        <v>382</v>
      </c>
      <c r="E178">
        <v>2362</v>
      </c>
      <c r="F178" s="1">
        <v>0.121</v>
      </c>
      <c r="G178">
        <v>2676</v>
      </c>
      <c r="H178" s="1">
        <v>0.12</v>
      </c>
      <c r="I178">
        <v>-0.1</v>
      </c>
      <c r="J178">
        <v>314</v>
      </c>
      <c r="K178" s="1">
        <v>0.11269999999999999</v>
      </c>
      <c r="L178">
        <v>3049</v>
      </c>
      <c r="M178" s="1">
        <v>0.120361597978841</v>
      </c>
      <c r="N178">
        <v>-0.06</v>
      </c>
      <c r="O178">
        <v>373</v>
      </c>
      <c r="P178" s="1">
        <v>0.12314295146913172</v>
      </c>
      <c r="Q178">
        <v>3386</v>
      </c>
      <c r="R178" s="1">
        <v>0.12063989738839206</v>
      </c>
      <c r="S178">
        <v>-0.04</v>
      </c>
      <c r="T178">
        <v>337</v>
      </c>
      <c r="U178" s="1">
        <v>0.12321755027422303</v>
      </c>
      <c r="V178">
        <v>3975</v>
      </c>
      <c r="W178" s="1">
        <v>0.11903692390620789</v>
      </c>
      <c r="X178">
        <v>-0.2</v>
      </c>
      <c r="Y178">
        <v>589</v>
      </c>
      <c r="Z178" s="1">
        <v>0.1105895606458881</v>
      </c>
      <c r="AA178">
        <v>4255</v>
      </c>
      <c r="AB178" s="1">
        <v>0.11855009472863033</v>
      </c>
      <c r="AC178">
        <v>-0.24</v>
      </c>
      <c r="AD178">
        <v>280</v>
      </c>
      <c r="AE178" s="1">
        <v>0.11204481792717087</v>
      </c>
      <c r="AF178">
        <v>4313</v>
      </c>
      <c r="AG178" s="1">
        <v>0.11862588701248694</v>
      </c>
      <c r="AH178">
        <v>-0.24</v>
      </c>
      <c r="AI178">
        <v>58</v>
      </c>
      <c r="AJ178" s="1">
        <v>0.12446351931330472</v>
      </c>
    </row>
    <row r="179" spans="1:36" x14ac:dyDescent="0.3">
      <c r="A179" t="s">
        <v>182</v>
      </c>
      <c r="B179" t="s">
        <v>710</v>
      </c>
      <c r="C179" t="s">
        <v>383</v>
      </c>
      <c r="E179">
        <v>5065</v>
      </c>
      <c r="F179" s="1">
        <v>0.25950000000000001</v>
      </c>
      <c r="G179">
        <v>5792</v>
      </c>
      <c r="H179" s="1">
        <v>0.25969999999999999</v>
      </c>
      <c r="I179">
        <v>0.02</v>
      </c>
      <c r="J179">
        <v>727</v>
      </c>
      <c r="K179" s="1">
        <v>0.26100000000000001</v>
      </c>
      <c r="L179">
        <v>6596</v>
      </c>
      <c r="M179" s="1">
        <v>0.26038212537501976</v>
      </c>
      <c r="N179">
        <v>0.09</v>
      </c>
      <c r="O179">
        <v>804</v>
      </c>
      <c r="P179" s="1">
        <v>0.26543413667877186</v>
      </c>
      <c r="Q179">
        <v>7219</v>
      </c>
      <c r="R179" s="1">
        <v>0.25720597142551749</v>
      </c>
      <c r="S179">
        <v>-0.23</v>
      </c>
      <c r="T179">
        <v>623</v>
      </c>
      <c r="U179" s="1">
        <v>0.22778793418647167</v>
      </c>
      <c r="V179">
        <v>8663</v>
      </c>
      <c r="W179" s="1">
        <v>0.25942562812565506</v>
      </c>
      <c r="X179">
        <v>-0.01</v>
      </c>
      <c r="Y179">
        <v>1444</v>
      </c>
      <c r="Z179" s="1">
        <v>0.27112279384153209</v>
      </c>
      <c r="AA179">
        <v>9329</v>
      </c>
      <c r="AB179" s="1">
        <v>0.25991864482335897</v>
      </c>
      <c r="AC179">
        <v>0.04</v>
      </c>
      <c r="AD179">
        <v>666</v>
      </c>
      <c r="AE179" s="1">
        <v>0.26650660264105641</v>
      </c>
      <c r="AF179">
        <v>9450</v>
      </c>
      <c r="AG179" s="1">
        <v>0.25991528686946475</v>
      </c>
      <c r="AH179">
        <v>0.04</v>
      </c>
      <c r="AI179">
        <v>121</v>
      </c>
      <c r="AJ179" s="1">
        <v>0.25965665236051499</v>
      </c>
    </row>
    <row r="180" spans="1:36" x14ac:dyDescent="0.3">
      <c r="A180" t="s">
        <v>182</v>
      </c>
      <c r="B180" t="s">
        <v>710</v>
      </c>
      <c r="C180" t="s">
        <v>402</v>
      </c>
      <c r="E180">
        <v>63</v>
      </c>
      <c r="F180" s="1">
        <v>3.2000000000000002E-3</v>
      </c>
      <c r="G180">
        <v>69</v>
      </c>
      <c r="H180" s="1">
        <v>3.0999999999999999E-3</v>
      </c>
      <c r="I180">
        <v>-0.01</v>
      </c>
      <c r="J180">
        <v>6</v>
      </c>
      <c r="K180" s="1">
        <v>2.2000000000000001E-3</v>
      </c>
      <c r="L180">
        <v>70</v>
      </c>
      <c r="M180" s="1">
        <v>2.7633033317543028E-3</v>
      </c>
      <c r="N180">
        <v>-0.04</v>
      </c>
      <c r="O180">
        <v>1</v>
      </c>
      <c r="P180" s="1">
        <v>3.3014196104324861E-4</v>
      </c>
      <c r="Q180">
        <v>75</v>
      </c>
      <c r="R180" s="1">
        <v>2.6721772900559376E-3</v>
      </c>
      <c r="S180">
        <v>-0.05</v>
      </c>
      <c r="T180">
        <v>5</v>
      </c>
      <c r="U180" s="1">
        <v>1.8281535648994515E-3</v>
      </c>
      <c r="V180">
        <v>87</v>
      </c>
      <c r="W180" s="1">
        <v>2.6053364477585123E-3</v>
      </c>
      <c r="X180">
        <v>-0.06</v>
      </c>
      <c r="Y180">
        <v>12</v>
      </c>
      <c r="Z180" s="1">
        <v>2.2530980097634247E-3</v>
      </c>
      <c r="AA180">
        <v>94</v>
      </c>
      <c r="AB180" s="1">
        <v>2.618968015156581E-3</v>
      </c>
      <c r="AC180">
        <v>-0.06</v>
      </c>
      <c r="AD180">
        <v>7</v>
      </c>
      <c r="AE180" s="1">
        <v>2.8011204481792717E-3</v>
      </c>
      <c r="AF180">
        <v>95</v>
      </c>
      <c r="AG180" s="1">
        <v>2.6129050002750426E-3</v>
      </c>
      <c r="AH180">
        <v>-0.06</v>
      </c>
      <c r="AI180">
        <v>1</v>
      </c>
      <c r="AJ180" s="1">
        <v>2.1459227467811159E-3</v>
      </c>
    </row>
    <row r="181" spans="1:36" x14ac:dyDescent="0.3">
      <c r="A181" t="s">
        <v>183</v>
      </c>
      <c r="B181" t="s">
        <v>711</v>
      </c>
      <c r="C181" t="s">
        <v>699</v>
      </c>
      <c r="E181">
        <v>19774</v>
      </c>
      <c r="F181" s="1" t="s">
        <v>700</v>
      </c>
      <c r="G181">
        <v>22591</v>
      </c>
      <c r="H181" s="1" t="s">
        <v>700</v>
      </c>
      <c r="I181" t="s">
        <v>700</v>
      </c>
      <c r="J181">
        <v>2817</v>
      </c>
      <c r="K181" s="1" t="s">
        <v>700</v>
      </c>
      <c r="L181">
        <v>25665</v>
      </c>
      <c r="M181" s="1" t="s">
        <v>700</v>
      </c>
      <c r="N181" t="s">
        <v>700</v>
      </c>
      <c r="O181">
        <v>3074</v>
      </c>
      <c r="P181" s="1" t="s">
        <v>700</v>
      </c>
      <c r="Q181">
        <v>28436</v>
      </c>
      <c r="R181" s="1" t="s">
        <v>700</v>
      </c>
      <c r="S181" t="s">
        <v>700</v>
      </c>
      <c r="T181">
        <v>2771</v>
      </c>
      <c r="U181" s="1" t="s">
        <v>700</v>
      </c>
      <c r="V181">
        <v>33850</v>
      </c>
      <c r="Y181">
        <v>5414</v>
      </c>
      <c r="AA181">
        <v>36412</v>
      </c>
      <c r="AD181">
        <v>2562</v>
      </c>
      <c r="AF181">
        <v>37970</v>
      </c>
      <c r="AI181">
        <v>1558</v>
      </c>
    </row>
    <row r="182" spans="1:36" x14ac:dyDescent="0.3">
      <c r="A182" t="s">
        <v>183</v>
      </c>
      <c r="B182" t="s">
        <v>711</v>
      </c>
      <c r="C182" t="s">
        <v>40</v>
      </c>
      <c r="E182">
        <v>10131</v>
      </c>
      <c r="F182" s="1">
        <v>0.51229999999999998</v>
      </c>
      <c r="G182">
        <v>11567</v>
      </c>
      <c r="H182" s="1">
        <v>0.51200000000000001</v>
      </c>
      <c r="I182">
        <v>-0.03</v>
      </c>
      <c r="J182">
        <v>1436</v>
      </c>
      <c r="K182" s="1">
        <v>0.50979999999999992</v>
      </c>
      <c r="L182">
        <v>13108</v>
      </c>
      <c r="M182" s="1">
        <v>0.51073446327683614</v>
      </c>
      <c r="N182">
        <v>-0.16</v>
      </c>
      <c r="O182">
        <v>1541</v>
      </c>
      <c r="P182" s="1">
        <v>0.50130123617436562</v>
      </c>
      <c r="Q182">
        <v>14327</v>
      </c>
      <c r="R182" s="1">
        <v>0.50383316922211285</v>
      </c>
      <c r="S182">
        <v>-0.85</v>
      </c>
      <c r="T182">
        <v>1219</v>
      </c>
      <c r="U182" s="1">
        <v>0.43991338866835078</v>
      </c>
      <c r="V182">
        <v>17067</v>
      </c>
      <c r="W182" s="1">
        <v>0.50419497784342693</v>
      </c>
      <c r="X182">
        <v>-0.81</v>
      </c>
      <c r="Y182">
        <v>2740</v>
      </c>
      <c r="Z182" s="1">
        <v>0.50609530845954931</v>
      </c>
      <c r="AA182">
        <v>18435</v>
      </c>
      <c r="AB182" s="1">
        <v>0.50628913544985166</v>
      </c>
      <c r="AC182">
        <v>-0.6</v>
      </c>
      <c r="AD182">
        <v>1368</v>
      </c>
      <c r="AE182" s="1">
        <v>0.53395784543325531</v>
      </c>
      <c r="AF182">
        <v>18651</v>
      </c>
      <c r="AG182" s="1">
        <v>0.50566641362108233</v>
      </c>
      <c r="AH182">
        <v>-0.66</v>
      </c>
      <c r="AI182">
        <v>216</v>
      </c>
      <c r="AJ182" s="1">
        <v>0.4576271186440678</v>
      </c>
    </row>
    <row r="183" spans="1:36" x14ac:dyDescent="0.3">
      <c r="A183" t="s">
        <v>183</v>
      </c>
      <c r="B183" t="s">
        <v>711</v>
      </c>
      <c r="C183" t="s">
        <v>41</v>
      </c>
      <c r="E183">
        <v>5068</v>
      </c>
      <c r="F183" s="1">
        <v>0.25629999999999997</v>
      </c>
      <c r="G183">
        <v>5694</v>
      </c>
      <c r="H183" s="1">
        <v>0.252</v>
      </c>
      <c r="I183">
        <v>-0.43</v>
      </c>
      <c r="J183">
        <v>626</v>
      </c>
      <c r="K183" s="1">
        <v>0.22219999999999998</v>
      </c>
      <c r="L183">
        <v>6435</v>
      </c>
      <c r="M183" s="1">
        <v>0.25073056691992984</v>
      </c>
      <c r="N183">
        <v>-0.56000000000000005</v>
      </c>
      <c r="O183">
        <v>741</v>
      </c>
      <c r="P183" s="1">
        <v>0.24105400130123616</v>
      </c>
      <c r="Q183">
        <v>7193</v>
      </c>
      <c r="R183" s="1">
        <v>0.25295400196933465</v>
      </c>
      <c r="S183">
        <v>-0.33</v>
      </c>
      <c r="T183">
        <v>758</v>
      </c>
      <c r="U183" s="1">
        <v>0.2735474557921328</v>
      </c>
      <c r="V183">
        <v>8460</v>
      </c>
      <c r="W183" s="1">
        <v>0.2499261447562777</v>
      </c>
      <c r="X183">
        <v>-0.64</v>
      </c>
      <c r="Y183">
        <v>1267</v>
      </c>
      <c r="Z183" s="1">
        <v>0.23402290358330255</v>
      </c>
      <c r="AA183">
        <v>9089</v>
      </c>
      <c r="AB183" s="1">
        <v>0.24961551136987806</v>
      </c>
      <c r="AC183">
        <v>-0.67</v>
      </c>
      <c r="AD183">
        <v>629</v>
      </c>
      <c r="AE183" s="1">
        <v>0.24551131928181108</v>
      </c>
      <c r="AF183">
        <v>9209</v>
      </c>
      <c r="AG183" s="1">
        <v>0.24967465567725844</v>
      </c>
      <c r="AH183">
        <v>-0.66</v>
      </c>
      <c r="AI183">
        <v>120</v>
      </c>
      <c r="AJ183" s="1">
        <v>0.25423728813559321</v>
      </c>
    </row>
    <row r="184" spans="1:36" x14ac:dyDescent="0.3">
      <c r="A184" t="s">
        <v>183</v>
      </c>
      <c r="B184" t="s">
        <v>711</v>
      </c>
      <c r="C184" t="s">
        <v>42</v>
      </c>
      <c r="E184">
        <v>4531</v>
      </c>
      <c r="F184" s="1">
        <v>0.2291</v>
      </c>
      <c r="G184">
        <v>5279</v>
      </c>
      <c r="H184" s="1">
        <v>0.23370000000000002</v>
      </c>
      <c r="I184">
        <v>0.46</v>
      </c>
      <c r="J184">
        <v>748</v>
      </c>
      <c r="K184" s="1">
        <v>0.26550000000000001</v>
      </c>
      <c r="L184">
        <v>6067</v>
      </c>
      <c r="M184" s="1">
        <v>0.23639197350477303</v>
      </c>
      <c r="N184">
        <v>0.73</v>
      </c>
      <c r="O184">
        <v>788</v>
      </c>
      <c r="P184" s="1">
        <v>0.25634352635003255</v>
      </c>
      <c r="Q184">
        <v>6855</v>
      </c>
      <c r="R184" s="1">
        <v>0.2410676607117738</v>
      </c>
      <c r="S184">
        <v>1.2</v>
      </c>
      <c r="T184">
        <v>788</v>
      </c>
      <c r="U184" s="1">
        <v>0.28437387224828581</v>
      </c>
      <c r="V184">
        <v>8255</v>
      </c>
      <c r="W184" s="1">
        <v>0.24387001477104875</v>
      </c>
      <c r="X184">
        <v>1.48</v>
      </c>
      <c r="Y184">
        <v>1400</v>
      </c>
      <c r="Z184" s="1">
        <v>0.25858884373845586</v>
      </c>
      <c r="AA184">
        <v>8814</v>
      </c>
      <c r="AB184" s="1">
        <v>0.24206305613533999</v>
      </c>
      <c r="AC184">
        <v>1.3</v>
      </c>
      <c r="AD184">
        <v>559</v>
      </c>
      <c r="AE184" s="1">
        <v>0.21818891491022638</v>
      </c>
      <c r="AF184">
        <v>8950</v>
      </c>
      <c r="AG184" s="1">
        <v>0.24265264071141959</v>
      </c>
      <c r="AH184">
        <v>1.36</v>
      </c>
      <c r="AI184">
        <v>136</v>
      </c>
      <c r="AJ184" s="1">
        <v>0.28813559322033899</v>
      </c>
    </row>
    <row r="185" spans="1:36" x14ac:dyDescent="0.3">
      <c r="A185" t="s">
        <v>183</v>
      </c>
      <c r="B185" t="s">
        <v>711</v>
      </c>
      <c r="C185" t="s">
        <v>402</v>
      </c>
      <c r="E185">
        <v>44</v>
      </c>
      <c r="F185" s="1">
        <v>2.2000000000000001E-3</v>
      </c>
      <c r="G185">
        <v>51</v>
      </c>
      <c r="H185" s="1">
        <v>2.3E-3</v>
      </c>
      <c r="I185">
        <v>0.01</v>
      </c>
      <c r="J185">
        <v>7</v>
      </c>
      <c r="K185" s="1">
        <v>2.5000000000000001E-3</v>
      </c>
      <c r="L185">
        <v>55</v>
      </c>
      <c r="M185" s="1">
        <v>2.142996298460939E-3</v>
      </c>
      <c r="N185">
        <v>-0.01</v>
      </c>
      <c r="O185">
        <v>4</v>
      </c>
      <c r="P185" s="1">
        <v>1.3012361743656475E-3</v>
      </c>
      <c r="Q185">
        <v>61</v>
      </c>
      <c r="R185" s="1">
        <v>2.1451680967787311E-3</v>
      </c>
      <c r="S185">
        <v>-0.01</v>
      </c>
      <c r="T185">
        <v>6</v>
      </c>
      <c r="U185" s="1">
        <v>2.1652832912306026E-3</v>
      </c>
      <c r="V185">
        <v>68</v>
      </c>
      <c r="W185" s="1">
        <v>2.0088626292466766E-3</v>
      </c>
      <c r="X185">
        <v>-0.02</v>
      </c>
      <c r="Y185">
        <v>7</v>
      </c>
      <c r="Z185" s="1">
        <v>1.2929442186922792E-3</v>
      </c>
      <c r="AA185">
        <v>74</v>
      </c>
      <c r="AB185" s="1">
        <v>2.0322970449302429E-3</v>
      </c>
      <c r="AC185">
        <v>-0.02</v>
      </c>
      <c r="AD185">
        <v>6</v>
      </c>
      <c r="AE185" s="1">
        <v>2.34192037470726E-3</v>
      </c>
      <c r="AF185">
        <v>74</v>
      </c>
      <c r="AG185" s="1">
        <v>2.0062899902396703E-3</v>
      </c>
      <c r="AH185">
        <v>-0.02</v>
      </c>
      <c r="AI185">
        <v>0</v>
      </c>
      <c r="AJ185" s="1">
        <v>0</v>
      </c>
    </row>
    <row r="186" spans="1:36" x14ac:dyDescent="0.3">
      <c r="A186" t="s">
        <v>142</v>
      </c>
      <c r="B186">
        <v>178336</v>
      </c>
      <c r="C186" t="s">
        <v>699</v>
      </c>
      <c r="E186">
        <v>24263</v>
      </c>
      <c r="F186" s="1" t="s">
        <v>700</v>
      </c>
      <c r="G186">
        <v>24348</v>
      </c>
      <c r="H186" s="1" t="s">
        <v>700</v>
      </c>
      <c r="I186" t="s">
        <v>700</v>
      </c>
      <c r="J186">
        <v>85</v>
      </c>
      <c r="K186" s="1" t="s">
        <v>700</v>
      </c>
      <c r="L186">
        <v>30036</v>
      </c>
      <c r="M186" s="1" t="s">
        <v>700</v>
      </c>
      <c r="N186" t="s">
        <v>700</v>
      </c>
      <c r="O186">
        <v>5688</v>
      </c>
      <c r="P186" s="1" t="s">
        <v>700</v>
      </c>
      <c r="Q186">
        <v>37892</v>
      </c>
      <c r="R186" s="1" t="s">
        <v>700</v>
      </c>
      <c r="S186" t="s">
        <v>700</v>
      </c>
      <c r="T186">
        <v>7856</v>
      </c>
      <c r="U186" s="1" t="s">
        <v>700</v>
      </c>
      <c r="V186">
        <v>39554</v>
      </c>
      <c r="Y186">
        <v>1662</v>
      </c>
      <c r="AA186">
        <v>40045</v>
      </c>
      <c r="AD186">
        <v>491</v>
      </c>
      <c r="AF186">
        <v>44914</v>
      </c>
      <c r="AI186">
        <v>4869</v>
      </c>
    </row>
    <row r="187" spans="1:36" x14ac:dyDescent="0.3">
      <c r="A187" t="s">
        <v>142</v>
      </c>
      <c r="B187">
        <v>178336</v>
      </c>
      <c r="C187" t="s">
        <v>411</v>
      </c>
      <c r="D187" t="s">
        <v>401</v>
      </c>
      <c r="E187">
        <v>12948</v>
      </c>
      <c r="F187" s="1">
        <v>0.5796</v>
      </c>
      <c r="G187">
        <v>12974</v>
      </c>
      <c r="H187" s="1">
        <v>0.57889999999999997</v>
      </c>
      <c r="I187">
        <v>-7.0000000000000007E-2</v>
      </c>
      <c r="J187">
        <v>26</v>
      </c>
      <c r="K187" s="1">
        <v>0.37680000000000002</v>
      </c>
      <c r="L187">
        <v>16019</v>
      </c>
      <c r="M187" s="1">
        <v>0.57966347023701825</v>
      </c>
      <c r="N187">
        <v>0.01</v>
      </c>
      <c r="O187">
        <v>3045</v>
      </c>
      <c r="P187" s="1">
        <v>0.58277511961722483</v>
      </c>
      <c r="Q187">
        <v>20236</v>
      </c>
      <c r="R187" s="1">
        <v>0.58280052992339149</v>
      </c>
      <c r="S187">
        <v>0.32</v>
      </c>
      <c r="T187">
        <v>4217</v>
      </c>
      <c r="U187" s="1">
        <v>0.59503315930577116</v>
      </c>
      <c r="V187">
        <v>21015</v>
      </c>
      <c r="W187" s="1">
        <v>0.579420441699523</v>
      </c>
      <c r="X187">
        <v>-0.02</v>
      </c>
      <c r="Y187">
        <v>779</v>
      </c>
      <c r="Z187" s="1">
        <v>0.5035552682611506</v>
      </c>
      <c r="AA187">
        <v>21248</v>
      </c>
      <c r="AB187" s="1">
        <v>0.57880686461454645</v>
      </c>
      <c r="AC187">
        <v>-0.08</v>
      </c>
      <c r="AD187">
        <v>233</v>
      </c>
      <c r="AE187" s="1">
        <v>0.52834467120181405</v>
      </c>
      <c r="AF187">
        <v>24089</v>
      </c>
      <c r="AG187" s="1">
        <v>0.58394744497236495</v>
      </c>
      <c r="AH187">
        <v>0.43</v>
      </c>
      <c r="AI187">
        <v>2841</v>
      </c>
      <c r="AJ187" s="1">
        <v>0.62549537648612941</v>
      </c>
    </row>
    <row r="188" spans="1:36" x14ac:dyDescent="0.3">
      <c r="A188" t="s">
        <v>142</v>
      </c>
      <c r="B188">
        <v>178336</v>
      </c>
      <c r="C188" t="s">
        <v>412</v>
      </c>
      <c r="D188" t="s">
        <v>400</v>
      </c>
      <c r="E188">
        <v>6191</v>
      </c>
      <c r="F188" s="1">
        <v>0.27710000000000001</v>
      </c>
      <c r="G188">
        <v>6219</v>
      </c>
      <c r="H188" s="1">
        <v>0.27750000000000002</v>
      </c>
      <c r="I188">
        <v>0.04</v>
      </c>
      <c r="J188">
        <v>28</v>
      </c>
      <c r="K188" s="1">
        <v>0.40579999999999999</v>
      </c>
      <c r="L188">
        <v>7594</v>
      </c>
      <c r="M188" s="1">
        <v>0.27479645377239009</v>
      </c>
      <c r="N188">
        <v>-0.23</v>
      </c>
      <c r="O188">
        <v>1375</v>
      </c>
      <c r="P188" s="1">
        <v>0.26315789473684209</v>
      </c>
      <c r="Q188">
        <v>9426</v>
      </c>
      <c r="R188" s="1">
        <v>0.27147053741143945</v>
      </c>
      <c r="S188">
        <v>-0.56000000000000005</v>
      </c>
      <c r="T188">
        <v>1832</v>
      </c>
      <c r="U188" s="1">
        <v>0.25850148158600256</v>
      </c>
      <c r="V188">
        <v>9877</v>
      </c>
      <c r="W188" s="1">
        <v>0.27232622901100112</v>
      </c>
      <c r="X188">
        <v>-0.48</v>
      </c>
      <c r="Y188">
        <v>451</v>
      </c>
      <c r="Z188" s="1">
        <v>0.29153199741435037</v>
      </c>
      <c r="AA188">
        <v>10018</v>
      </c>
      <c r="AB188" s="1">
        <v>0.27289566875510762</v>
      </c>
      <c r="AC188">
        <v>-0.42</v>
      </c>
      <c r="AD188">
        <v>141</v>
      </c>
      <c r="AE188" s="1">
        <v>0.31972789115646261</v>
      </c>
      <c r="AF188">
        <v>11061</v>
      </c>
      <c r="AG188" s="1">
        <v>0.26813245418403958</v>
      </c>
      <c r="AH188">
        <v>-0.9</v>
      </c>
      <c r="AI188">
        <v>1043</v>
      </c>
      <c r="AJ188" s="1">
        <v>0.22963452223690003</v>
      </c>
    </row>
    <row r="189" spans="1:36" x14ac:dyDescent="0.3">
      <c r="A189" t="s">
        <v>142</v>
      </c>
      <c r="B189">
        <v>178336</v>
      </c>
      <c r="C189" t="s">
        <v>413</v>
      </c>
      <c r="D189" t="s">
        <v>401</v>
      </c>
      <c r="E189">
        <v>1795</v>
      </c>
      <c r="F189" s="1">
        <v>8.0299999999999996E-2</v>
      </c>
      <c r="G189">
        <v>1801</v>
      </c>
      <c r="H189" s="1">
        <v>8.0399999999999985E-2</v>
      </c>
      <c r="I189">
        <v>0.01</v>
      </c>
      <c r="J189">
        <v>6</v>
      </c>
      <c r="K189" s="1">
        <v>8.6999999999999994E-2</v>
      </c>
      <c r="L189">
        <v>2268</v>
      </c>
      <c r="M189" s="1">
        <v>8.2069838972317719E-2</v>
      </c>
      <c r="N189">
        <v>0.18</v>
      </c>
      <c r="O189">
        <v>467</v>
      </c>
      <c r="P189" s="1">
        <v>8.9377990430622015E-2</v>
      </c>
      <c r="Q189">
        <v>2914</v>
      </c>
      <c r="R189" s="1">
        <v>8.3923737111917515E-2</v>
      </c>
      <c r="S189">
        <v>0.36</v>
      </c>
      <c r="T189">
        <v>646</v>
      </c>
      <c r="U189" s="1">
        <v>9.1152815013404831E-2</v>
      </c>
      <c r="V189">
        <v>3090</v>
      </c>
      <c r="W189" s="1">
        <v>8.519672447544735E-2</v>
      </c>
      <c r="X189">
        <v>0.49</v>
      </c>
      <c r="Y189">
        <v>176</v>
      </c>
      <c r="Z189" s="1">
        <v>0.11376858435681965</v>
      </c>
      <c r="AA189">
        <v>3122</v>
      </c>
      <c r="AB189" s="1">
        <v>8.5044946880958872E-2</v>
      </c>
      <c r="AC189">
        <v>0.47</v>
      </c>
      <c r="AD189">
        <v>32</v>
      </c>
      <c r="AE189" s="1">
        <v>7.2562358276643993E-2</v>
      </c>
      <c r="AF189">
        <v>3489</v>
      </c>
      <c r="AG189" s="1">
        <v>8.457771744400272E-2</v>
      </c>
      <c r="AH189">
        <v>0.43</v>
      </c>
      <c r="AI189">
        <v>367</v>
      </c>
      <c r="AJ189" s="1">
        <v>8.0801409070893879E-2</v>
      </c>
    </row>
    <row r="190" spans="1:36" x14ac:dyDescent="0.3">
      <c r="A190" t="s">
        <v>142</v>
      </c>
      <c r="B190">
        <v>178336</v>
      </c>
      <c r="C190" t="s">
        <v>414</v>
      </c>
      <c r="D190" t="s">
        <v>401</v>
      </c>
      <c r="E190">
        <v>1273</v>
      </c>
      <c r="F190" s="1">
        <v>5.7000000000000002E-2</v>
      </c>
      <c r="G190">
        <v>1279</v>
      </c>
      <c r="H190" s="1">
        <v>5.7099999999999998E-2</v>
      </c>
      <c r="I190">
        <v>0.01</v>
      </c>
      <c r="J190">
        <v>6</v>
      </c>
      <c r="K190" s="1">
        <v>8.6999999999999994E-2</v>
      </c>
      <c r="L190">
        <v>1601</v>
      </c>
      <c r="M190" s="1">
        <v>5.7933779627284243E-2</v>
      </c>
      <c r="N190">
        <v>0.09</v>
      </c>
      <c r="O190">
        <v>322</v>
      </c>
      <c r="P190" s="1">
        <v>6.1626794258373203E-2</v>
      </c>
      <c r="Q190">
        <v>1942</v>
      </c>
      <c r="R190" s="1">
        <v>5.5929957951730891E-2</v>
      </c>
      <c r="S190">
        <v>-0.11</v>
      </c>
      <c r="T190">
        <v>341</v>
      </c>
      <c r="U190" s="1">
        <v>4.8116269225342179E-2</v>
      </c>
      <c r="V190">
        <v>2046</v>
      </c>
      <c r="W190" s="1">
        <v>5.641181174005349E-2</v>
      </c>
      <c r="X190">
        <v>-0.06</v>
      </c>
      <c r="Y190">
        <v>104</v>
      </c>
      <c r="Z190" s="1">
        <v>6.7226890756302518E-2</v>
      </c>
      <c r="AA190">
        <v>2074</v>
      </c>
      <c r="AB190" s="1">
        <v>5.6496867338599835E-2</v>
      </c>
      <c r="AC190">
        <v>-0.05</v>
      </c>
      <c r="AD190">
        <v>28</v>
      </c>
      <c r="AE190" s="1">
        <v>6.3492063492063489E-2</v>
      </c>
      <c r="AF190">
        <v>2341</v>
      </c>
      <c r="AG190" s="1">
        <v>5.6748763696305632E-2</v>
      </c>
      <c r="AH190">
        <v>-0.03</v>
      </c>
      <c r="AI190">
        <v>267</v>
      </c>
      <c r="AJ190" s="1">
        <v>5.8784676354029064E-2</v>
      </c>
    </row>
    <row r="191" spans="1:36" x14ac:dyDescent="0.3">
      <c r="A191" t="s">
        <v>142</v>
      </c>
      <c r="B191">
        <v>178336</v>
      </c>
      <c r="C191" t="s">
        <v>404</v>
      </c>
      <c r="E191">
        <v>134</v>
      </c>
      <c r="F191" s="1">
        <v>6.0000000000000001E-3</v>
      </c>
      <c r="G191">
        <v>137</v>
      </c>
      <c r="H191" s="1">
        <v>6.0999999999999995E-3</v>
      </c>
      <c r="I191">
        <v>0.01</v>
      </c>
      <c r="J191">
        <v>3</v>
      </c>
      <c r="K191" s="1">
        <v>4.3499999999999997E-2</v>
      </c>
      <c r="L191">
        <v>153</v>
      </c>
      <c r="M191" s="1">
        <v>5.5364573909896866E-3</v>
      </c>
      <c r="N191">
        <v>-0.05</v>
      </c>
      <c r="O191">
        <v>16</v>
      </c>
      <c r="P191" s="1">
        <v>3.0622009569377991E-3</v>
      </c>
      <c r="Q191">
        <v>204</v>
      </c>
      <c r="R191" s="1">
        <v>5.8752376015206494E-3</v>
      </c>
      <c r="S191">
        <v>-0.01</v>
      </c>
      <c r="T191">
        <v>51</v>
      </c>
      <c r="U191" s="1">
        <v>7.1962748694793287E-3</v>
      </c>
      <c r="V191">
        <v>241</v>
      </c>
      <c r="W191" s="1">
        <v>6.6447930739750201E-3</v>
      </c>
      <c r="X191">
        <v>0.06</v>
      </c>
      <c r="Y191">
        <v>37</v>
      </c>
      <c r="Z191" s="1">
        <v>2.3917259211376857E-2</v>
      </c>
      <c r="AA191">
        <v>248</v>
      </c>
      <c r="AB191" s="1">
        <v>6.7556524107872514E-3</v>
      </c>
      <c r="AC191">
        <v>0.08</v>
      </c>
      <c r="AD191">
        <v>7</v>
      </c>
      <c r="AE191" s="1">
        <v>1.5873015873015872E-2</v>
      </c>
      <c r="AF191">
        <v>272</v>
      </c>
      <c r="AG191" s="1">
        <v>6.5936197032871137E-3</v>
      </c>
      <c r="AH191">
        <v>0.06</v>
      </c>
      <c r="AI191">
        <v>24</v>
      </c>
      <c r="AJ191" s="1">
        <v>5.2840158520475562E-3</v>
      </c>
    </row>
    <row r="192" spans="1:36" x14ac:dyDescent="0.3">
      <c r="A192" t="s">
        <v>142</v>
      </c>
      <c r="B192">
        <v>178336</v>
      </c>
      <c r="C192" t="s">
        <v>701</v>
      </c>
      <c r="E192">
        <v>39</v>
      </c>
      <c r="F192" s="1" t="s">
        <v>700</v>
      </c>
      <c r="G192">
        <v>39</v>
      </c>
      <c r="H192" s="1" t="s">
        <v>700</v>
      </c>
      <c r="I192" t="s">
        <v>700</v>
      </c>
      <c r="J192">
        <v>0</v>
      </c>
      <c r="K192" s="1" t="s">
        <v>700</v>
      </c>
      <c r="L192">
        <v>28</v>
      </c>
      <c r="M192" s="1" t="s">
        <v>700</v>
      </c>
      <c r="N192" t="s">
        <v>700</v>
      </c>
      <c r="O192">
        <v>-11</v>
      </c>
      <c r="P192" s="1" t="s">
        <v>700</v>
      </c>
      <c r="Q192">
        <v>38</v>
      </c>
      <c r="R192" s="1" t="s">
        <v>700</v>
      </c>
      <c r="S192" t="s">
        <v>700</v>
      </c>
      <c r="T192">
        <v>10</v>
      </c>
      <c r="U192" s="1" t="s">
        <v>700</v>
      </c>
      <c r="V192">
        <v>39</v>
      </c>
      <c r="Y192">
        <v>1</v>
      </c>
      <c r="AA192">
        <v>39</v>
      </c>
      <c r="AD192">
        <v>0</v>
      </c>
      <c r="AF192">
        <v>41</v>
      </c>
      <c r="AI192">
        <v>2</v>
      </c>
    </row>
    <row r="193" spans="1:36" x14ac:dyDescent="0.3">
      <c r="A193" t="s">
        <v>142</v>
      </c>
      <c r="B193">
        <v>178336</v>
      </c>
      <c r="C193" t="s">
        <v>702</v>
      </c>
      <c r="E193">
        <v>1883</v>
      </c>
      <c r="F193" s="1" t="s">
        <v>700</v>
      </c>
      <c r="G193">
        <v>1899</v>
      </c>
      <c r="H193" s="1" t="s">
        <v>700</v>
      </c>
      <c r="I193" t="s">
        <v>700</v>
      </c>
      <c r="J193">
        <v>16</v>
      </c>
      <c r="K193" s="1" t="s">
        <v>700</v>
      </c>
      <c r="L193">
        <v>2373</v>
      </c>
      <c r="M193" s="1" t="s">
        <v>700</v>
      </c>
      <c r="N193" t="s">
        <v>700</v>
      </c>
      <c r="O193">
        <v>474</v>
      </c>
      <c r="P193" s="1" t="s">
        <v>700</v>
      </c>
      <c r="Q193">
        <v>3132</v>
      </c>
      <c r="R193" s="1" t="s">
        <v>700</v>
      </c>
      <c r="S193" t="s">
        <v>700</v>
      </c>
      <c r="T193">
        <v>759</v>
      </c>
      <c r="U193" s="1" t="s">
        <v>700</v>
      </c>
      <c r="V193">
        <v>3246</v>
      </c>
      <c r="Y193">
        <v>114</v>
      </c>
      <c r="AA193">
        <v>3296</v>
      </c>
      <c r="AD193">
        <v>50</v>
      </c>
      <c r="AF193">
        <v>3621</v>
      </c>
      <c r="AI193">
        <v>325</v>
      </c>
    </row>
    <row r="194" spans="1:36" x14ac:dyDescent="0.3">
      <c r="A194" t="s">
        <v>144</v>
      </c>
      <c r="B194">
        <v>171035</v>
      </c>
      <c r="C194" t="s">
        <v>699</v>
      </c>
      <c r="E194">
        <v>24263</v>
      </c>
      <c r="F194" s="1" t="s">
        <v>700</v>
      </c>
      <c r="G194">
        <v>24348</v>
      </c>
      <c r="H194" s="1" t="s">
        <v>700</v>
      </c>
      <c r="I194" t="s">
        <v>700</v>
      </c>
      <c r="J194">
        <v>85</v>
      </c>
      <c r="K194" s="1" t="s">
        <v>700</v>
      </c>
      <c r="L194">
        <v>30036</v>
      </c>
      <c r="M194" s="1" t="s">
        <v>700</v>
      </c>
      <c r="N194" t="s">
        <v>700</v>
      </c>
      <c r="O194">
        <v>5688</v>
      </c>
      <c r="P194" s="1" t="s">
        <v>700</v>
      </c>
      <c r="Q194">
        <v>37892</v>
      </c>
      <c r="R194" s="1" t="s">
        <v>700</v>
      </c>
      <c r="S194" t="s">
        <v>700</v>
      </c>
      <c r="T194">
        <v>7856</v>
      </c>
      <c r="U194" s="1" t="s">
        <v>700</v>
      </c>
      <c r="V194">
        <v>39554</v>
      </c>
      <c r="Y194">
        <v>1662</v>
      </c>
      <c r="AA194">
        <v>40045</v>
      </c>
      <c r="AD194">
        <v>491</v>
      </c>
      <c r="AF194">
        <v>44914</v>
      </c>
      <c r="AI194">
        <v>4869</v>
      </c>
    </row>
    <row r="195" spans="1:36" x14ac:dyDescent="0.3">
      <c r="A195" t="s">
        <v>144</v>
      </c>
      <c r="B195">
        <v>171035</v>
      </c>
      <c r="C195" t="s">
        <v>488</v>
      </c>
      <c r="D195" t="s">
        <v>401</v>
      </c>
      <c r="E195">
        <v>16524</v>
      </c>
      <c r="F195" s="1">
        <v>0.96609999999999996</v>
      </c>
      <c r="G195">
        <v>16569</v>
      </c>
      <c r="H195" s="1">
        <v>0.96579999999999999</v>
      </c>
      <c r="I195">
        <v>-0.03</v>
      </c>
      <c r="J195">
        <v>45</v>
      </c>
      <c r="K195" s="1">
        <v>0.88239999999999996</v>
      </c>
      <c r="L195">
        <v>20598</v>
      </c>
      <c r="M195" s="1">
        <v>0.97023080546396612</v>
      </c>
      <c r="N195">
        <v>0.41</v>
      </c>
      <c r="O195">
        <v>4029</v>
      </c>
      <c r="P195" s="1">
        <v>0.98871165644171777</v>
      </c>
      <c r="Q195">
        <v>25553</v>
      </c>
      <c r="R195" s="1">
        <v>0.96905457165611131</v>
      </c>
      <c r="S195">
        <v>0.3</v>
      </c>
      <c r="T195">
        <v>4955</v>
      </c>
      <c r="U195" s="1">
        <v>0.96419536874878387</v>
      </c>
      <c r="V195">
        <v>26664</v>
      </c>
      <c r="W195" s="1">
        <v>0.96594696420808579</v>
      </c>
      <c r="X195">
        <v>-0.02</v>
      </c>
      <c r="Y195">
        <v>1111</v>
      </c>
      <c r="Z195" s="1">
        <v>0.89959514170040489</v>
      </c>
      <c r="AA195">
        <v>26977</v>
      </c>
      <c r="AB195" s="1">
        <v>0.96574067444691059</v>
      </c>
      <c r="AC195">
        <v>-0.04</v>
      </c>
      <c r="AD195">
        <v>313</v>
      </c>
      <c r="AE195" s="1">
        <v>0.94848484848484849</v>
      </c>
      <c r="AF195">
        <v>30454</v>
      </c>
      <c r="AG195" s="1">
        <v>0.9662108569434309</v>
      </c>
      <c r="AH195">
        <v>0.01</v>
      </c>
      <c r="AI195">
        <v>3477</v>
      </c>
      <c r="AJ195" s="1">
        <v>0.96987447698744766</v>
      </c>
    </row>
    <row r="196" spans="1:36" x14ac:dyDescent="0.3">
      <c r="A196" t="s">
        <v>144</v>
      </c>
      <c r="B196">
        <v>171035</v>
      </c>
      <c r="C196" t="s">
        <v>404</v>
      </c>
      <c r="E196">
        <v>580</v>
      </c>
      <c r="F196" s="1">
        <v>3.39E-2</v>
      </c>
      <c r="G196">
        <v>586</v>
      </c>
      <c r="H196" s="1">
        <v>3.4200000000000001E-2</v>
      </c>
      <c r="I196">
        <v>0.03</v>
      </c>
      <c r="J196">
        <v>6</v>
      </c>
      <c r="K196" s="1">
        <v>0.1176</v>
      </c>
      <c r="L196">
        <v>632</v>
      </c>
      <c r="M196" s="1">
        <v>2.9769194536033914E-2</v>
      </c>
      <c r="N196">
        <v>-0.41</v>
      </c>
      <c r="O196">
        <v>46</v>
      </c>
      <c r="P196" s="1">
        <v>1.1288343558282208E-2</v>
      </c>
      <c r="Q196">
        <v>816</v>
      </c>
      <c r="R196" s="1">
        <v>3.0945428343888658E-2</v>
      </c>
      <c r="S196">
        <v>-0.3</v>
      </c>
      <c r="T196">
        <v>184</v>
      </c>
      <c r="U196" s="1">
        <v>3.580463125121619E-2</v>
      </c>
      <c r="V196">
        <v>940</v>
      </c>
      <c r="W196" s="1">
        <v>3.4053035791914217E-2</v>
      </c>
      <c r="X196">
        <v>0.02</v>
      </c>
      <c r="Y196">
        <v>124</v>
      </c>
      <c r="Z196" s="1">
        <v>0.10040485829959514</v>
      </c>
      <c r="AA196">
        <v>957</v>
      </c>
      <c r="AB196" s="1">
        <v>3.4259325553089422E-2</v>
      </c>
      <c r="AC196">
        <v>0.04</v>
      </c>
      <c r="AD196">
        <v>17</v>
      </c>
      <c r="AE196" s="1">
        <v>5.1515151515151514E-2</v>
      </c>
      <c r="AF196">
        <v>1065</v>
      </c>
      <c r="AG196" s="1">
        <v>3.3789143056569056E-2</v>
      </c>
      <c r="AH196">
        <v>-0.01</v>
      </c>
      <c r="AI196">
        <v>108</v>
      </c>
      <c r="AJ196" s="1">
        <v>3.0125523012552301E-2</v>
      </c>
    </row>
    <row r="197" spans="1:36" x14ac:dyDescent="0.3">
      <c r="A197" t="s">
        <v>144</v>
      </c>
      <c r="B197">
        <v>171035</v>
      </c>
      <c r="C197" t="s">
        <v>701</v>
      </c>
      <c r="E197">
        <v>2</v>
      </c>
      <c r="F197" s="1" t="s">
        <v>700</v>
      </c>
      <c r="G197">
        <v>2</v>
      </c>
      <c r="H197" s="1" t="s">
        <v>700</v>
      </c>
      <c r="I197" t="s">
        <v>700</v>
      </c>
      <c r="J197">
        <v>0</v>
      </c>
      <c r="K197" s="1" t="s">
        <v>700</v>
      </c>
      <c r="L197">
        <v>0</v>
      </c>
      <c r="M197" s="1" t="s">
        <v>700</v>
      </c>
      <c r="N197" t="s">
        <v>700</v>
      </c>
      <c r="O197">
        <v>-2</v>
      </c>
      <c r="P197" s="1" t="s">
        <v>700</v>
      </c>
      <c r="Q197">
        <v>3</v>
      </c>
      <c r="R197" s="1" t="s">
        <v>700</v>
      </c>
      <c r="S197" t="s">
        <v>700</v>
      </c>
      <c r="T197" t="s">
        <v>700</v>
      </c>
      <c r="U197" s="1" t="s">
        <v>700</v>
      </c>
      <c r="V197">
        <v>4</v>
      </c>
      <c r="Y197">
        <v>1</v>
      </c>
      <c r="AA197">
        <v>4</v>
      </c>
      <c r="AD197">
        <v>0</v>
      </c>
      <c r="AF197">
        <v>4</v>
      </c>
      <c r="AI197">
        <v>0</v>
      </c>
    </row>
    <row r="198" spans="1:36" x14ac:dyDescent="0.3">
      <c r="A198" t="s">
        <v>144</v>
      </c>
      <c r="B198">
        <v>171035</v>
      </c>
      <c r="C198" t="s">
        <v>702</v>
      </c>
      <c r="E198">
        <v>7157</v>
      </c>
      <c r="F198" s="1" t="s">
        <v>700</v>
      </c>
      <c r="G198">
        <v>7191</v>
      </c>
      <c r="H198" s="1" t="s">
        <v>700</v>
      </c>
      <c r="I198" t="s">
        <v>700</v>
      </c>
      <c r="J198">
        <v>34</v>
      </c>
      <c r="K198" s="1" t="s">
        <v>700</v>
      </c>
      <c r="L198">
        <v>8806</v>
      </c>
      <c r="M198" s="1" t="s">
        <v>700</v>
      </c>
      <c r="N198" t="s">
        <v>700</v>
      </c>
      <c r="O198">
        <v>1615</v>
      </c>
      <c r="P198" s="1" t="s">
        <v>700</v>
      </c>
      <c r="Q198">
        <v>11520</v>
      </c>
      <c r="R198" s="1" t="s">
        <v>700</v>
      </c>
      <c r="S198" t="s">
        <v>700</v>
      </c>
      <c r="T198">
        <v>2714</v>
      </c>
      <c r="U198" s="1" t="s">
        <v>700</v>
      </c>
      <c r="V198">
        <v>11946</v>
      </c>
      <c r="Y198">
        <v>426</v>
      </c>
      <c r="AA198">
        <v>12107</v>
      </c>
      <c r="AD198">
        <v>161</v>
      </c>
      <c r="AF198">
        <v>13391</v>
      </c>
      <c r="AI198">
        <v>1284</v>
      </c>
    </row>
    <row r="199" spans="1:36" x14ac:dyDescent="0.3">
      <c r="A199" t="s">
        <v>146</v>
      </c>
      <c r="B199">
        <v>177924</v>
      </c>
      <c r="C199" t="s">
        <v>699</v>
      </c>
      <c r="E199">
        <v>24263</v>
      </c>
      <c r="F199" s="1" t="s">
        <v>700</v>
      </c>
      <c r="G199">
        <v>24348</v>
      </c>
      <c r="H199" s="1" t="s">
        <v>700</v>
      </c>
      <c r="I199" t="s">
        <v>700</v>
      </c>
      <c r="J199">
        <v>85</v>
      </c>
      <c r="K199" s="1" t="s">
        <v>700</v>
      </c>
      <c r="L199">
        <v>30036</v>
      </c>
      <c r="M199" s="1" t="s">
        <v>700</v>
      </c>
      <c r="N199" t="s">
        <v>700</v>
      </c>
      <c r="O199">
        <v>5688</v>
      </c>
      <c r="P199" s="1" t="s">
        <v>700</v>
      </c>
      <c r="Q199">
        <v>37892</v>
      </c>
      <c r="R199" s="1" t="s">
        <v>700</v>
      </c>
      <c r="S199" t="s">
        <v>700</v>
      </c>
      <c r="T199">
        <v>7856</v>
      </c>
      <c r="U199" s="1" t="s">
        <v>700</v>
      </c>
      <c r="V199">
        <v>39554</v>
      </c>
      <c r="Y199">
        <v>1662</v>
      </c>
      <c r="AA199">
        <v>40045</v>
      </c>
      <c r="AD199">
        <v>491</v>
      </c>
      <c r="AF199">
        <v>44914</v>
      </c>
      <c r="AI199">
        <v>4869</v>
      </c>
    </row>
    <row r="200" spans="1:36" x14ac:dyDescent="0.3">
      <c r="A200" t="s">
        <v>146</v>
      </c>
      <c r="B200">
        <v>177924</v>
      </c>
      <c r="C200" t="s">
        <v>489</v>
      </c>
      <c r="D200" t="s">
        <v>401</v>
      </c>
      <c r="E200">
        <v>16420</v>
      </c>
      <c r="F200" s="1">
        <v>0.96650000000000003</v>
      </c>
      <c r="G200">
        <v>16465</v>
      </c>
      <c r="H200" s="1">
        <v>0.96620000000000006</v>
      </c>
      <c r="I200">
        <v>-0.03</v>
      </c>
      <c r="J200">
        <v>45</v>
      </c>
      <c r="K200" s="1">
        <v>0.86540000000000006</v>
      </c>
      <c r="L200">
        <v>20462</v>
      </c>
      <c r="M200" s="1">
        <v>0.97054498885357876</v>
      </c>
      <c r="N200">
        <v>0.4</v>
      </c>
      <c r="O200">
        <v>3997</v>
      </c>
      <c r="P200" s="1">
        <v>0.98886689757545765</v>
      </c>
      <c r="Q200">
        <v>25361</v>
      </c>
      <c r="R200" s="1">
        <v>0.96945718654434254</v>
      </c>
      <c r="S200">
        <v>0.3</v>
      </c>
      <c r="T200">
        <v>4899</v>
      </c>
      <c r="U200" s="1">
        <v>0.96493992515264915</v>
      </c>
      <c r="V200">
        <v>26450</v>
      </c>
      <c r="W200" s="1">
        <v>0.96621004566210045</v>
      </c>
      <c r="X200">
        <v>-0.03</v>
      </c>
      <c r="Y200">
        <v>1089</v>
      </c>
      <c r="Z200" s="1">
        <v>0.89629629629629626</v>
      </c>
      <c r="AA200">
        <v>26759</v>
      </c>
      <c r="AB200" s="1">
        <v>0.96609863528052564</v>
      </c>
      <c r="AC200">
        <v>-0.04</v>
      </c>
      <c r="AD200">
        <v>309</v>
      </c>
      <c r="AE200" s="1">
        <v>0.95665634674922606</v>
      </c>
      <c r="AF200">
        <v>30220</v>
      </c>
      <c r="AG200" s="1">
        <v>0.96654512889400623</v>
      </c>
      <c r="AH200">
        <v>0</v>
      </c>
      <c r="AI200">
        <v>3461</v>
      </c>
      <c r="AJ200" s="1">
        <v>0.97001121076233188</v>
      </c>
    </row>
    <row r="201" spans="1:36" x14ac:dyDescent="0.3">
      <c r="A201" t="s">
        <v>146</v>
      </c>
      <c r="B201">
        <v>177924</v>
      </c>
      <c r="C201" t="s">
        <v>404</v>
      </c>
      <c r="E201">
        <v>569</v>
      </c>
      <c r="F201" s="1">
        <v>3.3500000000000002E-2</v>
      </c>
      <c r="G201">
        <v>576</v>
      </c>
      <c r="H201" s="1">
        <v>3.3799999999999997E-2</v>
      </c>
      <c r="I201">
        <v>0.03</v>
      </c>
      <c r="J201">
        <v>7</v>
      </c>
      <c r="K201" s="1">
        <v>0.1346</v>
      </c>
      <c r="L201">
        <v>621</v>
      </c>
      <c r="M201" s="1">
        <v>2.9455011146421288E-2</v>
      </c>
      <c r="N201">
        <v>-0.4</v>
      </c>
      <c r="O201">
        <v>45</v>
      </c>
      <c r="P201" s="1">
        <v>1.1133102424542306E-2</v>
      </c>
      <c r="Q201">
        <v>799</v>
      </c>
      <c r="R201" s="1">
        <v>3.0542813455657493E-2</v>
      </c>
      <c r="S201">
        <v>-0.3</v>
      </c>
      <c r="T201">
        <v>178</v>
      </c>
      <c r="U201" s="1">
        <v>3.5060074847350797E-2</v>
      </c>
      <c r="V201">
        <v>925</v>
      </c>
      <c r="W201" s="1">
        <v>3.3789954337899546E-2</v>
      </c>
      <c r="X201">
        <v>0.03</v>
      </c>
      <c r="Y201">
        <v>126</v>
      </c>
      <c r="Z201" s="1">
        <v>0.1037037037037037</v>
      </c>
      <c r="AA201">
        <v>939</v>
      </c>
      <c r="AB201" s="1">
        <v>3.3901364719474331E-2</v>
      </c>
      <c r="AC201">
        <v>0.04</v>
      </c>
      <c r="AD201">
        <v>14</v>
      </c>
      <c r="AE201" s="1">
        <v>4.3343653250773995E-2</v>
      </c>
      <c r="AF201">
        <v>1046</v>
      </c>
      <c r="AG201" s="1">
        <v>3.3454871105993732E-2</v>
      </c>
      <c r="AH201">
        <v>0</v>
      </c>
      <c r="AI201">
        <v>107</v>
      </c>
      <c r="AJ201" s="1">
        <v>2.9988789237668161E-2</v>
      </c>
    </row>
    <row r="202" spans="1:36" x14ac:dyDescent="0.3">
      <c r="A202" t="s">
        <v>146</v>
      </c>
      <c r="B202">
        <v>177924</v>
      </c>
      <c r="C202" t="s">
        <v>701</v>
      </c>
      <c r="E202">
        <v>4</v>
      </c>
      <c r="F202" s="1" t="s">
        <v>700</v>
      </c>
      <c r="G202">
        <v>4</v>
      </c>
      <c r="H202" s="1" t="s">
        <v>700</v>
      </c>
      <c r="I202" t="s">
        <v>700</v>
      </c>
      <c r="J202">
        <v>0</v>
      </c>
      <c r="K202" s="1" t="s">
        <v>700</v>
      </c>
      <c r="L202">
        <v>1</v>
      </c>
      <c r="M202" s="1" t="s">
        <v>700</v>
      </c>
      <c r="N202" t="s">
        <v>700</v>
      </c>
      <c r="O202">
        <v>-3</v>
      </c>
      <c r="P202" s="1" t="s">
        <v>700</v>
      </c>
      <c r="Q202">
        <v>2</v>
      </c>
      <c r="R202" s="1" t="s">
        <v>700</v>
      </c>
      <c r="S202" t="s">
        <v>700</v>
      </c>
      <c r="T202">
        <v>1</v>
      </c>
      <c r="U202" s="1" t="s">
        <v>700</v>
      </c>
      <c r="V202">
        <v>2</v>
      </c>
      <c r="Y202">
        <v>0</v>
      </c>
      <c r="AA202">
        <v>2</v>
      </c>
      <c r="AD202">
        <v>0</v>
      </c>
      <c r="AF202">
        <v>2</v>
      </c>
      <c r="AI202">
        <v>0</v>
      </c>
    </row>
    <row r="203" spans="1:36" x14ac:dyDescent="0.3">
      <c r="A203" t="s">
        <v>146</v>
      </c>
      <c r="B203">
        <v>177924</v>
      </c>
      <c r="C203" t="s">
        <v>702</v>
      </c>
      <c r="E203">
        <v>7270</v>
      </c>
      <c r="F203" s="1" t="s">
        <v>700</v>
      </c>
      <c r="G203">
        <v>7303</v>
      </c>
      <c r="H203" s="1" t="s">
        <v>700</v>
      </c>
      <c r="I203" t="s">
        <v>700</v>
      </c>
      <c r="J203">
        <v>33</v>
      </c>
      <c r="K203" s="1" t="s">
        <v>700</v>
      </c>
      <c r="L203">
        <v>8952</v>
      </c>
      <c r="M203" s="1" t="s">
        <v>700</v>
      </c>
      <c r="N203" t="s">
        <v>700</v>
      </c>
      <c r="O203">
        <v>1649</v>
      </c>
      <c r="P203" s="1" t="s">
        <v>700</v>
      </c>
      <c r="Q203">
        <v>11730</v>
      </c>
      <c r="R203" s="1" t="s">
        <v>700</v>
      </c>
      <c r="S203" t="s">
        <v>700</v>
      </c>
      <c r="T203">
        <v>2778</v>
      </c>
      <c r="U203" s="1" t="s">
        <v>700</v>
      </c>
      <c r="V203">
        <v>12177</v>
      </c>
      <c r="Y203">
        <v>447</v>
      </c>
      <c r="AA203">
        <v>12345</v>
      </c>
      <c r="AD203">
        <v>168</v>
      </c>
      <c r="AF203">
        <v>13646</v>
      </c>
      <c r="AI203">
        <v>1301</v>
      </c>
    </row>
    <row r="204" spans="1:36" x14ac:dyDescent="0.3">
      <c r="A204" t="s">
        <v>196</v>
      </c>
      <c r="B204">
        <v>178149</v>
      </c>
      <c r="C204" t="s">
        <v>699</v>
      </c>
      <c r="E204">
        <v>16555</v>
      </c>
      <c r="F204" s="1" t="s">
        <v>700</v>
      </c>
      <c r="G204">
        <v>22957</v>
      </c>
      <c r="H204" s="1" t="s">
        <v>700</v>
      </c>
      <c r="I204" t="s">
        <v>700</v>
      </c>
      <c r="J204">
        <v>6402</v>
      </c>
      <c r="K204" s="1" t="s">
        <v>700</v>
      </c>
      <c r="L204">
        <v>23097</v>
      </c>
      <c r="M204" s="1" t="s">
        <v>700</v>
      </c>
      <c r="N204" t="s">
        <v>700</v>
      </c>
      <c r="O204">
        <v>140</v>
      </c>
      <c r="P204" s="1" t="s">
        <v>700</v>
      </c>
      <c r="Q204">
        <v>34346</v>
      </c>
      <c r="R204" s="1" t="s">
        <v>700</v>
      </c>
      <c r="S204" t="s">
        <v>700</v>
      </c>
      <c r="T204">
        <v>11249</v>
      </c>
      <c r="U204" s="1" t="s">
        <v>700</v>
      </c>
      <c r="V204">
        <v>34361</v>
      </c>
      <c r="Y204">
        <v>15</v>
      </c>
      <c r="AA204">
        <v>34538</v>
      </c>
      <c r="AD204">
        <v>177</v>
      </c>
      <c r="AF204">
        <v>34759</v>
      </c>
      <c r="AI204">
        <v>221</v>
      </c>
    </row>
    <row r="205" spans="1:36" x14ac:dyDescent="0.3">
      <c r="A205" t="s">
        <v>196</v>
      </c>
      <c r="B205">
        <v>178149</v>
      </c>
      <c r="C205" t="s">
        <v>415</v>
      </c>
      <c r="D205" t="s">
        <v>401</v>
      </c>
      <c r="E205">
        <v>6580</v>
      </c>
      <c r="F205" s="1">
        <v>0.44829999999999998</v>
      </c>
      <c r="G205">
        <v>9187</v>
      </c>
      <c r="H205" s="1">
        <v>0.45159999999999995</v>
      </c>
      <c r="I205">
        <v>0.33</v>
      </c>
      <c r="J205">
        <v>2607</v>
      </c>
      <c r="K205" s="1">
        <v>0.46</v>
      </c>
      <c r="L205">
        <v>9237</v>
      </c>
      <c r="M205" s="1">
        <v>0.45117960240316513</v>
      </c>
      <c r="N205">
        <v>0.28999999999999998</v>
      </c>
      <c r="O205">
        <v>50</v>
      </c>
      <c r="P205" s="1">
        <v>0.38759689922480622</v>
      </c>
      <c r="Q205">
        <v>14123</v>
      </c>
      <c r="R205" s="1">
        <v>0.46321624192331662</v>
      </c>
      <c r="S205">
        <v>1.49</v>
      </c>
      <c r="T205">
        <v>4886</v>
      </c>
      <c r="U205" s="1">
        <v>0.48781948881789139</v>
      </c>
      <c r="V205">
        <v>14162</v>
      </c>
      <c r="W205" s="1">
        <v>0.46318887980376122</v>
      </c>
      <c r="X205">
        <v>1.49</v>
      </c>
      <c r="Y205">
        <v>39</v>
      </c>
      <c r="Z205" s="1">
        <v>0.45348837209302323</v>
      </c>
      <c r="AA205">
        <v>14235</v>
      </c>
      <c r="AB205" s="1">
        <v>0.4636656786423895</v>
      </c>
      <c r="AC205">
        <v>1.54</v>
      </c>
      <c r="AD205">
        <v>73</v>
      </c>
      <c r="AE205" s="1">
        <v>0.57936507936507942</v>
      </c>
      <c r="AF205">
        <v>14297</v>
      </c>
      <c r="AG205" s="1">
        <v>0.4630907265247951</v>
      </c>
      <c r="AH205">
        <v>1.48</v>
      </c>
      <c r="AI205">
        <v>62</v>
      </c>
      <c r="AJ205" s="1">
        <v>0.36046511627906974</v>
      </c>
    </row>
    <row r="206" spans="1:36" x14ac:dyDescent="0.3">
      <c r="A206" t="s">
        <v>196</v>
      </c>
      <c r="B206">
        <v>178149</v>
      </c>
      <c r="C206" t="s">
        <v>416</v>
      </c>
      <c r="D206" t="s">
        <v>401</v>
      </c>
      <c r="E206">
        <v>7805</v>
      </c>
      <c r="F206" s="1">
        <v>0.53180000000000005</v>
      </c>
      <c r="G206">
        <v>10785</v>
      </c>
      <c r="H206" s="1">
        <v>0.53010000000000002</v>
      </c>
      <c r="I206">
        <v>-0.17</v>
      </c>
      <c r="J206">
        <v>2980</v>
      </c>
      <c r="K206" s="1">
        <v>0.52590000000000003</v>
      </c>
      <c r="L206">
        <v>10862</v>
      </c>
      <c r="M206" s="1">
        <v>0.53055243491427739</v>
      </c>
      <c r="N206">
        <v>-0.12</v>
      </c>
      <c r="O206">
        <v>77</v>
      </c>
      <c r="P206" s="1">
        <v>0.5968992248062015</v>
      </c>
      <c r="Q206">
        <v>15841</v>
      </c>
      <c r="R206" s="1">
        <v>0.51956443307422351</v>
      </c>
      <c r="S206">
        <v>-1.22</v>
      </c>
      <c r="T206">
        <v>4979</v>
      </c>
      <c r="U206" s="1">
        <v>0.49710463258785942</v>
      </c>
      <c r="V206">
        <v>15876</v>
      </c>
      <c r="W206" s="1">
        <v>0.51924775143090762</v>
      </c>
      <c r="X206">
        <v>-1.26</v>
      </c>
      <c r="Y206">
        <v>35</v>
      </c>
      <c r="Z206" s="1">
        <v>0.40697674418604651</v>
      </c>
      <c r="AA206">
        <v>15958</v>
      </c>
      <c r="AB206" s="1">
        <v>0.51978762906745712</v>
      </c>
      <c r="AC206">
        <v>-1.2</v>
      </c>
      <c r="AD206">
        <v>82</v>
      </c>
      <c r="AE206" s="1">
        <v>0.65079365079365081</v>
      </c>
      <c r="AF206">
        <v>16065</v>
      </c>
      <c r="AG206" s="1">
        <v>0.52035759401418713</v>
      </c>
      <c r="AH206">
        <v>-1.1399999999999999</v>
      </c>
      <c r="AI206">
        <v>107</v>
      </c>
      <c r="AJ206" s="1">
        <v>0.62209302325581395</v>
      </c>
    </row>
    <row r="207" spans="1:36" x14ac:dyDescent="0.3">
      <c r="A207" t="s">
        <v>196</v>
      </c>
      <c r="B207">
        <v>178149</v>
      </c>
      <c r="C207" t="s">
        <v>402</v>
      </c>
      <c r="E207">
        <v>292</v>
      </c>
      <c r="F207" s="1">
        <v>1.9900000000000001E-2</v>
      </c>
      <c r="G207">
        <v>372</v>
      </c>
      <c r="H207" s="1">
        <v>1.83E-2</v>
      </c>
      <c r="I207">
        <v>-0.16</v>
      </c>
      <c r="J207">
        <v>80</v>
      </c>
      <c r="K207" s="1">
        <v>1.41E-2</v>
      </c>
      <c r="L207">
        <v>374</v>
      </c>
      <c r="M207" s="1">
        <v>1.8267962682557516E-2</v>
      </c>
      <c r="N207">
        <v>-0.16</v>
      </c>
      <c r="O207">
        <v>2</v>
      </c>
      <c r="P207" s="1">
        <v>1.5503875968992248E-2</v>
      </c>
      <c r="Q207">
        <v>525</v>
      </c>
      <c r="R207" s="1">
        <v>1.7219325002459904E-2</v>
      </c>
      <c r="S207">
        <v>-0.27</v>
      </c>
      <c r="T207">
        <v>151</v>
      </c>
      <c r="U207" s="1">
        <v>1.5075878594249201E-2</v>
      </c>
      <c r="V207">
        <v>537</v>
      </c>
      <c r="W207" s="1">
        <v>1.7563368765331152E-2</v>
      </c>
      <c r="X207">
        <v>-0.23</v>
      </c>
      <c r="Y207">
        <v>12</v>
      </c>
      <c r="Z207" s="1">
        <v>0.13953488372093023</v>
      </c>
      <c r="AA207">
        <v>508</v>
      </c>
      <c r="AB207" s="1">
        <v>1.6546692290153417E-2</v>
      </c>
      <c r="AC207">
        <v>-0.34</v>
      </c>
      <c r="AD207">
        <v>-29</v>
      </c>
      <c r="AE207" s="1">
        <v>-0.23015873015873015</v>
      </c>
      <c r="AF207">
        <v>511</v>
      </c>
      <c r="AG207" s="1">
        <v>1.6551679461017717E-2</v>
      </c>
      <c r="AH207">
        <v>-0.33</v>
      </c>
      <c r="AI207">
        <v>3</v>
      </c>
      <c r="AJ207" s="1">
        <v>1.7441860465116279E-2</v>
      </c>
    </row>
    <row r="208" spans="1:36" x14ac:dyDescent="0.3">
      <c r="A208" t="s">
        <v>196</v>
      </c>
      <c r="B208">
        <v>178149</v>
      </c>
      <c r="C208" t="s">
        <v>701</v>
      </c>
      <c r="E208">
        <v>33</v>
      </c>
      <c r="F208" s="1" t="s">
        <v>700</v>
      </c>
      <c r="G208">
        <v>47</v>
      </c>
      <c r="H208" s="1" t="s">
        <v>700</v>
      </c>
      <c r="I208" t="s">
        <v>700</v>
      </c>
      <c r="J208">
        <v>14</v>
      </c>
      <c r="K208" s="1" t="s">
        <v>700</v>
      </c>
      <c r="L208">
        <v>47</v>
      </c>
      <c r="M208" s="1" t="s">
        <v>700</v>
      </c>
      <c r="N208" t="s">
        <v>700</v>
      </c>
      <c r="O208">
        <v>0</v>
      </c>
      <c r="P208" s="1" t="s">
        <v>700</v>
      </c>
      <c r="Q208">
        <v>76</v>
      </c>
      <c r="R208" s="1" t="s">
        <v>700</v>
      </c>
      <c r="S208" t="s">
        <v>700</v>
      </c>
      <c r="T208">
        <v>29</v>
      </c>
      <c r="U208" s="1" t="s">
        <v>700</v>
      </c>
      <c r="V208">
        <v>10</v>
      </c>
      <c r="Y208">
        <v>-66</v>
      </c>
      <c r="AA208">
        <v>10</v>
      </c>
      <c r="AD208">
        <v>0</v>
      </c>
      <c r="AF208">
        <v>10</v>
      </c>
      <c r="AI208">
        <v>0</v>
      </c>
    </row>
    <row r="209" spans="1:36" x14ac:dyDescent="0.3">
      <c r="A209" t="s">
        <v>196</v>
      </c>
      <c r="B209">
        <v>178149</v>
      </c>
      <c r="C209" t="s">
        <v>702</v>
      </c>
      <c r="E209">
        <v>1845</v>
      </c>
      <c r="F209" s="1" t="s">
        <v>700</v>
      </c>
      <c r="G209">
        <v>2566</v>
      </c>
      <c r="H209" s="1" t="s">
        <v>700</v>
      </c>
      <c r="I209" t="s">
        <v>700</v>
      </c>
      <c r="J209">
        <v>721</v>
      </c>
      <c r="K209" s="1" t="s">
        <v>700</v>
      </c>
      <c r="L209">
        <v>2577</v>
      </c>
      <c r="M209" s="1" t="s">
        <v>700</v>
      </c>
      <c r="N209" t="s">
        <v>700</v>
      </c>
      <c r="O209">
        <v>11</v>
      </c>
      <c r="P209" s="1" t="s">
        <v>700</v>
      </c>
      <c r="Q209">
        <v>3781</v>
      </c>
      <c r="R209" s="1" t="s">
        <v>700</v>
      </c>
      <c r="S209" t="s">
        <v>700</v>
      </c>
      <c r="T209">
        <v>1204</v>
      </c>
      <c r="U209" s="1" t="s">
        <v>700</v>
      </c>
      <c r="V209">
        <v>3776</v>
      </c>
      <c r="Y209">
        <v>-5</v>
      </c>
      <c r="AA209">
        <v>3827</v>
      </c>
      <c r="AD209">
        <v>51</v>
      </c>
      <c r="AF209">
        <v>3876</v>
      </c>
      <c r="AI209">
        <v>49</v>
      </c>
    </row>
    <row r="210" spans="1:36" x14ac:dyDescent="0.3">
      <c r="A210" t="s">
        <v>197</v>
      </c>
      <c r="B210">
        <v>170267</v>
      </c>
      <c r="C210" t="s">
        <v>699</v>
      </c>
      <c r="E210">
        <v>16555</v>
      </c>
      <c r="F210" s="1" t="s">
        <v>700</v>
      </c>
      <c r="G210">
        <v>22957</v>
      </c>
      <c r="H210" s="1" t="s">
        <v>700</v>
      </c>
      <c r="I210" t="s">
        <v>700</v>
      </c>
      <c r="J210">
        <v>6402</v>
      </c>
      <c r="K210" s="1" t="s">
        <v>700</v>
      </c>
      <c r="L210">
        <v>23097</v>
      </c>
      <c r="M210" s="1" t="s">
        <v>700</v>
      </c>
      <c r="N210" t="s">
        <v>700</v>
      </c>
      <c r="O210">
        <v>140</v>
      </c>
      <c r="P210" s="1" t="s">
        <v>700</v>
      </c>
      <c r="Q210">
        <v>34346</v>
      </c>
      <c r="R210" s="1" t="s">
        <v>700</v>
      </c>
      <c r="S210" t="s">
        <v>700</v>
      </c>
      <c r="T210">
        <v>11249</v>
      </c>
      <c r="U210" s="1" t="s">
        <v>700</v>
      </c>
      <c r="V210">
        <v>34361</v>
      </c>
      <c r="Y210">
        <v>15</v>
      </c>
      <c r="AA210">
        <v>34538</v>
      </c>
      <c r="AD210">
        <v>177</v>
      </c>
      <c r="AF210">
        <v>34759</v>
      </c>
      <c r="AI210">
        <v>221</v>
      </c>
    </row>
    <row r="211" spans="1:36" x14ac:dyDescent="0.3">
      <c r="A211" t="s">
        <v>197</v>
      </c>
      <c r="B211">
        <v>170267</v>
      </c>
      <c r="C211" t="s">
        <v>490</v>
      </c>
      <c r="D211" t="s">
        <v>401</v>
      </c>
      <c r="E211">
        <v>11558</v>
      </c>
      <c r="F211" s="1">
        <v>0.9708</v>
      </c>
      <c r="G211">
        <v>15990</v>
      </c>
      <c r="H211" s="1">
        <v>0.97189999999999999</v>
      </c>
      <c r="I211">
        <v>0.11</v>
      </c>
      <c r="J211">
        <v>4432</v>
      </c>
      <c r="K211" s="1">
        <v>0.97470000000000001</v>
      </c>
      <c r="L211">
        <v>16089</v>
      </c>
      <c r="M211" s="1">
        <v>0.97185140440954398</v>
      </c>
      <c r="N211">
        <v>0.11</v>
      </c>
      <c r="O211">
        <v>99</v>
      </c>
      <c r="P211" s="1">
        <v>0.97058823529411764</v>
      </c>
      <c r="Q211">
        <v>23822</v>
      </c>
      <c r="R211" s="1">
        <v>0.97212813711487456</v>
      </c>
      <c r="S211">
        <v>0.13</v>
      </c>
      <c r="T211">
        <v>7733</v>
      </c>
      <c r="U211" s="1">
        <v>0.97270440251572332</v>
      </c>
      <c r="V211">
        <v>23845</v>
      </c>
      <c r="W211" s="1">
        <v>0.97203538380008969</v>
      </c>
      <c r="X211">
        <v>0.12</v>
      </c>
      <c r="Y211">
        <v>23</v>
      </c>
      <c r="Z211" s="1">
        <v>0.88461538461538458</v>
      </c>
      <c r="AA211">
        <v>23971</v>
      </c>
      <c r="AB211" s="1">
        <v>0.9739557939216642</v>
      </c>
      <c r="AC211">
        <v>0.32</v>
      </c>
      <c r="AD211">
        <v>126</v>
      </c>
      <c r="AE211" s="1">
        <v>1.5555555555555556</v>
      </c>
      <c r="AF211">
        <v>24103</v>
      </c>
      <c r="AG211" s="1">
        <v>0.97381923962668171</v>
      </c>
      <c r="AH211">
        <v>0.3</v>
      </c>
      <c r="AI211">
        <v>132</v>
      </c>
      <c r="AJ211" s="1">
        <v>0.94964028776978415</v>
      </c>
    </row>
    <row r="212" spans="1:36" x14ac:dyDescent="0.3">
      <c r="A212" t="s">
        <v>197</v>
      </c>
      <c r="B212">
        <v>170267</v>
      </c>
      <c r="C212" t="s">
        <v>402</v>
      </c>
      <c r="E212">
        <v>348</v>
      </c>
      <c r="F212" s="1">
        <v>2.92E-2</v>
      </c>
      <c r="G212">
        <v>463</v>
      </c>
      <c r="H212" s="1">
        <v>2.81E-2</v>
      </c>
      <c r="I212">
        <v>-0.11</v>
      </c>
      <c r="J212">
        <v>115</v>
      </c>
      <c r="K212" s="1">
        <v>2.53E-2</v>
      </c>
      <c r="L212">
        <v>466</v>
      </c>
      <c r="M212" s="1">
        <v>2.8148595590456054E-2</v>
      </c>
      <c r="N212">
        <v>-0.11</v>
      </c>
      <c r="O212">
        <v>3</v>
      </c>
      <c r="P212" s="1">
        <v>2.9411764705882353E-2</v>
      </c>
      <c r="Q212">
        <v>683</v>
      </c>
      <c r="R212" s="1">
        <v>2.7871862885125484E-2</v>
      </c>
      <c r="S212">
        <v>-0.13</v>
      </c>
      <c r="T212">
        <v>217</v>
      </c>
      <c r="U212" s="1">
        <v>2.7295597484276731E-2</v>
      </c>
      <c r="V212">
        <v>686</v>
      </c>
      <c r="W212" s="1">
        <v>2.7964616199910319E-2</v>
      </c>
      <c r="X212">
        <v>-0.12</v>
      </c>
      <c r="Y212">
        <v>3</v>
      </c>
      <c r="Z212" s="1">
        <v>0.11538461538461539</v>
      </c>
      <c r="AA212">
        <v>641</v>
      </c>
      <c r="AB212" s="1">
        <v>2.6044206078335772E-2</v>
      </c>
      <c r="AC212">
        <v>-0.32</v>
      </c>
      <c r="AD212">
        <v>-45</v>
      </c>
      <c r="AE212" s="1">
        <v>-0.55555555555555558</v>
      </c>
      <c r="AF212">
        <v>648</v>
      </c>
      <c r="AG212" s="1">
        <v>2.6180760373318249E-2</v>
      </c>
      <c r="AH212">
        <v>-0.3</v>
      </c>
      <c r="AI212">
        <v>7</v>
      </c>
      <c r="AJ212" s="1">
        <v>5.0359712230215826E-2</v>
      </c>
    </row>
    <row r="213" spans="1:36" x14ac:dyDescent="0.3">
      <c r="A213" t="s">
        <v>197</v>
      </c>
      <c r="B213">
        <v>170267</v>
      </c>
      <c r="C213" t="s">
        <v>701</v>
      </c>
      <c r="E213">
        <v>15</v>
      </c>
      <c r="F213" s="1" t="s">
        <v>700</v>
      </c>
      <c r="G213">
        <v>18</v>
      </c>
      <c r="H213" s="1" t="s">
        <v>700</v>
      </c>
      <c r="I213" t="s">
        <v>700</v>
      </c>
      <c r="J213">
        <v>3</v>
      </c>
      <c r="K213" s="1" t="s">
        <v>700</v>
      </c>
      <c r="L213">
        <v>18</v>
      </c>
      <c r="M213" s="1" t="s">
        <v>700</v>
      </c>
      <c r="N213" t="s">
        <v>700</v>
      </c>
      <c r="O213">
        <v>0</v>
      </c>
      <c r="P213" s="1" t="s">
        <v>700</v>
      </c>
      <c r="Q213">
        <v>23</v>
      </c>
      <c r="R213" s="1" t="s">
        <v>700</v>
      </c>
      <c r="S213" t="s">
        <v>700</v>
      </c>
      <c r="T213">
        <v>5</v>
      </c>
      <c r="U213" s="1" t="s">
        <v>700</v>
      </c>
      <c r="V213">
        <v>2</v>
      </c>
      <c r="Y213">
        <v>-21</v>
      </c>
      <c r="AA213">
        <v>1</v>
      </c>
      <c r="AD213">
        <v>-1</v>
      </c>
      <c r="AF213">
        <v>0</v>
      </c>
      <c r="AI213">
        <v>-1</v>
      </c>
    </row>
    <row r="214" spans="1:36" x14ac:dyDescent="0.3">
      <c r="A214" t="s">
        <v>197</v>
      </c>
      <c r="B214">
        <v>170267</v>
      </c>
      <c r="C214" t="s">
        <v>702</v>
      </c>
      <c r="E214">
        <v>4634</v>
      </c>
      <c r="F214" s="1" t="s">
        <v>700</v>
      </c>
      <c r="G214">
        <v>6486</v>
      </c>
      <c r="H214" s="1" t="s">
        <v>700</v>
      </c>
      <c r="I214" t="s">
        <v>700</v>
      </c>
      <c r="J214">
        <v>1852</v>
      </c>
      <c r="K214" s="1" t="s">
        <v>700</v>
      </c>
      <c r="L214">
        <v>6524</v>
      </c>
      <c r="M214" s="1" t="s">
        <v>700</v>
      </c>
      <c r="N214" t="s">
        <v>700</v>
      </c>
      <c r="O214">
        <v>38</v>
      </c>
      <c r="P214" s="1" t="s">
        <v>700</v>
      </c>
      <c r="Q214">
        <v>9818</v>
      </c>
      <c r="R214" s="1" t="s">
        <v>700</v>
      </c>
      <c r="S214" t="s">
        <v>700</v>
      </c>
      <c r="T214">
        <v>3294</v>
      </c>
      <c r="U214" s="1" t="s">
        <v>700</v>
      </c>
      <c r="V214">
        <v>9828</v>
      </c>
      <c r="Y214">
        <v>10</v>
      </c>
      <c r="AA214">
        <v>9925</v>
      </c>
      <c r="AD214">
        <v>97</v>
      </c>
      <c r="AF214">
        <v>10008</v>
      </c>
      <c r="AI214">
        <v>83</v>
      </c>
    </row>
    <row r="215" spans="1:36" x14ac:dyDescent="0.3">
      <c r="A215" t="s">
        <v>198</v>
      </c>
      <c r="B215">
        <v>183253</v>
      </c>
      <c r="C215" t="s">
        <v>699</v>
      </c>
      <c r="E215">
        <v>16555</v>
      </c>
      <c r="F215" s="1" t="s">
        <v>700</v>
      </c>
      <c r="G215">
        <v>22957</v>
      </c>
      <c r="H215" s="1" t="s">
        <v>700</v>
      </c>
      <c r="I215" t="s">
        <v>700</v>
      </c>
      <c r="J215">
        <v>6402</v>
      </c>
      <c r="K215" s="1" t="s">
        <v>700</v>
      </c>
      <c r="L215">
        <v>23097</v>
      </c>
      <c r="M215" s="1" t="s">
        <v>700</v>
      </c>
      <c r="N215" t="s">
        <v>700</v>
      </c>
      <c r="O215">
        <v>140</v>
      </c>
      <c r="P215" s="1" t="s">
        <v>700</v>
      </c>
      <c r="Q215">
        <v>34346</v>
      </c>
      <c r="R215" s="1" t="s">
        <v>700</v>
      </c>
      <c r="S215" t="s">
        <v>700</v>
      </c>
      <c r="T215">
        <v>11249</v>
      </c>
      <c r="U215" s="1" t="s">
        <v>700</v>
      </c>
      <c r="V215">
        <v>34361</v>
      </c>
      <c r="Y215">
        <v>15</v>
      </c>
      <c r="AA215">
        <v>34538</v>
      </c>
      <c r="AD215">
        <v>177</v>
      </c>
      <c r="AF215">
        <v>34759</v>
      </c>
      <c r="AI215">
        <v>221</v>
      </c>
    </row>
    <row r="216" spans="1:36" x14ac:dyDescent="0.3">
      <c r="A216" t="s">
        <v>198</v>
      </c>
      <c r="B216">
        <v>183253</v>
      </c>
      <c r="C216" t="s">
        <v>491</v>
      </c>
      <c r="D216" t="s">
        <v>401</v>
      </c>
      <c r="E216">
        <v>11691</v>
      </c>
      <c r="F216" s="1">
        <v>0.97089999999999999</v>
      </c>
      <c r="G216">
        <v>16156</v>
      </c>
      <c r="H216" s="1">
        <v>0.97180000000000011</v>
      </c>
      <c r="I216">
        <v>0.09</v>
      </c>
      <c r="J216">
        <v>4465</v>
      </c>
      <c r="K216" s="1">
        <v>0.97430000000000005</v>
      </c>
      <c r="L216">
        <v>16254</v>
      </c>
      <c r="M216" s="1">
        <v>0.9718385650224215</v>
      </c>
      <c r="N216">
        <v>0.09</v>
      </c>
      <c r="O216">
        <v>98</v>
      </c>
      <c r="P216" s="1">
        <v>0.97029702970297027</v>
      </c>
      <c r="Q216">
        <v>24047</v>
      </c>
      <c r="R216" s="1">
        <v>0.97242104411824171</v>
      </c>
      <c r="S216">
        <v>0.15</v>
      </c>
      <c r="T216">
        <v>7793</v>
      </c>
      <c r="U216" s="1">
        <v>0.97363818090954524</v>
      </c>
      <c r="V216">
        <v>24056</v>
      </c>
      <c r="W216" s="1">
        <v>0.97211670573021902</v>
      </c>
      <c r="X216">
        <v>0.12</v>
      </c>
      <c r="Y216">
        <v>9</v>
      </c>
      <c r="Z216" s="1">
        <v>0.52941176470588236</v>
      </c>
      <c r="AA216">
        <v>24181</v>
      </c>
      <c r="AB216" s="1">
        <v>0.97386226339105919</v>
      </c>
      <c r="AC216">
        <v>0.3</v>
      </c>
      <c r="AD216">
        <v>125</v>
      </c>
      <c r="AE216" s="1">
        <v>1.4880952380952381</v>
      </c>
      <c r="AF216">
        <v>24314</v>
      </c>
      <c r="AG216" s="1">
        <v>0.97337763721526083</v>
      </c>
      <c r="AH216">
        <v>0.25</v>
      </c>
      <c r="AI216">
        <v>133</v>
      </c>
      <c r="AJ216" s="1">
        <v>0.89261744966442957</v>
      </c>
    </row>
    <row r="217" spans="1:36" x14ac:dyDescent="0.3">
      <c r="A217" t="s">
        <v>198</v>
      </c>
      <c r="B217">
        <v>183253</v>
      </c>
      <c r="C217" t="s">
        <v>402</v>
      </c>
      <c r="E217">
        <v>350</v>
      </c>
      <c r="F217" s="1">
        <v>2.9100000000000001E-2</v>
      </c>
      <c r="G217">
        <v>468</v>
      </c>
      <c r="H217" s="1">
        <v>2.8199999999999999E-2</v>
      </c>
      <c r="I217">
        <v>-0.09</v>
      </c>
      <c r="J217">
        <v>118</v>
      </c>
      <c r="K217" s="1">
        <v>2.5699999999999997E-2</v>
      </c>
      <c r="L217">
        <v>471</v>
      </c>
      <c r="M217" s="1">
        <v>2.8161434977578476E-2</v>
      </c>
      <c r="N217">
        <v>-0.09</v>
      </c>
      <c r="O217">
        <v>3</v>
      </c>
      <c r="P217" s="1">
        <v>2.9702970297029702E-2</v>
      </c>
      <c r="Q217">
        <v>682</v>
      </c>
      <c r="R217" s="1">
        <v>2.7578955881758259E-2</v>
      </c>
      <c r="S217">
        <v>-0.15</v>
      </c>
      <c r="T217">
        <v>211</v>
      </c>
      <c r="U217" s="1">
        <v>2.6361819090454774E-2</v>
      </c>
      <c r="V217">
        <v>690</v>
      </c>
      <c r="W217" s="1">
        <v>2.7883294269780975E-2</v>
      </c>
      <c r="X217">
        <v>-0.12</v>
      </c>
      <c r="Y217">
        <v>8</v>
      </c>
      <c r="Z217" s="1">
        <v>0.47058823529411764</v>
      </c>
      <c r="AA217">
        <v>649</v>
      </c>
      <c r="AB217" s="1">
        <v>2.6137736608940799E-2</v>
      </c>
      <c r="AC217">
        <v>-0.3</v>
      </c>
      <c r="AD217">
        <v>-41</v>
      </c>
      <c r="AE217" s="1">
        <v>-0.48809523809523808</v>
      </c>
      <c r="AF217">
        <v>665</v>
      </c>
      <c r="AG217" s="1">
        <v>2.662236278473918E-2</v>
      </c>
      <c r="AH217">
        <v>-0.25</v>
      </c>
      <c r="AI217">
        <v>16</v>
      </c>
      <c r="AJ217" s="1">
        <v>0.10738255033557047</v>
      </c>
    </row>
    <row r="218" spans="1:36" x14ac:dyDescent="0.3">
      <c r="A218" t="s">
        <v>198</v>
      </c>
      <c r="B218">
        <v>183253</v>
      </c>
      <c r="C218" t="s">
        <v>701</v>
      </c>
      <c r="E218">
        <v>7</v>
      </c>
      <c r="F218" s="1" t="s">
        <v>700</v>
      </c>
      <c r="G218">
        <v>9</v>
      </c>
      <c r="H218" s="1" t="s">
        <v>700</v>
      </c>
      <c r="I218" t="s">
        <v>700</v>
      </c>
      <c r="J218">
        <v>2</v>
      </c>
      <c r="K218" s="1" t="s">
        <v>700</v>
      </c>
      <c r="L218">
        <v>9</v>
      </c>
      <c r="M218" s="1" t="s">
        <v>700</v>
      </c>
      <c r="N218" t="s">
        <v>700</v>
      </c>
      <c r="O218">
        <v>0</v>
      </c>
      <c r="P218" s="1" t="s">
        <v>700</v>
      </c>
      <c r="Q218">
        <v>12</v>
      </c>
      <c r="R218" s="1" t="s">
        <v>700</v>
      </c>
      <c r="S218" t="s">
        <v>700</v>
      </c>
      <c r="T218">
        <v>3</v>
      </c>
      <c r="U218" s="1" t="s">
        <v>700</v>
      </c>
      <c r="V218">
        <v>1</v>
      </c>
      <c r="Y218">
        <v>-11</v>
      </c>
      <c r="AA218">
        <v>0</v>
      </c>
      <c r="AD218">
        <v>-1</v>
      </c>
      <c r="AF218">
        <v>0</v>
      </c>
    </row>
    <row r="219" spans="1:36" x14ac:dyDescent="0.3">
      <c r="A219" t="s">
        <v>198</v>
      </c>
      <c r="B219">
        <v>183253</v>
      </c>
      <c r="C219" t="s">
        <v>702</v>
      </c>
      <c r="E219">
        <v>4507</v>
      </c>
      <c r="F219" s="1" t="s">
        <v>700</v>
      </c>
      <c r="G219">
        <v>6324</v>
      </c>
      <c r="H219" s="1" t="s">
        <v>700</v>
      </c>
      <c r="I219" t="s">
        <v>700</v>
      </c>
      <c r="J219">
        <v>1817</v>
      </c>
      <c r="K219" s="1" t="s">
        <v>700</v>
      </c>
      <c r="L219">
        <v>6363</v>
      </c>
      <c r="M219" s="1" t="s">
        <v>700</v>
      </c>
      <c r="N219" t="s">
        <v>700</v>
      </c>
      <c r="O219">
        <v>39</v>
      </c>
      <c r="P219" s="1" t="s">
        <v>700</v>
      </c>
      <c r="Q219">
        <v>9605</v>
      </c>
      <c r="R219" s="1" t="s">
        <v>700</v>
      </c>
      <c r="S219" t="s">
        <v>700</v>
      </c>
      <c r="T219">
        <v>3242</v>
      </c>
      <c r="U219" s="1" t="s">
        <v>700</v>
      </c>
      <c r="V219">
        <v>9614</v>
      </c>
      <c r="Y219">
        <v>9</v>
      </c>
      <c r="AA219">
        <v>9708</v>
      </c>
      <c r="AD219">
        <v>94</v>
      </c>
      <c r="AF219">
        <v>9780</v>
      </c>
      <c r="AI219">
        <v>72</v>
      </c>
    </row>
    <row r="220" spans="1:36" x14ac:dyDescent="0.3">
      <c r="A220" t="s">
        <v>152</v>
      </c>
      <c r="B220">
        <v>185624</v>
      </c>
      <c r="C220" t="s">
        <v>699</v>
      </c>
      <c r="E220">
        <v>26164</v>
      </c>
      <c r="F220" s="1" t="s">
        <v>700</v>
      </c>
      <c r="G220">
        <v>28626</v>
      </c>
      <c r="H220" s="1" t="s">
        <v>700</v>
      </c>
      <c r="I220" t="s">
        <v>700</v>
      </c>
      <c r="J220">
        <v>2462</v>
      </c>
      <c r="K220" s="1" t="s">
        <v>700</v>
      </c>
      <c r="L220">
        <v>32790</v>
      </c>
      <c r="M220" s="1" t="s">
        <v>700</v>
      </c>
      <c r="N220" t="s">
        <v>700</v>
      </c>
      <c r="O220">
        <v>4164</v>
      </c>
      <c r="P220" s="1" t="s">
        <v>700</v>
      </c>
      <c r="Q220">
        <v>35707</v>
      </c>
      <c r="R220" s="1" t="s">
        <v>700</v>
      </c>
      <c r="S220" t="s">
        <v>700</v>
      </c>
      <c r="T220">
        <v>2917</v>
      </c>
      <c r="U220" s="1" t="s">
        <v>700</v>
      </c>
      <c r="V220">
        <v>39149</v>
      </c>
      <c r="Y220">
        <v>3442</v>
      </c>
      <c r="AA220">
        <v>41167</v>
      </c>
      <c r="AD220">
        <v>2018</v>
      </c>
      <c r="AF220">
        <v>43136</v>
      </c>
      <c r="AI220">
        <v>1969</v>
      </c>
    </row>
    <row r="221" spans="1:36" x14ac:dyDescent="0.3">
      <c r="A221" t="s">
        <v>152</v>
      </c>
      <c r="B221">
        <v>185624</v>
      </c>
      <c r="C221" t="s">
        <v>492</v>
      </c>
      <c r="D221" t="s">
        <v>401</v>
      </c>
      <c r="E221">
        <v>18481</v>
      </c>
      <c r="F221" s="1">
        <v>0.95180000000000009</v>
      </c>
      <c r="G221">
        <v>19989</v>
      </c>
      <c r="H221" s="1">
        <v>0.94959999999999989</v>
      </c>
      <c r="I221">
        <v>-0.22</v>
      </c>
      <c r="J221">
        <v>1508</v>
      </c>
      <c r="K221" s="1">
        <v>0.92230000000000001</v>
      </c>
      <c r="L221">
        <v>23042</v>
      </c>
      <c r="M221" s="1">
        <v>0.95061677461941496</v>
      </c>
      <c r="N221">
        <v>-0.12</v>
      </c>
      <c r="O221">
        <v>3053</v>
      </c>
      <c r="P221" s="1">
        <v>0.95765370138017569</v>
      </c>
      <c r="Q221">
        <v>24705</v>
      </c>
      <c r="R221" s="1">
        <v>0.94811375062363279</v>
      </c>
      <c r="S221">
        <v>-0.37</v>
      </c>
      <c r="T221">
        <v>1663</v>
      </c>
      <c r="U221" s="1">
        <v>0.91474147414741469</v>
      </c>
      <c r="V221">
        <v>26690</v>
      </c>
      <c r="W221" s="1">
        <v>0.94531416023234394</v>
      </c>
      <c r="X221">
        <v>-0.65</v>
      </c>
      <c r="Y221">
        <v>1985</v>
      </c>
      <c r="Z221" s="1">
        <v>0.91180523656407897</v>
      </c>
      <c r="AA221">
        <v>28130</v>
      </c>
      <c r="AB221" s="1">
        <v>0.94618230743356879</v>
      </c>
      <c r="AC221">
        <v>-0.56000000000000005</v>
      </c>
      <c r="AD221">
        <v>1440</v>
      </c>
      <c r="AE221" s="1">
        <v>0.96256684491978606</v>
      </c>
      <c r="AF221">
        <v>29519</v>
      </c>
      <c r="AG221" s="1">
        <v>0.94497086881362446</v>
      </c>
      <c r="AH221">
        <v>-0.68</v>
      </c>
      <c r="AI221">
        <v>1389</v>
      </c>
      <c r="AJ221" s="1">
        <v>0.92108753315649872</v>
      </c>
    </row>
    <row r="222" spans="1:36" x14ac:dyDescent="0.3">
      <c r="A222" t="s">
        <v>152</v>
      </c>
      <c r="B222">
        <v>185624</v>
      </c>
      <c r="C222" t="s">
        <v>402</v>
      </c>
      <c r="E222">
        <v>935</v>
      </c>
      <c r="F222" s="1">
        <v>4.82E-2</v>
      </c>
      <c r="G222">
        <v>1062</v>
      </c>
      <c r="H222" s="1">
        <v>5.04E-2</v>
      </c>
      <c r="I222">
        <v>0.22</v>
      </c>
      <c r="J222">
        <v>127</v>
      </c>
      <c r="K222" s="1">
        <v>7.7699999999999991E-2</v>
      </c>
      <c r="L222">
        <v>1197</v>
      </c>
      <c r="M222" s="1">
        <v>4.9383225380585011E-2</v>
      </c>
      <c r="N222">
        <v>0.12</v>
      </c>
      <c r="O222">
        <v>135</v>
      </c>
      <c r="P222" s="1">
        <v>4.2346298619824342E-2</v>
      </c>
      <c r="Q222">
        <v>1352</v>
      </c>
      <c r="R222" s="1">
        <v>5.1886249376367197E-2</v>
      </c>
      <c r="S222">
        <v>0.37</v>
      </c>
      <c r="T222">
        <v>155</v>
      </c>
      <c r="U222" s="1">
        <v>8.5258525852585254E-2</v>
      </c>
      <c r="V222">
        <v>1544</v>
      </c>
      <c r="W222" s="1">
        <v>5.4685839767656015E-2</v>
      </c>
      <c r="X222">
        <v>0.65</v>
      </c>
      <c r="Y222">
        <v>192</v>
      </c>
      <c r="Z222" s="1">
        <v>8.8194763435920989E-2</v>
      </c>
      <c r="AA222">
        <v>1600</v>
      </c>
      <c r="AB222" s="1">
        <v>5.3817692566431215E-2</v>
      </c>
      <c r="AC222">
        <v>0.56000000000000005</v>
      </c>
      <c r="AD222">
        <v>56</v>
      </c>
      <c r="AE222" s="1">
        <v>3.7433155080213901E-2</v>
      </c>
      <c r="AF222">
        <v>1719</v>
      </c>
      <c r="AG222" s="1">
        <v>5.502913118637557E-2</v>
      </c>
      <c r="AH222">
        <v>0.68</v>
      </c>
      <c r="AI222">
        <v>119</v>
      </c>
      <c r="AJ222" s="1">
        <v>7.8912466843501325E-2</v>
      </c>
    </row>
    <row r="223" spans="1:36" x14ac:dyDescent="0.3">
      <c r="A223" t="s">
        <v>152</v>
      </c>
      <c r="B223">
        <v>185624</v>
      </c>
      <c r="C223" t="s">
        <v>701</v>
      </c>
      <c r="E223">
        <v>1</v>
      </c>
      <c r="F223" s="1" t="s">
        <v>700</v>
      </c>
      <c r="G223">
        <v>1</v>
      </c>
      <c r="H223" s="1" t="s">
        <v>700</v>
      </c>
      <c r="I223" t="s">
        <v>700</v>
      </c>
      <c r="J223">
        <v>0</v>
      </c>
      <c r="K223" s="1" t="s">
        <v>700</v>
      </c>
      <c r="L223">
        <v>2</v>
      </c>
      <c r="M223" s="1" t="s">
        <v>700</v>
      </c>
      <c r="N223" t="s">
        <v>700</v>
      </c>
      <c r="O223">
        <v>1</v>
      </c>
      <c r="P223" s="1" t="s">
        <v>700</v>
      </c>
      <c r="Q223">
        <v>2</v>
      </c>
      <c r="R223" s="1" t="s">
        <v>700</v>
      </c>
      <c r="S223" t="s">
        <v>700</v>
      </c>
      <c r="T223">
        <v>0</v>
      </c>
      <c r="U223" s="1" t="s">
        <v>700</v>
      </c>
      <c r="V223">
        <v>2</v>
      </c>
      <c r="Y223">
        <v>0</v>
      </c>
      <c r="AA223">
        <v>2</v>
      </c>
      <c r="AD223">
        <v>0</v>
      </c>
      <c r="AF223">
        <v>2</v>
      </c>
      <c r="AI223">
        <v>0</v>
      </c>
    </row>
    <row r="224" spans="1:36" x14ac:dyDescent="0.3">
      <c r="A224" t="s">
        <v>152</v>
      </c>
      <c r="B224">
        <v>185624</v>
      </c>
      <c r="C224" t="s">
        <v>702</v>
      </c>
      <c r="E224">
        <v>6724</v>
      </c>
      <c r="F224" s="1" t="s">
        <v>700</v>
      </c>
      <c r="G224">
        <v>7551</v>
      </c>
      <c r="H224" s="1" t="s">
        <v>700</v>
      </c>
      <c r="I224" t="s">
        <v>700</v>
      </c>
      <c r="J224">
        <v>827</v>
      </c>
      <c r="K224" s="1" t="s">
        <v>700</v>
      </c>
      <c r="L224">
        <v>8526</v>
      </c>
      <c r="M224" s="1" t="s">
        <v>700</v>
      </c>
      <c r="N224" t="s">
        <v>700</v>
      </c>
      <c r="O224">
        <v>975</v>
      </c>
      <c r="P224" s="1" t="s">
        <v>700</v>
      </c>
      <c r="Q224">
        <v>9625</v>
      </c>
      <c r="R224" s="1" t="s">
        <v>700</v>
      </c>
      <c r="S224" t="s">
        <v>700</v>
      </c>
      <c r="T224">
        <v>1099</v>
      </c>
      <c r="U224" s="1" t="s">
        <v>700</v>
      </c>
      <c r="V224">
        <v>10884</v>
      </c>
      <c r="Y224">
        <v>1259</v>
      </c>
      <c r="AA224">
        <v>11406</v>
      </c>
      <c r="AD224">
        <v>522</v>
      </c>
      <c r="AF224">
        <v>11895</v>
      </c>
      <c r="AI224">
        <v>489</v>
      </c>
    </row>
    <row r="225" spans="1:36" x14ac:dyDescent="0.3">
      <c r="A225" t="s">
        <v>154</v>
      </c>
      <c r="B225">
        <v>174858</v>
      </c>
      <c r="C225" t="s">
        <v>699</v>
      </c>
      <c r="E225">
        <v>26164</v>
      </c>
      <c r="F225" s="1" t="s">
        <v>700</v>
      </c>
      <c r="G225">
        <v>28626</v>
      </c>
      <c r="H225" s="1" t="s">
        <v>700</v>
      </c>
      <c r="I225" t="s">
        <v>700</v>
      </c>
      <c r="J225">
        <v>2462</v>
      </c>
      <c r="K225" s="1" t="s">
        <v>700</v>
      </c>
      <c r="L225">
        <v>32790</v>
      </c>
      <c r="M225" s="1" t="s">
        <v>700</v>
      </c>
      <c r="N225" t="s">
        <v>700</v>
      </c>
      <c r="O225">
        <v>4164</v>
      </c>
      <c r="P225" s="1" t="s">
        <v>700</v>
      </c>
      <c r="Q225">
        <v>35707</v>
      </c>
      <c r="R225" s="1" t="s">
        <v>700</v>
      </c>
      <c r="S225" t="s">
        <v>700</v>
      </c>
      <c r="T225">
        <v>2917</v>
      </c>
      <c r="U225" s="1" t="s">
        <v>700</v>
      </c>
      <c r="V225">
        <v>39149</v>
      </c>
      <c r="Y225">
        <v>3442</v>
      </c>
      <c r="AA225">
        <v>41167</v>
      </c>
      <c r="AD225">
        <v>2018</v>
      </c>
      <c r="AF225">
        <v>43136</v>
      </c>
      <c r="AI225">
        <v>1969</v>
      </c>
    </row>
    <row r="226" spans="1:36" x14ac:dyDescent="0.3">
      <c r="A226" t="s">
        <v>154</v>
      </c>
      <c r="B226">
        <v>174858</v>
      </c>
      <c r="C226" t="s">
        <v>493</v>
      </c>
      <c r="D226" t="s">
        <v>401</v>
      </c>
      <c r="E226">
        <v>16339</v>
      </c>
      <c r="F226" s="1">
        <v>0.64430000000000009</v>
      </c>
      <c r="G226">
        <v>17625</v>
      </c>
      <c r="H226" s="1">
        <v>0.63600000000000001</v>
      </c>
      <c r="I226">
        <v>-0.83</v>
      </c>
      <c r="J226">
        <v>1286</v>
      </c>
      <c r="K226" s="1">
        <v>0.54579999999999995</v>
      </c>
      <c r="L226">
        <v>20428</v>
      </c>
      <c r="M226" s="1">
        <v>0.6438477054967221</v>
      </c>
      <c r="N226">
        <v>-0.05</v>
      </c>
      <c r="O226">
        <v>2803</v>
      </c>
      <c r="P226" s="1">
        <v>0.69830592924763324</v>
      </c>
      <c r="Q226">
        <v>21807</v>
      </c>
      <c r="R226" s="1">
        <v>0.63093481468622514</v>
      </c>
      <c r="S226">
        <v>-1.34</v>
      </c>
      <c r="T226">
        <v>1379</v>
      </c>
      <c r="U226" s="1">
        <v>0.48641975308641977</v>
      </c>
      <c r="V226">
        <v>23490</v>
      </c>
      <c r="W226" s="1">
        <v>0.62008341692624469</v>
      </c>
      <c r="X226">
        <v>-2.42</v>
      </c>
      <c r="Y226">
        <v>1683</v>
      </c>
      <c r="Z226" s="1">
        <v>0.50708044591744506</v>
      </c>
      <c r="AA226">
        <v>24827</v>
      </c>
      <c r="AB226" s="1">
        <v>0.62335542834187008</v>
      </c>
      <c r="AC226">
        <v>-2.09</v>
      </c>
      <c r="AD226">
        <v>1337</v>
      </c>
      <c r="AE226" s="1">
        <v>0.68705035971223016</v>
      </c>
      <c r="AF226">
        <v>26118</v>
      </c>
      <c r="AG226" s="1">
        <v>0.62589566009250164</v>
      </c>
      <c r="AH226">
        <v>-1.84</v>
      </c>
      <c r="AI226">
        <v>1291</v>
      </c>
      <c r="AJ226" s="1">
        <v>0.67911625460284064</v>
      </c>
    </row>
    <row r="227" spans="1:36" x14ac:dyDescent="0.3">
      <c r="A227" t="s">
        <v>154</v>
      </c>
      <c r="B227">
        <v>174858</v>
      </c>
      <c r="C227" t="s">
        <v>494</v>
      </c>
      <c r="D227" t="s">
        <v>399</v>
      </c>
      <c r="E227">
        <v>8975</v>
      </c>
      <c r="F227" s="1">
        <v>0.35389999999999999</v>
      </c>
      <c r="G227">
        <v>10041</v>
      </c>
      <c r="H227" s="1">
        <v>0.36229999999999996</v>
      </c>
      <c r="I227">
        <v>0.84</v>
      </c>
      <c r="J227">
        <v>1066</v>
      </c>
      <c r="K227" s="1">
        <v>0.45250000000000001</v>
      </c>
      <c r="L227">
        <v>11244</v>
      </c>
      <c r="M227" s="1">
        <v>0.35438729198184571</v>
      </c>
      <c r="N227">
        <v>0.05</v>
      </c>
      <c r="O227">
        <v>1203</v>
      </c>
      <c r="P227" s="1">
        <v>0.29970104633781763</v>
      </c>
      <c r="Q227">
        <v>12694</v>
      </c>
      <c r="R227" s="1">
        <v>0.36727135954633566</v>
      </c>
      <c r="S227">
        <v>1.34</v>
      </c>
      <c r="T227">
        <v>1450</v>
      </c>
      <c r="U227" s="1">
        <v>0.5114638447971781</v>
      </c>
      <c r="V227">
        <v>14321</v>
      </c>
      <c r="W227" s="1">
        <v>0.37804234200939763</v>
      </c>
      <c r="X227">
        <v>2.41</v>
      </c>
      <c r="Y227">
        <v>1627</v>
      </c>
      <c r="Z227" s="1">
        <v>0.49020789394395903</v>
      </c>
      <c r="AA227">
        <v>14926</v>
      </c>
      <c r="AB227" s="1">
        <v>0.37476147433966056</v>
      </c>
      <c r="AC227">
        <v>2.09</v>
      </c>
      <c r="AD227">
        <v>605</v>
      </c>
      <c r="AE227" s="1">
        <v>0.31089414182939362</v>
      </c>
      <c r="AF227">
        <v>15534</v>
      </c>
      <c r="AG227" s="1">
        <v>0.37225910038582283</v>
      </c>
      <c r="AH227">
        <v>1.84</v>
      </c>
      <c r="AI227">
        <v>608</v>
      </c>
      <c r="AJ227" s="1">
        <v>0.3198316675433982</v>
      </c>
    </row>
    <row r="228" spans="1:36" x14ac:dyDescent="0.3">
      <c r="A228" t="s">
        <v>154</v>
      </c>
      <c r="B228">
        <v>174858</v>
      </c>
      <c r="C228" t="s">
        <v>402</v>
      </c>
      <c r="E228">
        <v>44</v>
      </c>
      <c r="F228" s="1">
        <v>1.7000000000000001E-3</v>
      </c>
      <c r="G228">
        <v>48</v>
      </c>
      <c r="H228" s="1">
        <v>1.7000000000000001E-3</v>
      </c>
      <c r="I228">
        <v>0</v>
      </c>
      <c r="J228">
        <v>4</v>
      </c>
      <c r="K228" s="1">
        <v>1.7000000000000001E-3</v>
      </c>
      <c r="L228">
        <v>56</v>
      </c>
      <c r="M228" s="1">
        <v>1.7650025214321734E-3</v>
      </c>
      <c r="N228">
        <v>0.01</v>
      </c>
      <c r="O228">
        <v>8</v>
      </c>
      <c r="P228" s="1">
        <v>1.9930244145490781E-3</v>
      </c>
      <c r="Q228">
        <v>62</v>
      </c>
      <c r="R228" s="1">
        <v>1.793825767439169E-3</v>
      </c>
      <c r="S228">
        <v>0.01</v>
      </c>
      <c r="T228">
        <v>6</v>
      </c>
      <c r="U228" s="1">
        <v>2.1164021164021165E-3</v>
      </c>
      <c r="V228">
        <v>71</v>
      </c>
      <c r="W228" s="1">
        <v>1.8742410643577425E-3</v>
      </c>
      <c r="X228">
        <v>0.02</v>
      </c>
      <c r="Y228">
        <v>9</v>
      </c>
      <c r="Z228" s="1">
        <v>2.7116601385959627E-3</v>
      </c>
      <c r="AA228">
        <v>75</v>
      </c>
      <c r="AB228" s="1">
        <v>1.8830973184694184E-3</v>
      </c>
      <c r="AC228">
        <v>0.02</v>
      </c>
      <c r="AD228">
        <v>4</v>
      </c>
      <c r="AE228" s="1">
        <v>2.0554984583761563E-3</v>
      </c>
      <c r="AF228">
        <v>77</v>
      </c>
      <c r="AG228" s="1">
        <v>1.8452395216755734E-3</v>
      </c>
      <c r="AH228">
        <v>0.01</v>
      </c>
      <c r="AI228">
        <v>2</v>
      </c>
      <c r="AJ228" s="1">
        <v>1.0520778537611783E-3</v>
      </c>
    </row>
    <row r="229" spans="1:36" x14ac:dyDescent="0.3">
      <c r="A229" t="s">
        <v>154</v>
      </c>
      <c r="B229">
        <v>174858</v>
      </c>
      <c r="C229" t="s">
        <v>701</v>
      </c>
      <c r="E229">
        <v>3</v>
      </c>
      <c r="F229" s="1" t="s">
        <v>700</v>
      </c>
      <c r="G229">
        <v>3</v>
      </c>
      <c r="H229" s="1" t="s">
        <v>700</v>
      </c>
      <c r="I229" t="s">
        <v>700</v>
      </c>
      <c r="J229">
        <v>0</v>
      </c>
      <c r="K229" s="1" t="s">
        <v>700</v>
      </c>
      <c r="L229">
        <v>3</v>
      </c>
      <c r="M229" s="1" t="s">
        <v>700</v>
      </c>
      <c r="N229" t="s">
        <v>700</v>
      </c>
      <c r="O229">
        <v>0</v>
      </c>
      <c r="P229" s="1" t="s">
        <v>700</v>
      </c>
      <c r="Q229">
        <v>3</v>
      </c>
      <c r="R229" s="1" t="s">
        <v>700</v>
      </c>
      <c r="S229" t="s">
        <v>700</v>
      </c>
      <c r="T229">
        <v>0</v>
      </c>
      <c r="U229" s="1" t="s">
        <v>700</v>
      </c>
      <c r="V229">
        <v>3</v>
      </c>
      <c r="Y229">
        <v>0</v>
      </c>
      <c r="AA229">
        <v>3</v>
      </c>
      <c r="AD229">
        <v>0</v>
      </c>
      <c r="AF229">
        <v>4</v>
      </c>
      <c r="AI229">
        <v>1</v>
      </c>
    </row>
    <row r="230" spans="1:36" x14ac:dyDescent="0.3">
      <c r="A230" t="s">
        <v>154</v>
      </c>
      <c r="B230">
        <v>174858</v>
      </c>
      <c r="C230" t="s">
        <v>702</v>
      </c>
      <c r="E230">
        <v>803</v>
      </c>
      <c r="F230" s="1" t="s">
        <v>700</v>
      </c>
      <c r="G230">
        <v>909</v>
      </c>
      <c r="H230" s="1" t="s">
        <v>700</v>
      </c>
      <c r="I230" t="s">
        <v>700</v>
      </c>
      <c r="J230">
        <v>106</v>
      </c>
      <c r="K230" s="1" t="s">
        <v>700</v>
      </c>
      <c r="L230">
        <v>1059</v>
      </c>
      <c r="M230" s="1" t="s">
        <v>700</v>
      </c>
      <c r="N230" t="s">
        <v>700</v>
      </c>
      <c r="O230">
        <v>150</v>
      </c>
      <c r="P230" s="1" t="s">
        <v>700</v>
      </c>
      <c r="Q230">
        <v>1141</v>
      </c>
      <c r="R230" s="1" t="s">
        <v>700</v>
      </c>
      <c r="S230" t="s">
        <v>700</v>
      </c>
      <c r="T230">
        <v>82</v>
      </c>
      <c r="U230" s="1" t="s">
        <v>700</v>
      </c>
      <c r="V230">
        <v>1264</v>
      </c>
      <c r="Y230">
        <v>123</v>
      </c>
      <c r="AA230">
        <v>1336</v>
      </c>
      <c r="AD230">
        <v>72</v>
      </c>
      <c r="AF230">
        <v>1403</v>
      </c>
      <c r="AI230">
        <v>67</v>
      </c>
    </row>
    <row r="231" spans="1:36" x14ac:dyDescent="0.3">
      <c r="A231" t="s">
        <v>94</v>
      </c>
      <c r="B231">
        <v>174153</v>
      </c>
      <c r="C231" t="s">
        <v>699</v>
      </c>
      <c r="E231">
        <v>27109</v>
      </c>
      <c r="F231" s="1" t="s">
        <v>700</v>
      </c>
      <c r="G231">
        <v>34290</v>
      </c>
      <c r="H231" s="1" t="s">
        <v>700</v>
      </c>
      <c r="I231" t="s">
        <v>700</v>
      </c>
      <c r="J231">
        <v>7181</v>
      </c>
      <c r="K231" s="1" t="s">
        <v>700</v>
      </c>
      <c r="L231">
        <v>40745</v>
      </c>
      <c r="M231" s="1" t="s">
        <v>700</v>
      </c>
      <c r="N231" t="s">
        <v>700</v>
      </c>
      <c r="O231">
        <v>6455</v>
      </c>
      <c r="P231" s="1" t="s">
        <v>700</v>
      </c>
      <c r="Q231">
        <v>46952</v>
      </c>
      <c r="R231" s="1" t="s">
        <v>700</v>
      </c>
      <c r="S231" t="s">
        <v>700</v>
      </c>
      <c r="T231">
        <v>6207</v>
      </c>
      <c r="U231" s="1" t="s">
        <v>700</v>
      </c>
      <c r="V231">
        <v>48550</v>
      </c>
      <c r="Y231">
        <v>1598</v>
      </c>
      <c r="AA231">
        <v>48647</v>
      </c>
      <c r="AD231">
        <v>97</v>
      </c>
      <c r="AF231">
        <v>49184</v>
      </c>
      <c r="AI231">
        <v>537</v>
      </c>
    </row>
    <row r="232" spans="1:36" x14ac:dyDescent="0.3">
      <c r="A232" t="s">
        <v>94</v>
      </c>
      <c r="B232">
        <v>174153</v>
      </c>
      <c r="C232" t="s">
        <v>495</v>
      </c>
      <c r="D232" t="s">
        <v>399</v>
      </c>
      <c r="E232">
        <v>15462</v>
      </c>
      <c r="F232" s="1">
        <v>0.5806</v>
      </c>
      <c r="G232">
        <v>19667</v>
      </c>
      <c r="H232" s="1">
        <v>0.58420000000000005</v>
      </c>
      <c r="I232">
        <v>0.36</v>
      </c>
      <c r="J232">
        <v>4205</v>
      </c>
      <c r="K232" s="1">
        <v>0.59760000000000002</v>
      </c>
      <c r="L232">
        <v>23260</v>
      </c>
      <c r="M232" s="1">
        <v>0.58183455486904967</v>
      </c>
      <c r="N232">
        <v>0.12</v>
      </c>
      <c r="O232">
        <v>3593</v>
      </c>
      <c r="P232" s="1">
        <v>0.56932340358104894</v>
      </c>
      <c r="Q232">
        <v>26662</v>
      </c>
      <c r="R232" s="1">
        <v>0.57875314752105578</v>
      </c>
      <c r="S232">
        <v>-0.18</v>
      </c>
      <c r="T232">
        <v>3402</v>
      </c>
      <c r="U232" s="1">
        <v>0.55852897717944505</v>
      </c>
      <c r="V232">
        <v>27660</v>
      </c>
      <c r="W232" s="1">
        <v>0.58049486872757039</v>
      </c>
      <c r="X232">
        <v>-0.01</v>
      </c>
      <c r="Y232">
        <v>998</v>
      </c>
      <c r="Z232" s="1">
        <v>0.63124604680581908</v>
      </c>
      <c r="AA232">
        <v>27718</v>
      </c>
      <c r="AB232" s="1">
        <v>0.58051814773703059</v>
      </c>
      <c r="AC232">
        <v>-0.01</v>
      </c>
      <c r="AD232">
        <v>58</v>
      </c>
      <c r="AE232" s="1">
        <v>0.59183673469387754</v>
      </c>
      <c r="AF232">
        <v>28026</v>
      </c>
      <c r="AG232" s="1">
        <v>0.58077751989389925</v>
      </c>
      <c r="AH232">
        <v>0.02</v>
      </c>
      <c r="AI232">
        <v>308</v>
      </c>
      <c r="AJ232" s="1">
        <v>0.60510805500982323</v>
      </c>
    </row>
    <row r="233" spans="1:36" x14ac:dyDescent="0.3">
      <c r="A233" t="s">
        <v>94</v>
      </c>
      <c r="B233">
        <v>174153</v>
      </c>
      <c r="C233" t="s">
        <v>496</v>
      </c>
      <c r="D233" t="s">
        <v>401</v>
      </c>
      <c r="E233">
        <v>11146</v>
      </c>
      <c r="F233" s="1">
        <v>0.41859999999999997</v>
      </c>
      <c r="G233">
        <v>13976</v>
      </c>
      <c r="H233" s="1">
        <v>0.41509999999999997</v>
      </c>
      <c r="I233">
        <v>-0.35</v>
      </c>
      <c r="J233">
        <v>2830</v>
      </c>
      <c r="K233" s="1">
        <v>0.4022</v>
      </c>
      <c r="L233">
        <v>16692</v>
      </c>
      <c r="M233" s="1">
        <v>0.41754008554919081</v>
      </c>
      <c r="N233">
        <v>-0.11</v>
      </c>
      <c r="O233">
        <v>2716</v>
      </c>
      <c r="P233" s="1">
        <v>0.43035968943115194</v>
      </c>
      <c r="Q233">
        <v>19369</v>
      </c>
      <c r="R233" s="1">
        <v>0.42044369193366327</v>
      </c>
      <c r="S233">
        <v>0.18</v>
      </c>
      <c r="T233">
        <v>2677</v>
      </c>
      <c r="U233" s="1">
        <v>0.43950090297159744</v>
      </c>
      <c r="V233">
        <v>19950</v>
      </c>
      <c r="W233" s="1">
        <v>0.41868664609960338</v>
      </c>
      <c r="X233">
        <v>0.01</v>
      </c>
      <c r="Y233">
        <v>581</v>
      </c>
      <c r="Z233" s="1">
        <v>0.36748893105629349</v>
      </c>
      <c r="AA233">
        <v>19990</v>
      </c>
      <c r="AB233" s="1">
        <v>0.41866504701866086</v>
      </c>
      <c r="AC233">
        <v>0.01</v>
      </c>
      <c r="AD233">
        <v>40</v>
      </c>
      <c r="AE233" s="1">
        <v>0.40816326530612246</v>
      </c>
      <c r="AF233">
        <v>20190</v>
      </c>
      <c r="AG233" s="1">
        <v>0.41839356763925728</v>
      </c>
      <c r="AH233">
        <v>-0.02</v>
      </c>
      <c r="AI233">
        <v>200</v>
      </c>
      <c r="AJ233" s="1">
        <v>0.39292730844793711</v>
      </c>
    </row>
    <row r="234" spans="1:36" x14ac:dyDescent="0.3">
      <c r="A234" t="s">
        <v>94</v>
      </c>
      <c r="B234">
        <v>174153</v>
      </c>
      <c r="C234" t="s">
        <v>402</v>
      </c>
      <c r="E234">
        <v>22</v>
      </c>
      <c r="F234" s="1">
        <v>8.0000000000000004E-4</v>
      </c>
      <c r="G234">
        <v>23</v>
      </c>
      <c r="H234" s="1">
        <v>7.000000000000001E-4</v>
      </c>
      <c r="I234">
        <v>-0.01</v>
      </c>
      <c r="J234">
        <v>1</v>
      </c>
      <c r="K234" s="1">
        <v>1E-4</v>
      </c>
      <c r="L234">
        <v>25</v>
      </c>
      <c r="M234" s="1">
        <v>6.2535958175951169E-4</v>
      </c>
      <c r="N234">
        <v>-0.02</v>
      </c>
      <c r="O234">
        <v>2</v>
      </c>
      <c r="P234" s="1">
        <v>3.1690698779908097E-4</v>
      </c>
      <c r="Q234">
        <v>37</v>
      </c>
      <c r="R234" s="1">
        <v>8.0316054528088915E-4</v>
      </c>
      <c r="S234">
        <v>0</v>
      </c>
      <c r="T234">
        <v>12</v>
      </c>
      <c r="U234" s="1">
        <v>1.9701198489574783E-3</v>
      </c>
      <c r="V234">
        <v>39</v>
      </c>
      <c r="W234" s="1">
        <v>8.1848517282629221E-4</v>
      </c>
      <c r="X234">
        <v>0</v>
      </c>
      <c r="Y234">
        <v>2</v>
      </c>
      <c r="Z234" s="1">
        <v>1.2650221378874131E-3</v>
      </c>
      <c r="AA234">
        <v>39</v>
      </c>
      <c r="AB234" s="1">
        <v>8.16805244308543E-4</v>
      </c>
      <c r="AC234">
        <v>0</v>
      </c>
      <c r="AD234">
        <v>0</v>
      </c>
      <c r="AE234" s="1">
        <v>0</v>
      </c>
      <c r="AF234">
        <v>40</v>
      </c>
      <c r="AG234" s="1">
        <v>8.2891246684350136E-4</v>
      </c>
      <c r="AH234">
        <v>0</v>
      </c>
      <c r="AI234">
        <v>1</v>
      </c>
      <c r="AJ234" s="1">
        <v>1.9646365422396855E-3</v>
      </c>
    </row>
    <row r="235" spans="1:36" x14ac:dyDescent="0.3">
      <c r="A235" t="s">
        <v>94</v>
      </c>
      <c r="B235">
        <v>174153</v>
      </c>
      <c r="C235" t="s">
        <v>701</v>
      </c>
      <c r="E235">
        <v>7</v>
      </c>
      <c r="F235" s="1" t="s">
        <v>700</v>
      </c>
      <c r="G235">
        <v>12</v>
      </c>
      <c r="H235" s="1" t="s">
        <v>700</v>
      </c>
      <c r="I235" t="s">
        <v>700</v>
      </c>
      <c r="J235">
        <v>5</v>
      </c>
      <c r="K235" s="1" t="s">
        <v>700</v>
      </c>
      <c r="L235">
        <v>18</v>
      </c>
      <c r="M235" s="1" t="s">
        <v>700</v>
      </c>
      <c r="N235" t="s">
        <v>700</v>
      </c>
      <c r="O235">
        <v>6</v>
      </c>
      <c r="P235" s="1" t="s">
        <v>700</v>
      </c>
      <c r="Q235">
        <v>2</v>
      </c>
      <c r="R235" s="1" t="s">
        <v>700</v>
      </c>
      <c r="S235" t="s">
        <v>700</v>
      </c>
      <c r="T235">
        <v>-16</v>
      </c>
      <c r="U235" s="1" t="s">
        <v>700</v>
      </c>
      <c r="V235">
        <v>2</v>
      </c>
      <c r="Y235">
        <v>0</v>
      </c>
      <c r="AA235">
        <v>1</v>
      </c>
      <c r="AD235">
        <v>-1</v>
      </c>
      <c r="AF235">
        <v>1</v>
      </c>
      <c r="AI235">
        <v>0</v>
      </c>
    </row>
    <row r="236" spans="1:36" x14ac:dyDescent="0.3">
      <c r="A236" t="s">
        <v>94</v>
      </c>
      <c r="B236">
        <v>174153</v>
      </c>
      <c r="C236" t="s">
        <v>702</v>
      </c>
      <c r="E236">
        <v>472</v>
      </c>
      <c r="F236" s="1" t="s">
        <v>700</v>
      </c>
      <c r="G236">
        <v>610</v>
      </c>
      <c r="H236" s="1" t="s">
        <v>700</v>
      </c>
      <c r="I236" t="s">
        <v>700</v>
      </c>
      <c r="J236">
        <v>138</v>
      </c>
      <c r="K236" s="1" t="s">
        <v>700</v>
      </c>
      <c r="L236">
        <v>745</v>
      </c>
      <c r="M236" s="1" t="s">
        <v>700</v>
      </c>
      <c r="N236" t="s">
        <v>700</v>
      </c>
      <c r="O236">
        <v>135</v>
      </c>
      <c r="P236" s="1" t="s">
        <v>700</v>
      </c>
      <c r="Q236">
        <v>882</v>
      </c>
      <c r="R236" s="1" t="s">
        <v>700</v>
      </c>
      <c r="S236" t="s">
        <v>700</v>
      </c>
      <c r="T236">
        <v>137</v>
      </c>
      <c r="U236" s="1" t="s">
        <v>700</v>
      </c>
      <c r="V236">
        <v>899</v>
      </c>
      <c r="Y236">
        <v>17</v>
      </c>
      <c r="AA236">
        <v>899</v>
      </c>
      <c r="AD236">
        <v>0</v>
      </c>
      <c r="AF236">
        <v>927</v>
      </c>
      <c r="AI236">
        <v>28</v>
      </c>
    </row>
    <row r="237" spans="1:36" x14ac:dyDescent="0.3">
      <c r="A237" t="s">
        <v>96</v>
      </c>
      <c r="B237">
        <v>185332</v>
      </c>
      <c r="C237" t="s">
        <v>699</v>
      </c>
      <c r="E237">
        <v>27109</v>
      </c>
      <c r="F237" s="1" t="s">
        <v>700</v>
      </c>
      <c r="G237">
        <v>34290</v>
      </c>
      <c r="H237" s="1" t="s">
        <v>700</v>
      </c>
      <c r="I237" t="s">
        <v>700</v>
      </c>
      <c r="J237">
        <v>7181</v>
      </c>
      <c r="K237" s="1" t="s">
        <v>700</v>
      </c>
      <c r="L237">
        <v>40745</v>
      </c>
      <c r="M237" s="1" t="s">
        <v>700</v>
      </c>
      <c r="N237" t="s">
        <v>700</v>
      </c>
      <c r="O237">
        <v>6455</v>
      </c>
      <c r="P237" s="1" t="s">
        <v>700</v>
      </c>
      <c r="Q237">
        <v>46952</v>
      </c>
      <c r="R237" s="1" t="s">
        <v>700</v>
      </c>
      <c r="S237" t="s">
        <v>700</v>
      </c>
      <c r="T237">
        <v>6207</v>
      </c>
      <c r="U237" s="1" t="s">
        <v>700</v>
      </c>
      <c r="V237">
        <v>48550</v>
      </c>
      <c r="Y237">
        <v>1598</v>
      </c>
      <c r="AA237">
        <v>48647</v>
      </c>
      <c r="AD237">
        <v>97</v>
      </c>
      <c r="AF237">
        <v>49184</v>
      </c>
      <c r="AI237">
        <v>537</v>
      </c>
    </row>
    <row r="238" spans="1:36" x14ac:dyDescent="0.3">
      <c r="A238" t="s">
        <v>96</v>
      </c>
      <c r="B238">
        <v>185332</v>
      </c>
      <c r="C238" t="s">
        <v>497</v>
      </c>
      <c r="D238" t="s">
        <v>401</v>
      </c>
      <c r="E238">
        <v>5054</v>
      </c>
      <c r="F238" s="1">
        <v>0.18989999999999999</v>
      </c>
      <c r="G238">
        <v>6355</v>
      </c>
      <c r="H238" s="1">
        <v>0.1888</v>
      </c>
      <c r="I238">
        <v>-0.11</v>
      </c>
      <c r="J238">
        <v>1301</v>
      </c>
      <c r="K238" s="1">
        <v>0.18479999999999999</v>
      </c>
      <c r="L238">
        <v>7642</v>
      </c>
      <c r="M238" s="1">
        <v>0.19126038642506757</v>
      </c>
      <c r="N238">
        <v>0.14000000000000001</v>
      </c>
      <c r="O238">
        <v>1287</v>
      </c>
      <c r="P238" s="1">
        <v>0.20425329312807491</v>
      </c>
      <c r="Q238">
        <v>8902</v>
      </c>
      <c r="R238" s="1">
        <v>0.19337040576939787</v>
      </c>
      <c r="S238">
        <v>0.35</v>
      </c>
      <c r="T238">
        <v>1260</v>
      </c>
      <c r="U238" s="1">
        <v>0.20723684210526316</v>
      </c>
      <c r="V238">
        <v>9165</v>
      </c>
      <c r="W238" s="1">
        <v>0.19245710925852039</v>
      </c>
      <c r="X238">
        <v>0.26</v>
      </c>
      <c r="Y238">
        <v>263</v>
      </c>
      <c r="Z238" s="1">
        <v>0.16593059936908516</v>
      </c>
      <c r="AA238">
        <v>9182</v>
      </c>
      <c r="AB238" s="1">
        <v>0.19241811437792075</v>
      </c>
      <c r="AC238">
        <v>0.25</v>
      </c>
      <c r="AD238">
        <v>17</v>
      </c>
      <c r="AE238" s="1">
        <v>0.17346938775510204</v>
      </c>
      <c r="AF238">
        <v>9285</v>
      </c>
      <c r="AG238" s="1">
        <v>0.19252700769278619</v>
      </c>
      <c r="AH238">
        <v>0.26</v>
      </c>
      <c r="AI238">
        <v>103</v>
      </c>
      <c r="AJ238" s="1">
        <v>0.20275590551181102</v>
      </c>
    </row>
    <row r="239" spans="1:36" x14ac:dyDescent="0.3">
      <c r="A239" t="s">
        <v>96</v>
      </c>
      <c r="B239">
        <v>185332</v>
      </c>
      <c r="C239" t="s">
        <v>498</v>
      </c>
      <c r="D239" t="s">
        <v>399</v>
      </c>
      <c r="E239">
        <v>15600</v>
      </c>
      <c r="F239" s="1">
        <v>0.58609999999999995</v>
      </c>
      <c r="G239">
        <v>19871</v>
      </c>
      <c r="H239" s="1">
        <v>0.59040000000000004</v>
      </c>
      <c r="I239">
        <v>0.43</v>
      </c>
      <c r="J239">
        <v>4271</v>
      </c>
      <c r="K239" s="1">
        <v>0.60670000000000002</v>
      </c>
      <c r="L239">
        <v>23496</v>
      </c>
      <c r="M239" s="1">
        <v>0.58804685153669034</v>
      </c>
      <c r="N239">
        <v>0.19</v>
      </c>
      <c r="O239">
        <v>3625</v>
      </c>
      <c r="P239" s="1">
        <v>0.57530550706237105</v>
      </c>
      <c r="Q239">
        <v>26931</v>
      </c>
      <c r="R239" s="1">
        <v>0.58499869667216964</v>
      </c>
      <c r="S239">
        <v>-0.11</v>
      </c>
      <c r="T239">
        <v>3435</v>
      </c>
      <c r="U239" s="1">
        <v>0.56496710526315785</v>
      </c>
      <c r="V239">
        <v>27937</v>
      </c>
      <c r="W239" s="1">
        <v>0.58665294722916361</v>
      </c>
      <c r="X239">
        <v>0.06</v>
      </c>
      <c r="Y239">
        <v>1006</v>
      </c>
      <c r="Z239" s="1">
        <v>0.63470031545741323</v>
      </c>
      <c r="AA239">
        <v>27993</v>
      </c>
      <c r="AB239" s="1">
        <v>0.58662168109138912</v>
      </c>
      <c r="AC239">
        <v>0.05</v>
      </c>
      <c r="AD239">
        <v>56</v>
      </c>
      <c r="AE239" s="1">
        <v>0.5714285714285714</v>
      </c>
      <c r="AF239">
        <v>28301</v>
      </c>
      <c r="AG239" s="1">
        <v>0.58682895473489949</v>
      </c>
      <c r="AH239">
        <v>7.0000000000000007E-2</v>
      </c>
      <c r="AI239">
        <v>308</v>
      </c>
      <c r="AJ239" s="1">
        <v>0.60629921259842523</v>
      </c>
    </row>
    <row r="240" spans="1:36" x14ac:dyDescent="0.3">
      <c r="A240" t="s">
        <v>96</v>
      </c>
      <c r="B240">
        <v>185332</v>
      </c>
      <c r="C240" t="s">
        <v>499</v>
      </c>
      <c r="D240" t="s">
        <v>401</v>
      </c>
      <c r="E240">
        <v>5928</v>
      </c>
      <c r="F240" s="1">
        <v>0.22270000000000001</v>
      </c>
      <c r="G240">
        <v>7395</v>
      </c>
      <c r="H240" s="1">
        <v>0.21969999999999998</v>
      </c>
      <c r="I240">
        <v>-0.3</v>
      </c>
      <c r="J240">
        <v>1467</v>
      </c>
      <c r="K240" s="1">
        <v>0.2084</v>
      </c>
      <c r="L240">
        <v>8779</v>
      </c>
      <c r="M240" s="1">
        <v>0.21971668835719291</v>
      </c>
      <c r="N240">
        <v>-0.3</v>
      </c>
      <c r="O240">
        <v>1384</v>
      </c>
      <c r="P240" s="1">
        <v>0.21964767497222662</v>
      </c>
      <c r="Q240">
        <v>10150</v>
      </c>
      <c r="R240" s="1">
        <v>0.22047962464158485</v>
      </c>
      <c r="S240">
        <v>-0.22</v>
      </c>
      <c r="T240">
        <v>1371</v>
      </c>
      <c r="U240" s="1">
        <v>0.22549342105263157</v>
      </c>
      <c r="V240">
        <v>10463</v>
      </c>
      <c r="W240" s="1">
        <v>0.21971399172633921</v>
      </c>
      <c r="X240">
        <v>-0.3</v>
      </c>
      <c r="Y240">
        <v>313</v>
      </c>
      <c r="Z240" s="1">
        <v>0.1974763406940063</v>
      </c>
      <c r="AA240">
        <v>10488</v>
      </c>
      <c r="AB240" s="1">
        <v>0.21978666778432071</v>
      </c>
      <c r="AC240">
        <v>-0.28999999999999998</v>
      </c>
      <c r="AD240">
        <v>25</v>
      </c>
      <c r="AE240" s="1">
        <v>0.25510204081632654</v>
      </c>
      <c r="AF240">
        <v>10584</v>
      </c>
      <c r="AG240" s="1">
        <v>0.219462127024281</v>
      </c>
      <c r="AH240">
        <v>-0.32</v>
      </c>
      <c r="AI240">
        <v>96</v>
      </c>
      <c r="AJ240" s="1">
        <v>0.1889763779527559</v>
      </c>
    </row>
    <row r="241" spans="1:36" x14ac:dyDescent="0.3">
      <c r="A241" t="s">
        <v>96</v>
      </c>
      <c r="B241">
        <v>185332</v>
      </c>
      <c r="C241" t="s">
        <v>402</v>
      </c>
      <c r="E241">
        <v>33</v>
      </c>
      <c r="F241" s="1">
        <v>1.1999999999999999E-3</v>
      </c>
      <c r="G241">
        <v>34</v>
      </c>
      <c r="H241" s="1">
        <v>1E-3</v>
      </c>
      <c r="I241">
        <v>-0.02</v>
      </c>
      <c r="J241">
        <v>1</v>
      </c>
      <c r="K241" s="1">
        <v>1E-4</v>
      </c>
      <c r="L241">
        <v>39</v>
      </c>
      <c r="M241" s="1">
        <v>9.7607368104915407E-4</v>
      </c>
      <c r="N241">
        <v>-0.02</v>
      </c>
      <c r="O241">
        <v>5</v>
      </c>
      <c r="P241" s="1">
        <v>7.9352483732740835E-4</v>
      </c>
      <c r="Q241">
        <v>53</v>
      </c>
      <c r="R241" s="1">
        <v>1.1512729168476844E-3</v>
      </c>
      <c r="S241">
        <v>0</v>
      </c>
      <c r="T241">
        <v>14</v>
      </c>
      <c r="U241" s="1">
        <v>2.3026315789473682E-3</v>
      </c>
      <c r="V241">
        <v>56</v>
      </c>
      <c r="W241" s="1">
        <v>1.1759517859767749E-3</v>
      </c>
      <c r="X241">
        <v>0</v>
      </c>
      <c r="Y241">
        <v>3</v>
      </c>
      <c r="Z241" s="1">
        <v>1.8927444794952682E-3</v>
      </c>
      <c r="AA241">
        <v>56</v>
      </c>
      <c r="AB241" s="1">
        <v>1.1735367463693706E-3</v>
      </c>
      <c r="AC241">
        <v>0</v>
      </c>
      <c r="AD241">
        <v>0</v>
      </c>
      <c r="AE241" s="1">
        <v>0</v>
      </c>
      <c r="AF241">
        <v>57</v>
      </c>
      <c r="AG241" s="1">
        <v>1.1819105480332594E-3</v>
      </c>
      <c r="AH241">
        <v>0</v>
      </c>
      <c r="AI241">
        <v>1</v>
      </c>
      <c r="AJ241" s="1">
        <v>1.968503937007874E-3</v>
      </c>
    </row>
    <row r="242" spans="1:36" x14ac:dyDescent="0.3">
      <c r="A242" t="s">
        <v>96</v>
      </c>
      <c r="B242">
        <v>185332</v>
      </c>
      <c r="C242" t="s">
        <v>701</v>
      </c>
      <c r="E242">
        <v>20</v>
      </c>
      <c r="F242" s="1" t="s">
        <v>700</v>
      </c>
      <c r="G242">
        <v>30</v>
      </c>
      <c r="H242" s="1" t="s">
        <v>700</v>
      </c>
      <c r="I242" t="s">
        <v>700</v>
      </c>
      <c r="J242">
        <v>10</v>
      </c>
      <c r="K242" s="1" t="s">
        <v>700</v>
      </c>
      <c r="L242">
        <v>38</v>
      </c>
      <c r="M242" s="1" t="s">
        <v>700</v>
      </c>
      <c r="N242" t="s">
        <v>700</v>
      </c>
      <c r="O242">
        <v>8</v>
      </c>
      <c r="P242" s="1" t="s">
        <v>700</v>
      </c>
      <c r="Q242">
        <v>22</v>
      </c>
      <c r="R242" s="1" t="s">
        <v>700</v>
      </c>
      <c r="S242" t="s">
        <v>700</v>
      </c>
      <c r="T242">
        <v>-16</v>
      </c>
      <c r="U242" s="1" t="s">
        <v>700</v>
      </c>
      <c r="V242">
        <v>25</v>
      </c>
      <c r="Y242">
        <v>3</v>
      </c>
      <c r="AA242">
        <v>22</v>
      </c>
      <c r="AD242">
        <v>-3</v>
      </c>
      <c r="AF242">
        <v>22</v>
      </c>
      <c r="AI242">
        <v>0</v>
      </c>
    </row>
    <row r="243" spans="1:36" x14ac:dyDescent="0.3">
      <c r="A243" t="s">
        <v>96</v>
      </c>
      <c r="B243">
        <v>185332</v>
      </c>
      <c r="C243" t="s">
        <v>702</v>
      </c>
      <c r="E243">
        <v>474</v>
      </c>
      <c r="F243" s="1" t="s">
        <v>700</v>
      </c>
      <c r="G243">
        <v>601</v>
      </c>
      <c r="H243" s="1" t="s">
        <v>700</v>
      </c>
      <c r="I243" t="s">
        <v>700</v>
      </c>
      <c r="J243">
        <v>127</v>
      </c>
      <c r="K243" s="1" t="s">
        <v>700</v>
      </c>
      <c r="L243">
        <v>741</v>
      </c>
      <c r="M243" s="1" t="s">
        <v>700</v>
      </c>
      <c r="N243" t="s">
        <v>700</v>
      </c>
      <c r="O243">
        <v>140</v>
      </c>
      <c r="P243" s="1" t="s">
        <v>700</v>
      </c>
      <c r="Q243">
        <v>894</v>
      </c>
      <c r="R243" s="1" t="s">
        <v>700</v>
      </c>
      <c r="S243" t="s">
        <v>700</v>
      </c>
      <c r="T243">
        <v>153</v>
      </c>
      <c r="U243" s="1" t="s">
        <v>700</v>
      </c>
      <c r="V243">
        <v>904</v>
      </c>
      <c r="Y243">
        <v>10</v>
      </c>
      <c r="AA243">
        <v>906</v>
      </c>
      <c r="AD243">
        <v>2</v>
      </c>
      <c r="AF243">
        <v>935</v>
      </c>
      <c r="AI243">
        <v>29</v>
      </c>
    </row>
    <row r="244" spans="1:36" x14ac:dyDescent="0.3">
      <c r="A244" t="s">
        <v>226</v>
      </c>
      <c r="B244" t="s">
        <v>712</v>
      </c>
      <c r="C244" t="s">
        <v>699</v>
      </c>
      <c r="D244" t="s">
        <v>700</v>
      </c>
      <c r="E244">
        <v>13917</v>
      </c>
      <c r="F244" s="1" t="s">
        <v>700</v>
      </c>
      <c r="G244">
        <v>16968</v>
      </c>
      <c r="H244" s="1" t="s">
        <v>700</v>
      </c>
      <c r="I244" t="s">
        <v>700</v>
      </c>
      <c r="J244">
        <v>3051</v>
      </c>
      <c r="K244" s="1" t="s">
        <v>700</v>
      </c>
      <c r="L244">
        <v>20591</v>
      </c>
      <c r="M244" s="1" t="s">
        <v>700</v>
      </c>
      <c r="N244" t="s">
        <v>700</v>
      </c>
      <c r="O244">
        <v>3623</v>
      </c>
      <c r="P244" s="1" t="s">
        <v>700</v>
      </c>
      <c r="Q244">
        <v>23700</v>
      </c>
      <c r="R244" s="1" t="s">
        <v>700</v>
      </c>
      <c r="S244" t="s">
        <v>700</v>
      </c>
      <c r="T244">
        <v>3109</v>
      </c>
      <c r="U244" s="1" t="s">
        <v>700</v>
      </c>
      <c r="V244">
        <v>26249</v>
      </c>
      <c r="Y244">
        <v>2549</v>
      </c>
      <c r="AA244">
        <v>26312</v>
      </c>
      <c r="AD244">
        <v>63</v>
      </c>
      <c r="AF244">
        <v>26500</v>
      </c>
      <c r="AI244">
        <v>188</v>
      </c>
    </row>
    <row r="245" spans="1:36" x14ac:dyDescent="0.3">
      <c r="A245" t="s">
        <v>226</v>
      </c>
      <c r="B245" t="s">
        <v>712</v>
      </c>
      <c r="C245" t="s">
        <v>502</v>
      </c>
      <c r="D245" t="s">
        <v>700</v>
      </c>
      <c r="E245">
        <v>5821</v>
      </c>
      <c r="F245" s="1">
        <v>0.4274</v>
      </c>
      <c r="G245">
        <v>7051</v>
      </c>
      <c r="H245" s="1">
        <v>0.4249</v>
      </c>
      <c r="I245">
        <v>-0.25</v>
      </c>
      <c r="J245">
        <v>1230</v>
      </c>
      <c r="K245" s="1">
        <v>0.4133</v>
      </c>
      <c r="L245">
        <v>8597</v>
      </c>
      <c r="M245" s="1">
        <v>0.42720135161995626</v>
      </c>
      <c r="N245">
        <v>-0.02</v>
      </c>
      <c r="O245">
        <v>1546</v>
      </c>
      <c r="P245" s="1">
        <v>0.43808444318503825</v>
      </c>
      <c r="Q245">
        <v>9886</v>
      </c>
      <c r="R245" s="1">
        <v>0.42672767298312253</v>
      </c>
      <c r="S245">
        <v>-7.0000000000000007E-2</v>
      </c>
      <c r="T245">
        <v>1289</v>
      </c>
      <c r="U245" s="1">
        <v>0.42359513637857377</v>
      </c>
      <c r="V245">
        <v>10883</v>
      </c>
      <c r="W245" s="1">
        <v>0.42359489335201617</v>
      </c>
      <c r="X245">
        <v>-0.38</v>
      </c>
      <c r="Y245">
        <v>997</v>
      </c>
      <c r="Z245" s="1">
        <v>0.39485148514851487</v>
      </c>
      <c r="AA245">
        <v>10924</v>
      </c>
      <c r="AB245" s="1">
        <v>0.42373933281613652</v>
      </c>
      <c r="AC245">
        <v>-0.37</v>
      </c>
      <c r="AD245">
        <v>41</v>
      </c>
      <c r="AE245" s="1">
        <v>0.46590909090909088</v>
      </c>
      <c r="AF245">
        <v>10998</v>
      </c>
      <c r="AG245" s="1">
        <v>0.42352125693160814</v>
      </c>
      <c r="AH245">
        <v>-0.39</v>
      </c>
      <c r="AI245">
        <v>74</v>
      </c>
      <c r="AJ245" s="1">
        <v>0.39361702127659576</v>
      </c>
    </row>
    <row r="246" spans="1:36" x14ac:dyDescent="0.3">
      <c r="A246" t="s">
        <v>226</v>
      </c>
      <c r="B246" t="s">
        <v>712</v>
      </c>
      <c r="C246" t="s">
        <v>500</v>
      </c>
      <c r="D246" t="s">
        <v>700</v>
      </c>
      <c r="E246">
        <v>4027</v>
      </c>
      <c r="F246" s="1">
        <v>0.29570000000000002</v>
      </c>
      <c r="G246">
        <v>4940</v>
      </c>
      <c r="H246" s="1">
        <v>0.29770000000000002</v>
      </c>
      <c r="I246">
        <v>0.2</v>
      </c>
      <c r="J246">
        <v>913</v>
      </c>
      <c r="K246" s="1">
        <v>0.30680000000000002</v>
      </c>
      <c r="L246">
        <v>6188</v>
      </c>
      <c r="M246" s="1">
        <v>0.30749354005167956</v>
      </c>
      <c r="N246">
        <v>1.18</v>
      </c>
      <c r="O246">
        <v>1248</v>
      </c>
      <c r="P246" s="1">
        <v>0.35364125814678377</v>
      </c>
      <c r="Q246">
        <v>7292</v>
      </c>
      <c r="R246" s="1">
        <v>0.31475806103509302</v>
      </c>
      <c r="S246">
        <v>1.91</v>
      </c>
      <c r="T246">
        <v>1104</v>
      </c>
      <c r="U246" s="1">
        <v>0.36279986855077229</v>
      </c>
      <c r="V246">
        <v>8182</v>
      </c>
      <c r="W246" s="1">
        <v>0.31846489179511134</v>
      </c>
      <c r="X246">
        <v>2.2799999999999998</v>
      </c>
      <c r="Y246">
        <v>890</v>
      </c>
      <c r="Z246" s="1">
        <v>0.35247524752475246</v>
      </c>
      <c r="AA246">
        <v>8209</v>
      </c>
      <c r="AB246" s="1">
        <v>0.31842513576415826</v>
      </c>
      <c r="AC246">
        <v>2.27</v>
      </c>
      <c r="AD246">
        <v>27</v>
      </c>
      <c r="AE246" s="1">
        <v>0.30681818181818182</v>
      </c>
      <c r="AF246">
        <v>8298</v>
      </c>
      <c r="AG246" s="1">
        <v>0.31954713493530501</v>
      </c>
      <c r="AH246">
        <v>2.38</v>
      </c>
      <c r="AI246">
        <v>89</v>
      </c>
      <c r="AJ246" s="1">
        <v>0.47340425531914893</v>
      </c>
    </row>
    <row r="247" spans="1:36" x14ac:dyDescent="0.3">
      <c r="A247" t="s">
        <v>226</v>
      </c>
      <c r="B247" t="s">
        <v>712</v>
      </c>
      <c r="C247" t="s">
        <v>501</v>
      </c>
      <c r="D247" t="s">
        <v>700</v>
      </c>
      <c r="E247">
        <v>3748</v>
      </c>
      <c r="F247" s="1">
        <v>0.2752</v>
      </c>
      <c r="G247">
        <v>4579</v>
      </c>
      <c r="H247" s="1">
        <v>0.27589999999999998</v>
      </c>
      <c r="I247">
        <v>7.0000000000000007E-2</v>
      </c>
      <c r="J247">
        <v>831</v>
      </c>
      <c r="K247" s="1">
        <v>0.2792</v>
      </c>
      <c r="L247">
        <v>5309</v>
      </c>
      <c r="M247" s="1">
        <v>0.26381435102365336</v>
      </c>
      <c r="N247">
        <v>-1.1399999999999999</v>
      </c>
      <c r="O247">
        <v>730</v>
      </c>
      <c r="P247" s="1">
        <v>0.20685746670444885</v>
      </c>
      <c r="Q247">
        <v>5962</v>
      </c>
      <c r="R247" s="1">
        <v>0.25734881512496222</v>
      </c>
      <c r="S247">
        <v>-1.79</v>
      </c>
      <c r="T247">
        <v>653</v>
      </c>
      <c r="U247" s="1">
        <v>0.21459086427867236</v>
      </c>
      <c r="V247">
        <v>6595</v>
      </c>
      <c r="W247" s="1">
        <v>0.25669469095438269</v>
      </c>
      <c r="X247">
        <v>-1.85</v>
      </c>
      <c r="Y247">
        <v>633</v>
      </c>
      <c r="Z247" s="1">
        <v>0.25069306930693069</v>
      </c>
      <c r="AA247">
        <v>6614</v>
      </c>
      <c r="AB247" s="1">
        <v>0.25655546935608997</v>
      </c>
      <c r="AC247">
        <v>-1.86</v>
      </c>
      <c r="AD247">
        <v>19</v>
      </c>
      <c r="AE247" s="1">
        <v>0.21590909090909091</v>
      </c>
      <c r="AF247">
        <v>6639</v>
      </c>
      <c r="AG247" s="1">
        <v>0.25566081330868762</v>
      </c>
      <c r="AH247">
        <v>-1.95</v>
      </c>
      <c r="AI247">
        <v>25</v>
      </c>
      <c r="AJ247" s="1">
        <v>0.13297872340425532</v>
      </c>
    </row>
    <row r="248" spans="1:36" x14ac:dyDescent="0.3">
      <c r="A248" t="s">
        <v>226</v>
      </c>
      <c r="B248" t="s">
        <v>712</v>
      </c>
      <c r="C248" t="s">
        <v>404</v>
      </c>
      <c r="D248" t="s">
        <v>700</v>
      </c>
      <c r="E248">
        <v>23</v>
      </c>
      <c r="F248" s="1">
        <v>1.7000000000000001E-3</v>
      </c>
      <c r="G248">
        <v>25</v>
      </c>
      <c r="H248" s="1">
        <v>1.5E-3</v>
      </c>
      <c r="I248">
        <v>-0.02</v>
      </c>
      <c r="J248">
        <v>2</v>
      </c>
      <c r="K248" s="1">
        <v>7.000000000000001E-4</v>
      </c>
      <c r="L248">
        <v>30</v>
      </c>
      <c r="M248" s="1">
        <v>1.4907573047107932E-3</v>
      </c>
      <c r="N248">
        <v>-0.02</v>
      </c>
      <c r="O248">
        <v>5</v>
      </c>
      <c r="P248" s="1">
        <v>1.4168319637291016E-3</v>
      </c>
      <c r="Q248">
        <v>27</v>
      </c>
      <c r="R248" s="1">
        <v>1.1654508568222041E-3</v>
      </c>
      <c r="S248">
        <v>-0.05</v>
      </c>
      <c r="T248">
        <v>-3</v>
      </c>
      <c r="U248" s="1">
        <v>-9.8586920801840296E-4</v>
      </c>
      <c r="V248">
        <v>32</v>
      </c>
      <c r="W248" s="1">
        <v>1.2455238984898022E-3</v>
      </c>
      <c r="X248">
        <v>-0.05</v>
      </c>
      <c r="Y248">
        <v>5</v>
      </c>
      <c r="Z248" s="1">
        <v>1.9801980198019802E-3</v>
      </c>
      <c r="AA248">
        <v>33</v>
      </c>
      <c r="AB248" s="1">
        <v>1.2800620636152055E-3</v>
      </c>
      <c r="AC248">
        <v>-0.04</v>
      </c>
      <c r="AD248">
        <v>1</v>
      </c>
      <c r="AE248" s="1">
        <v>1.1363636363636364E-2</v>
      </c>
      <c r="AF248">
        <v>33</v>
      </c>
      <c r="AG248" s="1">
        <v>1.2707948243992607E-3</v>
      </c>
      <c r="AH248">
        <v>-0.04</v>
      </c>
      <c r="AI248">
        <v>0</v>
      </c>
      <c r="AJ248" s="1">
        <v>0</v>
      </c>
    </row>
    <row r="249" spans="1:36" x14ac:dyDescent="0.3">
      <c r="A249" t="s">
        <v>227</v>
      </c>
      <c r="B249" t="s">
        <v>713</v>
      </c>
      <c r="C249" t="s">
        <v>699</v>
      </c>
      <c r="D249" t="s">
        <v>700</v>
      </c>
      <c r="E249">
        <v>13917</v>
      </c>
      <c r="F249" s="1" t="s">
        <v>700</v>
      </c>
      <c r="G249">
        <v>16968</v>
      </c>
      <c r="H249" s="1" t="s">
        <v>700</v>
      </c>
      <c r="I249" t="s">
        <v>700</v>
      </c>
      <c r="J249">
        <v>3051</v>
      </c>
      <c r="K249" s="1" t="s">
        <v>700</v>
      </c>
      <c r="L249">
        <v>20591</v>
      </c>
      <c r="M249" s="1" t="s">
        <v>700</v>
      </c>
      <c r="N249" t="s">
        <v>700</v>
      </c>
      <c r="O249">
        <v>3623</v>
      </c>
      <c r="P249" s="1" t="s">
        <v>700</v>
      </c>
      <c r="Q249">
        <v>23700</v>
      </c>
      <c r="R249" s="1" t="s">
        <v>700</v>
      </c>
      <c r="S249" t="s">
        <v>700</v>
      </c>
      <c r="T249">
        <v>3109</v>
      </c>
      <c r="U249" s="1" t="s">
        <v>700</v>
      </c>
      <c r="V249">
        <v>26249</v>
      </c>
      <c r="Y249">
        <v>2549</v>
      </c>
      <c r="AA249">
        <v>26312</v>
      </c>
      <c r="AD249">
        <v>63</v>
      </c>
      <c r="AF249">
        <v>26500</v>
      </c>
      <c r="AI249">
        <v>188</v>
      </c>
    </row>
    <row r="250" spans="1:36" x14ac:dyDescent="0.3">
      <c r="A250" t="s">
        <v>227</v>
      </c>
      <c r="B250" t="s">
        <v>713</v>
      </c>
      <c r="C250" t="s">
        <v>503</v>
      </c>
      <c r="D250" t="s">
        <v>700</v>
      </c>
      <c r="E250">
        <v>10235</v>
      </c>
      <c r="F250" s="1">
        <v>0.93090000000000006</v>
      </c>
      <c r="G250">
        <v>12446</v>
      </c>
      <c r="H250" s="1">
        <v>0.93269999999999997</v>
      </c>
      <c r="I250">
        <v>0.18</v>
      </c>
      <c r="J250">
        <v>2211</v>
      </c>
      <c r="K250" s="1">
        <v>0.94129999999999991</v>
      </c>
      <c r="L250">
        <v>15137</v>
      </c>
      <c r="M250" s="1">
        <v>0.93392152023691999</v>
      </c>
      <c r="N250">
        <v>0.3</v>
      </c>
      <c r="O250">
        <v>2691</v>
      </c>
      <c r="P250" s="1">
        <v>0.93959497206703912</v>
      </c>
      <c r="Q250">
        <v>17522</v>
      </c>
      <c r="R250" s="1">
        <v>0.94693039342844787</v>
      </c>
      <c r="S250">
        <v>1.6</v>
      </c>
      <c r="T250">
        <v>2385</v>
      </c>
      <c r="U250" s="1">
        <v>1.0387630662020906</v>
      </c>
      <c r="V250">
        <v>19402</v>
      </c>
      <c r="W250" s="1">
        <v>0.947965016856403</v>
      </c>
      <c r="X250">
        <v>1.71</v>
      </c>
      <c r="Y250">
        <v>1880</v>
      </c>
      <c r="Z250" s="1">
        <v>0.9577177789098319</v>
      </c>
      <c r="AA250">
        <v>19440</v>
      </c>
      <c r="AB250" s="1">
        <v>0.94764551038315292</v>
      </c>
      <c r="AC250">
        <v>1.67</v>
      </c>
      <c r="AD250">
        <v>38</v>
      </c>
      <c r="AE250" s="1">
        <v>0.80851063829787229</v>
      </c>
      <c r="AF250">
        <v>19576</v>
      </c>
      <c r="AG250" s="1">
        <v>0.9475773270729464</v>
      </c>
      <c r="AH250">
        <v>1.67</v>
      </c>
      <c r="AI250">
        <v>136</v>
      </c>
      <c r="AJ250" s="1">
        <v>0.93793103448275861</v>
      </c>
    </row>
    <row r="251" spans="1:36" x14ac:dyDescent="0.3">
      <c r="A251" t="s">
        <v>227</v>
      </c>
      <c r="B251" t="s">
        <v>713</v>
      </c>
      <c r="C251" t="s">
        <v>404</v>
      </c>
      <c r="D251" t="s">
        <v>700</v>
      </c>
      <c r="E251">
        <v>760</v>
      </c>
      <c r="F251" s="1">
        <v>6.9099999999999995E-2</v>
      </c>
      <c r="G251">
        <v>898</v>
      </c>
      <c r="H251" s="1">
        <v>6.7299999999999999E-2</v>
      </c>
      <c r="I251">
        <v>-0.18</v>
      </c>
      <c r="J251">
        <v>138</v>
      </c>
      <c r="K251" s="1">
        <v>5.8700000000000002E-2</v>
      </c>
      <c r="L251">
        <v>1071</v>
      </c>
      <c r="M251" s="1">
        <v>6.6078479763079956E-2</v>
      </c>
      <c r="N251">
        <v>-0.3</v>
      </c>
      <c r="O251">
        <v>173</v>
      </c>
      <c r="P251" s="1">
        <v>6.0405027932960896E-2</v>
      </c>
      <c r="Q251">
        <v>982</v>
      </c>
      <c r="R251" s="1">
        <v>5.3069606571552096E-2</v>
      </c>
      <c r="S251">
        <v>-1.6</v>
      </c>
      <c r="T251">
        <v>-89</v>
      </c>
      <c r="U251" s="1">
        <v>-3.8763066202090593E-2</v>
      </c>
      <c r="V251">
        <v>1065</v>
      </c>
      <c r="W251" s="1">
        <v>5.2034983143597009E-2</v>
      </c>
      <c r="X251">
        <v>-1.71</v>
      </c>
      <c r="Y251">
        <v>83</v>
      </c>
      <c r="Z251" s="1">
        <v>4.2282221090168111E-2</v>
      </c>
      <c r="AA251">
        <v>1074</v>
      </c>
      <c r="AB251" s="1">
        <v>5.2354489616847029E-2</v>
      </c>
      <c r="AC251">
        <v>-1.67</v>
      </c>
      <c r="AD251">
        <v>9</v>
      </c>
      <c r="AE251" s="1">
        <v>0.19148936170212766</v>
      </c>
      <c r="AF251">
        <v>1083</v>
      </c>
      <c r="AG251" s="1">
        <v>5.2422672927053583E-2</v>
      </c>
      <c r="AH251">
        <v>-1.67</v>
      </c>
      <c r="AI251">
        <v>9</v>
      </c>
      <c r="AJ251" s="1">
        <v>6.2068965517241378E-2</v>
      </c>
    </row>
    <row r="252" spans="1:36" x14ac:dyDescent="0.3">
      <c r="A252" t="s">
        <v>124</v>
      </c>
      <c r="B252">
        <v>185524</v>
      </c>
      <c r="C252" t="s">
        <v>699</v>
      </c>
      <c r="E252">
        <v>27438</v>
      </c>
      <c r="F252" s="1" t="s">
        <v>700</v>
      </c>
      <c r="G252">
        <v>31682</v>
      </c>
      <c r="H252" s="1" t="s">
        <v>700</v>
      </c>
      <c r="I252" t="s">
        <v>700</v>
      </c>
      <c r="J252">
        <v>4244</v>
      </c>
      <c r="K252" s="1" t="s">
        <v>700</v>
      </c>
      <c r="L252">
        <v>39117</v>
      </c>
      <c r="M252" s="1" t="s">
        <v>700</v>
      </c>
      <c r="N252" t="s">
        <v>700</v>
      </c>
      <c r="O252">
        <v>7435</v>
      </c>
      <c r="P252" s="1" t="s">
        <v>700</v>
      </c>
      <c r="Q252">
        <v>42886</v>
      </c>
      <c r="R252" s="1" t="s">
        <v>700</v>
      </c>
      <c r="S252" t="s">
        <v>700</v>
      </c>
      <c r="T252">
        <v>3769</v>
      </c>
      <c r="U252" s="1" t="s">
        <v>700</v>
      </c>
      <c r="V252">
        <v>44937</v>
      </c>
      <c r="Y252">
        <v>2051</v>
      </c>
      <c r="AA252">
        <v>44990</v>
      </c>
      <c r="AD252">
        <v>53</v>
      </c>
      <c r="AF252">
        <v>45140</v>
      </c>
      <c r="AI252">
        <v>150</v>
      </c>
    </row>
    <row r="253" spans="1:36" x14ac:dyDescent="0.3">
      <c r="A253" t="s">
        <v>124</v>
      </c>
      <c r="B253">
        <v>185524</v>
      </c>
      <c r="C253" t="s">
        <v>504</v>
      </c>
      <c r="D253" t="s">
        <v>401</v>
      </c>
      <c r="E253">
        <v>13428</v>
      </c>
      <c r="F253" s="1">
        <v>0.49869999999999998</v>
      </c>
      <c r="G253">
        <v>15588</v>
      </c>
      <c r="H253" s="1">
        <v>0.50130000000000008</v>
      </c>
      <c r="I253">
        <v>0.26</v>
      </c>
      <c r="J253">
        <v>2160</v>
      </c>
      <c r="K253" s="1">
        <v>0.51790000000000003</v>
      </c>
      <c r="L253">
        <v>19240</v>
      </c>
      <c r="M253" s="1">
        <v>0.50156412930135563</v>
      </c>
      <c r="N253">
        <v>0.28999999999999998</v>
      </c>
      <c r="O253">
        <v>3652</v>
      </c>
      <c r="P253" s="1">
        <v>0.50282252512735781</v>
      </c>
      <c r="Q253">
        <v>21246</v>
      </c>
      <c r="R253" s="1">
        <v>0.50507547842624512</v>
      </c>
      <c r="S253">
        <v>0.64</v>
      </c>
      <c r="T253">
        <v>2006</v>
      </c>
      <c r="U253" s="1">
        <v>0.54143049932523613</v>
      </c>
      <c r="V253">
        <v>22122</v>
      </c>
      <c r="W253" s="1">
        <v>0.50195135233254673</v>
      </c>
      <c r="X253">
        <v>0.33</v>
      </c>
      <c r="Y253">
        <v>876</v>
      </c>
      <c r="Z253" s="1">
        <v>0.43647234678624813</v>
      </c>
      <c r="AA253">
        <v>22154</v>
      </c>
      <c r="AB253" s="1">
        <v>0.50200539303437497</v>
      </c>
      <c r="AC253">
        <v>0.33</v>
      </c>
      <c r="AD253">
        <v>32</v>
      </c>
      <c r="AE253" s="1">
        <v>0.5423728813559322</v>
      </c>
      <c r="AF253">
        <v>22207</v>
      </c>
      <c r="AG253" s="1">
        <v>0.50155840636010485</v>
      </c>
      <c r="AH253">
        <v>0.28999999999999998</v>
      </c>
      <c r="AI253">
        <v>53</v>
      </c>
      <c r="AJ253" s="1">
        <v>0.36551724137931035</v>
      </c>
    </row>
    <row r="254" spans="1:36" x14ac:dyDescent="0.3">
      <c r="A254" t="s">
        <v>124</v>
      </c>
      <c r="B254">
        <v>185524</v>
      </c>
      <c r="C254" t="s">
        <v>505</v>
      </c>
      <c r="D254" t="s">
        <v>399</v>
      </c>
      <c r="E254">
        <v>13474</v>
      </c>
      <c r="F254" s="1">
        <v>0.50039999999999996</v>
      </c>
      <c r="G254">
        <v>15480</v>
      </c>
      <c r="H254" s="1">
        <v>0.49780000000000002</v>
      </c>
      <c r="I254">
        <v>-0.26</v>
      </c>
      <c r="J254">
        <v>2006</v>
      </c>
      <c r="K254" s="1">
        <v>0.48090000000000005</v>
      </c>
      <c r="L254">
        <v>19089</v>
      </c>
      <c r="M254" s="1">
        <v>0.49762773722627734</v>
      </c>
      <c r="N254">
        <v>-0.28000000000000003</v>
      </c>
      <c r="O254">
        <v>3609</v>
      </c>
      <c r="P254" s="1">
        <v>0.49690210656753409</v>
      </c>
      <c r="Q254">
        <v>20786</v>
      </c>
      <c r="R254" s="1">
        <v>0.49414002139545943</v>
      </c>
      <c r="S254">
        <v>-0.63</v>
      </c>
      <c r="T254">
        <v>1697</v>
      </c>
      <c r="U254" s="1">
        <v>0.45802968960863699</v>
      </c>
      <c r="V254">
        <v>21914</v>
      </c>
      <c r="W254" s="1">
        <v>0.49723180250499183</v>
      </c>
      <c r="X254">
        <v>-0.32</v>
      </c>
      <c r="Y254">
        <v>1128</v>
      </c>
      <c r="Z254" s="1">
        <v>0.56203288490284009</v>
      </c>
      <c r="AA254">
        <v>21941</v>
      </c>
      <c r="AB254" s="1">
        <v>0.49717885386689631</v>
      </c>
      <c r="AC254">
        <v>-0.32</v>
      </c>
      <c r="AD254">
        <v>27</v>
      </c>
      <c r="AE254" s="1">
        <v>0.4576271186440678</v>
      </c>
      <c r="AF254">
        <v>22033</v>
      </c>
      <c r="AG254" s="1">
        <v>0.49762851206071007</v>
      </c>
      <c r="AH254">
        <v>-0.28000000000000003</v>
      </c>
      <c r="AI254">
        <v>92</v>
      </c>
      <c r="AJ254" s="1">
        <v>0.6344827586206897</v>
      </c>
    </row>
    <row r="255" spans="1:36" x14ac:dyDescent="0.3">
      <c r="A255" t="s">
        <v>124</v>
      </c>
      <c r="B255">
        <v>185524</v>
      </c>
      <c r="C255" t="s">
        <v>402</v>
      </c>
      <c r="E255">
        <v>24</v>
      </c>
      <c r="F255" s="1">
        <v>8.9999999999999998E-4</v>
      </c>
      <c r="G255">
        <v>29</v>
      </c>
      <c r="H255" s="1">
        <v>8.9999999999999998E-4</v>
      </c>
      <c r="I255">
        <v>0</v>
      </c>
      <c r="J255">
        <v>5</v>
      </c>
      <c r="K255" s="1">
        <v>1.1999999999999999E-3</v>
      </c>
      <c r="L255">
        <v>31</v>
      </c>
      <c r="M255" s="1">
        <v>8.0813347236704906E-4</v>
      </c>
      <c r="N255">
        <v>-0.01</v>
      </c>
      <c r="O255">
        <v>2</v>
      </c>
      <c r="P255" s="1">
        <v>2.7536830510808204E-4</v>
      </c>
      <c r="Q255">
        <v>33</v>
      </c>
      <c r="R255" s="1">
        <v>7.8450017829549505E-4</v>
      </c>
      <c r="S255">
        <v>-0.01</v>
      </c>
      <c r="T255">
        <v>2</v>
      </c>
      <c r="U255" s="1">
        <v>5.3981106612685558E-4</v>
      </c>
      <c r="V255">
        <v>36</v>
      </c>
      <c r="W255" s="1">
        <v>8.1684516246142676E-4</v>
      </c>
      <c r="X255">
        <v>-0.01</v>
      </c>
      <c r="Y255">
        <v>3</v>
      </c>
      <c r="Z255" s="1">
        <v>1.4947683109118087E-3</v>
      </c>
      <c r="AA255">
        <v>36</v>
      </c>
      <c r="AB255" s="1">
        <v>8.157530987287847E-4</v>
      </c>
      <c r="AC255">
        <v>-0.01</v>
      </c>
      <c r="AD255">
        <v>0</v>
      </c>
      <c r="AE255" s="1">
        <v>0</v>
      </c>
      <c r="AF255">
        <v>36</v>
      </c>
      <c r="AG255" s="1">
        <v>8.1308157918511155E-4</v>
      </c>
      <c r="AH255">
        <v>-0.01</v>
      </c>
      <c r="AI255">
        <v>0</v>
      </c>
      <c r="AJ255" s="1">
        <v>0</v>
      </c>
    </row>
    <row r="256" spans="1:36" x14ac:dyDescent="0.3">
      <c r="A256" t="s">
        <v>124</v>
      </c>
      <c r="B256">
        <v>185524</v>
      </c>
      <c r="C256" t="s">
        <v>701</v>
      </c>
      <c r="E256">
        <v>3</v>
      </c>
      <c r="F256" s="1" t="s">
        <v>700</v>
      </c>
      <c r="G256">
        <v>5</v>
      </c>
      <c r="H256" s="1" t="s">
        <v>700</v>
      </c>
      <c r="I256" t="s">
        <v>700</v>
      </c>
      <c r="J256">
        <v>2</v>
      </c>
      <c r="K256" s="1" t="s">
        <v>700</v>
      </c>
      <c r="L256">
        <v>8</v>
      </c>
      <c r="M256" s="1" t="s">
        <v>700</v>
      </c>
      <c r="N256" t="s">
        <v>700</v>
      </c>
      <c r="O256">
        <v>3</v>
      </c>
      <c r="P256" s="1" t="s">
        <v>700</v>
      </c>
      <c r="Q256">
        <v>4</v>
      </c>
      <c r="R256" s="1" t="s">
        <v>700</v>
      </c>
      <c r="S256" t="s">
        <v>700</v>
      </c>
      <c r="T256">
        <v>-4</v>
      </c>
      <c r="U256" s="1" t="s">
        <v>700</v>
      </c>
      <c r="V256">
        <v>4</v>
      </c>
      <c r="Y256">
        <v>0</v>
      </c>
      <c r="AA256">
        <v>2</v>
      </c>
      <c r="AD256">
        <v>-2</v>
      </c>
      <c r="AF256">
        <v>2</v>
      </c>
      <c r="AI256">
        <v>0</v>
      </c>
    </row>
    <row r="257" spans="1:36" x14ac:dyDescent="0.3">
      <c r="A257" t="s">
        <v>124</v>
      </c>
      <c r="B257">
        <v>185524</v>
      </c>
      <c r="C257" t="s">
        <v>702</v>
      </c>
      <c r="E257">
        <v>444</v>
      </c>
      <c r="F257" s="1" t="s">
        <v>700</v>
      </c>
      <c r="G257">
        <v>502</v>
      </c>
      <c r="H257" s="1" t="s">
        <v>700</v>
      </c>
      <c r="I257" t="s">
        <v>700</v>
      </c>
      <c r="J257">
        <v>58</v>
      </c>
      <c r="K257" s="1" t="s">
        <v>700</v>
      </c>
      <c r="L257">
        <v>640</v>
      </c>
      <c r="M257" s="1" t="s">
        <v>700</v>
      </c>
      <c r="N257" t="s">
        <v>700</v>
      </c>
      <c r="O257">
        <v>138</v>
      </c>
      <c r="P257" s="1" t="s">
        <v>700</v>
      </c>
      <c r="Q257">
        <v>690</v>
      </c>
      <c r="R257" s="1" t="s">
        <v>700</v>
      </c>
      <c r="S257" t="s">
        <v>700</v>
      </c>
      <c r="T257">
        <v>50</v>
      </c>
      <c r="U257" s="1" t="s">
        <v>700</v>
      </c>
      <c r="V257">
        <v>718</v>
      </c>
      <c r="Y257">
        <v>28</v>
      </c>
      <c r="AA257">
        <v>719</v>
      </c>
      <c r="AD257">
        <v>1</v>
      </c>
      <c r="AF257">
        <v>728</v>
      </c>
      <c r="AI257">
        <v>9</v>
      </c>
    </row>
    <row r="258" spans="1:36" x14ac:dyDescent="0.3">
      <c r="A258" t="s">
        <v>126</v>
      </c>
      <c r="B258">
        <v>170524</v>
      </c>
      <c r="C258" t="s">
        <v>699</v>
      </c>
      <c r="E258">
        <v>27438</v>
      </c>
      <c r="F258" s="1" t="s">
        <v>700</v>
      </c>
      <c r="G258">
        <v>31682</v>
      </c>
      <c r="H258" s="1" t="s">
        <v>700</v>
      </c>
      <c r="I258" t="s">
        <v>700</v>
      </c>
      <c r="J258">
        <v>4244</v>
      </c>
      <c r="K258" s="1" t="s">
        <v>700</v>
      </c>
      <c r="L258">
        <v>39117</v>
      </c>
      <c r="M258" s="1" t="s">
        <v>700</v>
      </c>
      <c r="N258" t="s">
        <v>700</v>
      </c>
      <c r="O258">
        <v>7435</v>
      </c>
      <c r="P258" s="1" t="s">
        <v>700</v>
      </c>
      <c r="Q258">
        <v>42886</v>
      </c>
      <c r="R258" s="1" t="s">
        <v>700</v>
      </c>
      <c r="S258" t="s">
        <v>700</v>
      </c>
      <c r="T258">
        <v>3769</v>
      </c>
      <c r="U258" s="1" t="s">
        <v>700</v>
      </c>
      <c r="V258">
        <v>44937</v>
      </c>
      <c r="Y258">
        <v>2051</v>
      </c>
      <c r="AA258">
        <v>44990</v>
      </c>
      <c r="AD258">
        <v>53</v>
      </c>
      <c r="AF258">
        <v>45140</v>
      </c>
      <c r="AI258">
        <v>150</v>
      </c>
    </row>
    <row r="259" spans="1:36" x14ac:dyDescent="0.3">
      <c r="A259" t="s">
        <v>126</v>
      </c>
      <c r="B259">
        <v>170524</v>
      </c>
      <c r="C259" t="s">
        <v>506</v>
      </c>
      <c r="D259" t="s">
        <v>401</v>
      </c>
      <c r="E259">
        <v>11499</v>
      </c>
      <c r="F259" s="1">
        <v>0.42599999999999999</v>
      </c>
      <c r="G259">
        <v>13178</v>
      </c>
      <c r="H259" s="1">
        <v>0.42310000000000003</v>
      </c>
      <c r="I259">
        <v>-0.28999999999999998</v>
      </c>
      <c r="J259">
        <v>1679</v>
      </c>
      <c r="K259" s="1">
        <v>0.40399999999999997</v>
      </c>
      <c r="L259">
        <v>15777</v>
      </c>
      <c r="M259" s="1">
        <v>0.41114846376358377</v>
      </c>
      <c r="N259">
        <v>-1.49</v>
      </c>
      <c r="O259">
        <v>2599</v>
      </c>
      <c r="P259" s="1">
        <v>0.35972318339100345</v>
      </c>
      <c r="Q259">
        <v>17391</v>
      </c>
      <c r="R259" s="1">
        <v>0.41316639741518579</v>
      </c>
      <c r="S259">
        <v>-1.28</v>
      </c>
      <c r="T259">
        <v>1614</v>
      </c>
      <c r="U259" s="1">
        <v>0.43398763108362465</v>
      </c>
      <c r="V259">
        <v>18153</v>
      </c>
      <c r="W259" s="1">
        <v>0.41148336204551639</v>
      </c>
      <c r="X259">
        <v>-1.45</v>
      </c>
      <c r="Y259">
        <v>762</v>
      </c>
      <c r="Z259" s="1">
        <v>0.37648221343873517</v>
      </c>
      <c r="AA259">
        <v>18190</v>
      </c>
      <c r="AB259" s="1">
        <v>0.41162227602905571</v>
      </c>
      <c r="AC259">
        <v>-1.44</v>
      </c>
      <c r="AD259">
        <v>37</v>
      </c>
      <c r="AE259" s="1">
        <v>0.49333333333333335</v>
      </c>
      <c r="AF259">
        <v>18242</v>
      </c>
      <c r="AG259" s="1">
        <v>0.41133760259763685</v>
      </c>
      <c r="AH259">
        <v>-1.47</v>
      </c>
      <c r="AI259">
        <v>52</v>
      </c>
      <c r="AJ259" s="1">
        <v>0.33121019108280253</v>
      </c>
    </row>
    <row r="260" spans="1:36" x14ac:dyDescent="0.3">
      <c r="A260" t="s">
        <v>126</v>
      </c>
      <c r="B260">
        <v>170524</v>
      </c>
      <c r="C260" t="s">
        <v>507</v>
      </c>
      <c r="D260" t="s">
        <v>401</v>
      </c>
      <c r="E260">
        <v>6623</v>
      </c>
      <c r="F260" s="1">
        <v>0.24539999999999998</v>
      </c>
      <c r="G260">
        <v>7715</v>
      </c>
      <c r="H260" s="1">
        <v>0.2477</v>
      </c>
      <c r="I260">
        <v>0.23</v>
      </c>
      <c r="J260">
        <v>1092</v>
      </c>
      <c r="K260" s="1">
        <v>0.26280000000000003</v>
      </c>
      <c r="L260">
        <v>9586</v>
      </c>
      <c r="M260" s="1">
        <v>0.24981106507179526</v>
      </c>
      <c r="N260">
        <v>0.44</v>
      </c>
      <c r="O260">
        <v>1871</v>
      </c>
      <c r="P260" s="1">
        <v>0.25896193771626297</v>
      </c>
      <c r="Q260">
        <v>10582</v>
      </c>
      <c r="R260" s="1">
        <v>0.25140169153283282</v>
      </c>
      <c r="S260">
        <v>0.6</v>
      </c>
      <c r="T260">
        <v>996</v>
      </c>
      <c r="U260" s="1">
        <v>0.26781392847539659</v>
      </c>
      <c r="V260">
        <v>10991</v>
      </c>
      <c r="W260" s="1">
        <v>0.24913863450902168</v>
      </c>
      <c r="X260">
        <v>0.37</v>
      </c>
      <c r="Y260">
        <v>409</v>
      </c>
      <c r="Z260" s="1">
        <v>0.20207509881422925</v>
      </c>
      <c r="AA260">
        <v>11008</v>
      </c>
      <c r="AB260" s="1">
        <v>0.24910049557602226</v>
      </c>
      <c r="AC260">
        <v>0.37</v>
      </c>
      <c r="AD260">
        <v>17</v>
      </c>
      <c r="AE260" s="1">
        <v>0.22666666666666666</v>
      </c>
      <c r="AF260">
        <v>11041</v>
      </c>
      <c r="AG260" s="1">
        <v>0.24896274916568956</v>
      </c>
      <c r="AH260">
        <v>0.36</v>
      </c>
      <c r="AI260">
        <v>33</v>
      </c>
      <c r="AJ260" s="1">
        <v>0.21019108280254778</v>
      </c>
    </row>
    <row r="261" spans="1:36" x14ac:dyDescent="0.3">
      <c r="A261" t="s">
        <v>126</v>
      </c>
      <c r="B261">
        <v>170524</v>
      </c>
      <c r="C261" t="s">
        <v>508</v>
      </c>
      <c r="D261" t="s">
        <v>399</v>
      </c>
      <c r="E261">
        <v>8846</v>
      </c>
      <c r="F261" s="1">
        <v>0.32770000000000005</v>
      </c>
      <c r="G261">
        <v>10227</v>
      </c>
      <c r="H261" s="1">
        <v>0.32829999999999998</v>
      </c>
      <c r="I261">
        <v>0.06</v>
      </c>
      <c r="J261">
        <v>1381</v>
      </c>
      <c r="K261" s="1">
        <v>0.33229999999999998</v>
      </c>
      <c r="L261">
        <v>12977</v>
      </c>
      <c r="M261" s="1">
        <v>0.33818049149141322</v>
      </c>
      <c r="N261">
        <v>1.05</v>
      </c>
      <c r="O261">
        <v>2750</v>
      </c>
      <c r="P261" s="1">
        <v>0.38062283737024222</v>
      </c>
      <c r="Q261">
        <v>14089</v>
      </c>
      <c r="R261" s="1">
        <v>0.33471918654376126</v>
      </c>
      <c r="S261">
        <v>0.7</v>
      </c>
      <c r="T261">
        <v>1112</v>
      </c>
      <c r="U261" s="1">
        <v>0.29900510890024201</v>
      </c>
      <c r="V261">
        <v>14942</v>
      </c>
      <c r="W261" s="1">
        <v>0.33869797805784752</v>
      </c>
      <c r="X261">
        <v>1.1000000000000001</v>
      </c>
      <c r="Y261">
        <v>853</v>
      </c>
      <c r="Z261" s="1">
        <v>0.42144268774703558</v>
      </c>
      <c r="AA261">
        <v>14964</v>
      </c>
      <c r="AB261" s="1">
        <v>0.33862098617365527</v>
      </c>
      <c r="AC261">
        <v>1.0900000000000001</v>
      </c>
      <c r="AD261">
        <v>22</v>
      </c>
      <c r="AE261" s="1">
        <v>0.29333333333333333</v>
      </c>
      <c r="AF261">
        <v>15035</v>
      </c>
      <c r="AG261" s="1">
        <v>0.33902318030125372</v>
      </c>
      <c r="AH261">
        <v>1.1299999999999999</v>
      </c>
      <c r="AI261">
        <v>71</v>
      </c>
      <c r="AJ261" s="1">
        <v>0.45222929936305734</v>
      </c>
    </row>
    <row r="262" spans="1:36" x14ac:dyDescent="0.3">
      <c r="A262" t="s">
        <v>126</v>
      </c>
      <c r="B262">
        <v>170524</v>
      </c>
      <c r="C262" t="s">
        <v>402</v>
      </c>
      <c r="E262">
        <v>24</v>
      </c>
      <c r="F262" s="1">
        <v>8.9999999999999998E-4</v>
      </c>
      <c r="G262">
        <v>28</v>
      </c>
      <c r="H262" s="1">
        <v>8.9999999999999998E-4</v>
      </c>
      <c r="I262">
        <v>0</v>
      </c>
      <c r="J262">
        <v>4</v>
      </c>
      <c r="K262" s="1">
        <v>1E-3</v>
      </c>
      <c r="L262">
        <v>33</v>
      </c>
      <c r="M262" s="1">
        <v>8.5997967320772413E-4</v>
      </c>
      <c r="N262">
        <v>0</v>
      </c>
      <c r="O262">
        <v>5</v>
      </c>
      <c r="P262" s="1">
        <v>6.9204152249134946E-4</v>
      </c>
      <c r="Q262">
        <v>30</v>
      </c>
      <c r="R262" s="1">
        <v>7.1272450822008936E-4</v>
      </c>
      <c r="S262">
        <v>-0.02</v>
      </c>
      <c r="T262">
        <v>-3</v>
      </c>
      <c r="U262" s="1">
        <v>-8.0666845926324286E-4</v>
      </c>
      <c r="V262">
        <v>30</v>
      </c>
      <c r="W262" s="1">
        <v>6.8002538761447091E-4</v>
      </c>
      <c r="X262">
        <v>-0.02</v>
      </c>
      <c r="Y262">
        <v>0</v>
      </c>
      <c r="Z262" s="1">
        <v>0</v>
      </c>
      <c r="AA262">
        <v>29</v>
      </c>
      <c r="AB262" s="1">
        <v>6.5624222126677381E-4</v>
      </c>
      <c r="AC262">
        <v>-0.02</v>
      </c>
      <c r="AD262">
        <v>-1</v>
      </c>
      <c r="AE262" s="1">
        <v>-1.3333333333333334E-2</v>
      </c>
      <c r="AF262">
        <v>30</v>
      </c>
      <c r="AG262" s="1">
        <v>6.7646793541986108E-4</v>
      </c>
      <c r="AH262">
        <v>-0.02</v>
      </c>
      <c r="AI262">
        <v>1</v>
      </c>
      <c r="AJ262" s="1">
        <v>6.369426751592357E-3</v>
      </c>
    </row>
    <row r="263" spans="1:36" x14ac:dyDescent="0.3">
      <c r="A263" t="s">
        <v>126</v>
      </c>
      <c r="B263">
        <v>170524</v>
      </c>
      <c r="C263" t="s">
        <v>701</v>
      </c>
      <c r="E263">
        <v>22</v>
      </c>
      <c r="F263" s="1" t="s">
        <v>700</v>
      </c>
      <c r="G263">
        <v>26</v>
      </c>
      <c r="H263" s="1" t="s">
        <v>700</v>
      </c>
      <c r="I263" t="s">
        <v>700</v>
      </c>
      <c r="J263">
        <v>4</v>
      </c>
      <c r="K263" s="1" t="s">
        <v>700</v>
      </c>
      <c r="L263">
        <v>44</v>
      </c>
      <c r="M263" s="1" t="s">
        <v>700</v>
      </c>
      <c r="N263" t="s">
        <v>700</v>
      </c>
      <c r="O263">
        <v>18</v>
      </c>
      <c r="P263" s="1" t="s">
        <v>700</v>
      </c>
      <c r="Q263">
        <v>18</v>
      </c>
      <c r="R263" s="1" t="s">
        <v>700</v>
      </c>
      <c r="S263" t="s">
        <v>700</v>
      </c>
      <c r="T263">
        <v>-26</v>
      </c>
      <c r="U263" s="1" t="s">
        <v>700</v>
      </c>
      <c r="V263">
        <v>18</v>
      </c>
      <c r="Y263">
        <v>0</v>
      </c>
      <c r="AA263">
        <v>11</v>
      </c>
      <c r="AD263">
        <v>-7</v>
      </c>
      <c r="AF263">
        <v>10</v>
      </c>
      <c r="AI263">
        <v>-1</v>
      </c>
    </row>
    <row r="264" spans="1:36" x14ac:dyDescent="0.3">
      <c r="A264" t="s">
        <v>126</v>
      </c>
      <c r="B264">
        <v>170524</v>
      </c>
      <c r="C264" t="s">
        <v>702</v>
      </c>
      <c r="E264">
        <v>333</v>
      </c>
      <c r="F264" s="1" t="s">
        <v>700</v>
      </c>
      <c r="G264">
        <v>385</v>
      </c>
      <c r="H264" s="1" t="s">
        <v>700</v>
      </c>
      <c r="I264" t="s">
        <v>700</v>
      </c>
      <c r="J264">
        <v>52</v>
      </c>
      <c r="K264" s="1" t="s">
        <v>700</v>
      </c>
      <c r="L264">
        <v>515</v>
      </c>
      <c r="M264" s="1" t="s">
        <v>700</v>
      </c>
      <c r="N264" t="s">
        <v>700</v>
      </c>
      <c r="O264">
        <v>130</v>
      </c>
      <c r="P264" s="1" t="s">
        <v>700</v>
      </c>
      <c r="Q264">
        <v>562</v>
      </c>
      <c r="R264" s="1" t="s">
        <v>700</v>
      </c>
      <c r="S264" t="s">
        <v>700</v>
      </c>
      <c r="T264">
        <v>47</v>
      </c>
      <c r="U264" s="1" t="s">
        <v>700</v>
      </c>
      <c r="V264">
        <v>584</v>
      </c>
      <c r="Y264">
        <v>22</v>
      </c>
      <c r="AA264">
        <v>586</v>
      </c>
      <c r="AD264">
        <v>2</v>
      </c>
      <c r="AF264">
        <v>595</v>
      </c>
      <c r="AI264">
        <v>9</v>
      </c>
    </row>
    <row r="265" spans="1:36" x14ac:dyDescent="0.3">
      <c r="A265" t="s">
        <v>212</v>
      </c>
      <c r="B265">
        <v>184216</v>
      </c>
      <c r="C265" t="s">
        <v>699</v>
      </c>
      <c r="E265">
        <v>18313</v>
      </c>
      <c r="F265" s="1" t="s">
        <v>700</v>
      </c>
      <c r="G265">
        <v>19969</v>
      </c>
      <c r="H265" s="1" t="s">
        <v>700</v>
      </c>
      <c r="I265" t="s">
        <v>700</v>
      </c>
      <c r="J265">
        <v>1656</v>
      </c>
      <c r="K265" s="1" t="s">
        <v>700</v>
      </c>
      <c r="L265">
        <v>25956</v>
      </c>
      <c r="M265" s="1" t="s">
        <v>700</v>
      </c>
      <c r="N265" t="s">
        <v>700</v>
      </c>
      <c r="O265">
        <v>5987</v>
      </c>
      <c r="P265" s="1" t="s">
        <v>700</v>
      </c>
      <c r="Q265">
        <v>25956</v>
      </c>
      <c r="R265" s="1" t="s">
        <v>700</v>
      </c>
      <c r="S265" t="s">
        <v>700</v>
      </c>
      <c r="T265">
        <v>0</v>
      </c>
      <c r="U265" s="1" t="s">
        <v>700</v>
      </c>
      <c r="V265">
        <v>27047</v>
      </c>
      <c r="Y265">
        <v>1091</v>
      </c>
      <c r="AA265">
        <v>31196</v>
      </c>
      <c r="AD265">
        <v>4149</v>
      </c>
      <c r="AF265">
        <v>31928</v>
      </c>
      <c r="AI265">
        <v>732</v>
      </c>
    </row>
    <row r="266" spans="1:36" x14ac:dyDescent="0.3">
      <c r="A266" t="s">
        <v>212</v>
      </c>
      <c r="B266">
        <v>184216</v>
      </c>
      <c r="C266" t="s">
        <v>417</v>
      </c>
      <c r="D266" t="s">
        <v>401</v>
      </c>
      <c r="E266">
        <v>13501</v>
      </c>
      <c r="F266" s="1">
        <v>0.97209999999999996</v>
      </c>
      <c r="G266">
        <v>14813</v>
      </c>
      <c r="H266" s="1">
        <v>0.9729000000000001</v>
      </c>
      <c r="I266">
        <v>0.08</v>
      </c>
      <c r="J266">
        <v>1312</v>
      </c>
      <c r="K266" s="1">
        <v>0.98129999999999995</v>
      </c>
      <c r="L266">
        <v>18988</v>
      </c>
      <c r="M266" s="1">
        <v>0.97160108478739193</v>
      </c>
      <c r="N266">
        <v>-0.05</v>
      </c>
      <c r="O266">
        <v>4175</v>
      </c>
      <c r="P266" s="1">
        <v>0.96688281611857341</v>
      </c>
      <c r="Q266">
        <v>18988</v>
      </c>
      <c r="R266" s="1">
        <v>0.97160108478739193</v>
      </c>
      <c r="S266">
        <v>-0.05</v>
      </c>
      <c r="T266">
        <v>0</v>
      </c>
      <c r="U266" s="1" t="s">
        <v>700</v>
      </c>
      <c r="V266">
        <v>20214</v>
      </c>
      <c r="W266" s="1">
        <v>0.973324345146379</v>
      </c>
      <c r="X266">
        <v>0.12</v>
      </c>
      <c r="Y266">
        <v>1226</v>
      </c>
      <c r="Z266" s="1">
        <v>1.0008163265306123</v>
      </c>
      <c r="AA266">
        <v>22981</v>
      </c>
      <c r="AB266" s="1">
        <v>0.97158922758212485</v>
      </c>
      <c r="AC266">
        <v>-0.05</v>
      </c>
      <c r="AD266">
        <v>2767</v>
      </c>
      <c r="AE266" s="1">
        <v>0.95909878682842287</v>
      </c>
      <c r="AF266">
        <v>23489</v>
      </c>
      <c r="AG266" s="1">
        <v>0.97246832822720874</v>
      </c>
      <c r="AH266">
        <v>0.04</v>
      </c>
      <c r="AI266">
        <v>508</v>
      </c>
      <c r="AJ266" s="1">
        <v>1.0139720558882235</v>
      </c>
    </row>
    <row r="267" spans="1:36" x14ac:dyDescent="0.3">
      <c r="A267" t="s">
        <v>212</v>
      </c>
      <c r="B267">
        <v>184216</v>
      </c>
      <c r="C267" t="s">
        <v>402</v>
      </c>
      <c r="E267">
        <v>387</v>
      </c>
      <c r="F267" s="1">
        <v>2.7900000000000001E-2</v>
      </c>
      <c r="G267">
        <v>412</v>
      </c>
      <c r="H267" s="1">
        <v>2.7099999999999999E-2</v>
      </c>
      <c r="I267">
        <v>-0.08</v>
      </c>
      <c r="J267">
        <v>25</v>
      </c>
      <c r="K267" s="1">
        <v>1.8700000000000001E-2</v>
      </c>
      <c r="L267">
        <v>555</v>
      </c>
      <c r="M267" s="1">
        <v>2.8398915212608095E-2</v>
      </c>
      <c r="N267">
        <v>0.05</v>
      </c>
      <c r="O267">
        <v>143</v>
      </c>
      <c r="P267" s="1">
        <v>3.3117183881426586E-2</v>
      </c>
      <c r="Q267">
        <v>555</v>
      </c>
      <c r="R267" s="1">
        <v>2.8398915212608095E-2</v>
      </c>
      <c r="S267">
        <v>0.05</v>
      </c>
      <c r="T267">
        <v>0</v>
      </c>
      <c r="U267" s="1" t="s">
        <v>700</v>
      </c>
      <c r="V267">
        <v>554</v>
      </c>
      <c r="W267" s="1">
        <v>2.6675654853620955E-2</v>
      </c>
      <c r="X267">
        <v>-0.12</v>
      </c>
      <c r="Y267">
        <v>-1</v>
      </c>
      <c r="Z267" s="1">
        <v>-8.1632653061224493E-4</v>
      </c>
      <c r="AA267">
        <v>672</v>
      </c>
      <c r="AB267" s="1">
        <v>2.841077241787511E-2</v>
      </c>
      <c r="AC267">
        <v>0.05</v>
      </c>
      <c r="AD267">
        <v>118</v>
      </c>
      <c r="AE267" s="1">
        <v>4.0901213171577126E-2</v>
      </c>
      <c r="AF267">
        <v>665</v>
      </c>
      <c r="AG267" s="1">
        <v>2.7531671772791255E-2</v>
      </c>
      <c r="AH267">
        <v>-0.04</v>
      </c>
      <c r="AI267">
        <v>-7</v>
      </c>
      <c r="AJ267" s="1">
        <v>-1.3972055888223553E-2</v>
      </c>
    </row>
    <row r="268" spans="1:36" x14ac:dyDescent="0.3">
      <c r="A268" t="s">
        <v>212</v>
      </c>
      <c r="B268">
        <v>184216</v>
      </c>
      <c r="C268" t="s">
        <v>701</v>
      </c>
      <c r="E268">
        <v>2</v>
      </c>
      <c r="F268" s="1" t="s">
        <v>700</v>
      </c>
      <c r="G268">
        <v>2</v>
      </c>
      <c r="H268" s="1" t="s">
        <v>700</v>
      </c>
      <c r="I268" t="s">
        <v>700</v>
      </c>
      <c r="J268">
        <v>0</v>
      </c>
      <c r="K268" s="1" t="s">
        <v>700</v>
      </c>
      <c r="L268">
        <v>2</v>
      </c>
      <c r="M268" s="1" t="s">
        <v>700</v>
      </c>
      <c r="N268" t="s">
        <v>700</v>
      </c>
      <c r="O268">
        <v>0</v>
      </c>
      <c r="P268" s="1" t="s">
        <v>700</v>
      </c>
      <c r="Q268">
        <v>2</v>
      </c>
      <c r="R268" s="1" t="s">
        <v>700</v>
      </c>
      <c r="S268" t="s">
        <v>700</v>
      </c>
      <c r="T268">
        <v>0</v>
      </c>
      <c r="U268" s="1" t="s">
        <v>700</v>
      </c>
      <c r="V268">
        <v>1</v>
      </c>
      <c r="Y268">
        <v>-1</v>
      </c>
      <c r="AA268">
        <v>1</v>
      </c>
      <c r="AD268">
        <v>0</v>
      </c>
      <c r="AF268">
        <v>1</v>
      </c>
      <c r="AI268">
        <v>0</v>
      </c>
    </row>
    <row r="269" spans="1:36" x14ac:dyDescent="0.3">
      <c r="A269" t="s">
        <v>212</v>
      </c>
      <c r="B269">
        <v>184216</v>
      </c>
      <c r="C269" t="s">
        <v>702</v>
      </c>
      <c r="E269">
        <v>4423</v>
      </c>
      <c r="F269" s="1" t="s">
        <v>700</v>
      </c>
      <c r="G269">
        <v>4742</v>
      </c>
      <c r="H269" s="1" t="s">
        <v>700</v>
      </c>
      <c r="I269" t="s">
        <v>700</v>
      </c>
      <c r="J269">
        <v>319</v>
      </c>
      <c r="K269" s="1" t="s">
        <v>700</v>
      </c>
      <c r="L269">
        <v>6411</v>
      </c>
      <c r="M269" s="1" t="s">
        <v>700</v>
      </c>
      <c r="N269" t="s">
        <v>700</v>
      </c>
      <c r="O269">
        <v>1669</v>
      </c>
      <c r="P269" s="1" t="s">
        <v>700</v>
      </c>
      <c r="Q269">
        <v>6411</v>
      </c>
      <c r="R269" s="1" t="s">
        <v>700</v>
      </c>
      <c r="S269" t="s">
        <v>700</v>
      </c>
      <c r="T269">
        <v>0</v>
      </c>
      <c r="U269" s="1" t="s">
        <v>700</v>
      </c>
      <c r="V269">
        <v>6278</v>
      </c>
      <c r="Y269">
        <v>-133</v>
      </c>
      <c r="AA269">
        <v>7542</v>
      </c>
      <c r="AD269">
        <v>1264</v>
      </c>
      <c r="AF269">
        <v>7773</v>
      </c>
      <c r="AI269">
        <v>231</v>
      </c>
    </row>
    <row r="270" spans="1:36" x14ac:dyDescent="0.3">
      <c r="A270" t="s">
        <v>213</v>
      </c>
      <c r="B270">
        <v>179004</v>
      </c>
      <c r="C270" t="s">
        <v>699</v>
      </c>
      <c r="E270">
        <v>18313</v>
      </c>
      <c r="F270" s="1" t="s">
        <v>700</v>
      </c>
      <c r="G270">
        <v>19969</v>
      </c>
      <c r="H270" s="1" t="s">
        <v>700</v>
      </c>
      <c r="I270" t="s">
        <v>700</v>
      </c>
      <c r="J270">
        <v>1656</v>
      </c>
      <c r="K270" s="1" t="s">
        <v>700</v>
      </c>
      <c r="L270">
        <v>25956</v>
      </c>
      <c r="M270" s="1" t="s">
        <v>700</v>
      </c>
      <c r="N270" t="s">
        <v>700</v>
      </c>
      <c r="O270">
        <v>5987</v>
      </c>
      <c r="P270" s="1" t="s">
        <v>700</v>
      </c>
      <c r="Q270">
        <v>25956</v>
      </c>
      <c r="R270" s="1" t="s">
        <v>700</v>
      </c>
      <c r="S270" t="s">
        <v>700</v>
      </c>
      <c r="T270">
        <v>0</v>
      </c>
      <c r="U270" s="1" t="s">
        <v>700</v>
      </c>
      <c r="V270">
        <v>27047</v>
      </c>
      <c r="Y270">
        <v>1091</v>
      </c>
      <c r="AA270">
        <v>31196</v>
      </c>
      <c r="AD270">
        <v>4149</v>
      </c>
      <c r="AF270">
        <v>31928</v>
      </c>
      <c r="AI270">
        <v>732</v>
      </c>
    </row>
    <row r="271" spans="1:36" x14ac:dyDescent="0.3">
      <c r="A271" t="s">
        <v>213</v>
      </c>
      <c r="B271">
        <v>179004</v>
      </c>
      <c r="C271" t="s">
        <v>509</v>
      </c>
      <c r="D271" t="s">
        <v>401</v>
      </c>
      <c r="E271">
        <v>12299</v>
      </c>
      <c r="F271" s="1">
        <v>0.69550000000000001</v>
      </c>
      <c r="G271">
        <v>13609</v>
      </c>
      <c r="H271" s="1">
        <v>0.7056</v>
      </c>
      <c r="I271">
        <v>1.01</v>
      </c>
      <c r="J271">
        <v>1310</v>
      </c>
      <c r="K271" s="1">
        <v>0.81720000000000004</v>
      </c>
      <c r="L271">
        <v>17587</v>
      </c>
      <c r="M271" s="1">
        <v>0.70288957275888253</v>
      </c>
      <c r="N271">
        <v>0.74</v>
      </c>
      <c r="O271">
        <v>3978</v>
      </c>
      <c r="P271" s="1">
        <v>0.69375653993721664</v>
      </c>
      <c r="Q271">
        <v>17587</v>
      </c>
      <c r="R271" s="1">
        <v>0.70288957275888253</v>
      </c>
      <c r="S271">
        <v>0.74</v>
      </c>
      <c r="T271">
        <v>0</v>
      </c>
      <c r="U271" s="1" t="s">
        <v>700</v>
      </c>
      <c r="V271">
        <v>18800</v>
      </c>
      <c r="W271" s="1">
        <v>0.71851710300019112</v>
      </c>
      <c r="X271">
        <v>2.2999999999999998</v>
      </c>
      <c r="Y271">
        <v>1213</v>
      </c>
      <c r="Z271" s="1">
        <v>1.0603146853146854</v>
      </c>
      <c r="AA271">
        <v>21396</v>
      </c>
      <c r="AB271" s="1">
        <v>0.71066529378549836</v>
      </c>
      <c r="AC271">
        <v>1.52</v>
      </c>
      <c r="AD271">
        <v>2596</v>
      </c>
      <c r="AE271" s="1">
        <v>0.6585489599188229</v>
      </c>
      <c r="AF271">
        <v>21849</v>
      </c>
      <c r="AG271" s="1">
        <v>0.70922193008082579</v>
      </c>
      <c r="AH271">
        <v>1.37</v>
      </c>
      <c r="AI271">
        <v>453</v>
      </c>
      <c r="AJ271" s="1">
        <v>0.64714285714285713</v>
      </c>
    </row>
    <row r="272" spans="1:36" x14ac:dyDescent="0.3">
      <c r="A272" t="s">
        <v>213</v>
      </c>
      <c r="B272">
        <v>179004</v>
      </c>
      <c r="C272" t="s">
        <v>510</v>
      </c>
      <c r="D272" t="s">
        <v>399</v>
      </c>
      <c r="E272">
        <v>5359</v>
      </c>
      <c r="F272" s="1">
        <v>0.30299999999999999</v>
      </c>
      <c r="G272">
        <v>5650</v>
      </c>
      <c r="H272" s="1">
        <v>0.29289999999999999</v>
      </c>
      <c r="I272">
        <v>-1.01</v>
      </c>
      <c r="J272">
        <v>291</v>
      </c>
      <c r="K272" s="1">
        <v>0.18149999999999999</v>
      </c>
      <c r="L272">
        <v>7390</v>
      </c>
      <c r="M272" s="1">
        <v>0.29535190440030373</v>
      </c>
      <c r="N272">
        <v>-0.76</v>
      </c>
      <c r="O272">
        <v>1740</v>
      </c>
      <c r="P272" s="1">
        <v>0.30345308685036626</v>
      </c>
      <c r="Q272">
        <v>7390</v>
      </c>
      <c r="R272" s="1">
        <v>0.29535190440030373</v>
      </c>
      <c r="S272">
        <v>-0.76</v>
      </c>
      <c r="T272">
        <v>0</v>
      </c>
      <c r="U272" s="1" t="s">
        <v>700</v>
      </c>
      <c r="V272">
        <v>7319</v>
      </c>
      <c r="W272" s="1">
        <v>0.27972482323714887</v>
      </c>
      <c r="X272">
        <v>-2.33</v>
      </c>
      <c r="Y272">
        <v>-71</v>
      </c>
      <c r="Z272" s="1">
        <v>-6.2062937062937064E-2</v>
      </c>
      <c r="AA272">
        <v>8649</v>
      </c>
      <c r="AB272" s="1">
        <v>0.28727538446208523</v>
      </c>
      <c r="AC272">
        <v>-1.57</v>
      </c>
      <c r="AD272">
        <v>1330</v>
      </c>
      <c r="AE272" s="1">
        <v>0.33739218670725518</v>
      </c>
      <c r="AF272">
        <v>8898</v>
      </c>
      <c r="AG272" s="1">
        <v>0.28883046060960171</v>
      </c>
      <c r="AH272">
        <v>-1.42</v>
      </c>
      <c r="AI272">
        <v>249</v>
      </c>
      <c r="AJ272" s="1">
        <v>0.35571428571428571</v>
      </c>
    </row>
    <row r="273" spans="1:36" x14ac:dyDescent="0.3">
      <c r="A273" t="s">
        <v>213</v>
      </c>
      <c r="B273">
        <v>179004</v>
      </c>
      <c r="C273" t="s">
        <v>402</v>
      </c>
      <c r="E273">
        <v>26</v>
      </c>
      <c r="F273" s="1">
        <v>1.5E-3</v>
      </c>
      <c r="G273">
        <v>28</v>
      </c>
      <c r="H273" s="1">
        <v>1.5E-3</v>
      </c>
      <c r="I273">
        <v>0</v>
      </c>
      <c r="J273">
        <v>2</v>
      </c>
      <c r="K273" s="1">
        <v>1.1999999999999999E-3</v>
      </c>
      <c r="L273">
        <v>44</v>
      </c>
      <c r="M273" s="1">
        <v>1.7585228408137164E-3</v>
      </c>
      <c r="N273">
        <v>0.03</v>
      </c>
      <c r="O273">
        <v>16</v>
      </c>
      <c r="P273" s="1">
        <v>2.7903732124171608E-3</v>
      </c>
      <c r="Q273">
        <v>44</v>
      </c>
      <c r="R273" s="1">
        <v>1.7585228408137164E-3</v>
      </c>
      <c r="S273">
        <v>0.03</v>
      </c>
      <c r="T273">
        <v>0</v>
      </c>
      <c r="U273" s="1" t="s">
        <v>700</v>
      </c>
      <c r="V273">
        <v>46</v>
      </c>
      <c r="W273" s="1">
        <v>1.7580737626600421E-3</v>
      </c>
      <c r="X273">
        <v>0.03</v>
      </c>
      <c r="Y273">
        <v>2</v>
      </c>
      <c r="Z273" s="1">
        <v>1.7482517482517483E-3</v>
      </c>
      <c r="AA273">
        <v>62</v>
      </c>
      <c r="AB273" s="1">
        <v>2.0593217524163816E-3</v>
      </c>
      <c r="AC273">
        <v>0.06</v>
      </c>
      <c r="AD273">
        <v>16</v>
      </c>
      <c r="AE273" s="1">
        <v>4.0588533739218668E-3</v>
      </c>
      <c r="AF273">
        <v>60</v>
      </c>
      <c r="AG273" s="1">
        <v>1.9476093095724997E-3</v>
      </c>
      <c r="AH273">
        <v>0.04</v>
      </c>
      <c r="AI273">
        <v>-2</v>
      </c>
      <c r="AJ273" s="1">
        <v>-2.8571428571428571E-3</v>
      </c>
    </row>
    <row r="274" spans="1:36" x14ac:dyDescent="0.3">
      <c r="A274" t="s">
        <v>213</v>
      </c>
      <c r="B274">
        <v>179004</v>
      </c>
      <c r="C274" t="s">
        <v>701</v>
      </c>
      <c r="E274">
        <v>3</v>
      </c>
      <c r="F274" s="1" t="s">
        <v>700</v>
      </c>
      <c r="G274">
        <v>3</v>
      </c>
      <c r="H274" s="1" t="s">
        <v>700</v>
      </c>
      <c r="I274" t="s">
        <v>700</v>
      </c>
      <c r="J274">
        <v>0</v>
      </c>
      <c r="K274" s="1" t="s">
        <v>700</v>
      </c>
      <c r="L274">
        <v>4</v>
      </c>
      <c r="M274" s="1" t="s">
        <v>700</v>
      </c>
      <c r="N274" t="s">
        <v>700</v>
      </c>
      <c r="O274">
        <v>1</v>
      </c>
      <c r="P274" s="1" t="s">
        <v>700</v>
      </c>
      <c r="Q274">
        <v>4</v>
      </c>
      <c r="R274" s="1" t="s">
        <v>700</v>
      </c>
      <c r="S274" t="s">
        <v>700</v>
      </c>
      <c r="T274">
        <v>0</v>
      </c>
      <c r="U274" s="1" t="s">
        <v>700</v>
      </c>
      <c r="V274">
        <v>3</v>
      </c>
      <c r="Y274">
        <v>-1</v>
      </c>
      <c r="AA274">
        <v>4</v>
      </c>
      <c r="AD274">
        <v>1</v>
      </c>
      <c r="AF274">
        <v>4</v>
      </c>
      <c r="AI274">
        <v>0</v>
      </c>
    </row>
    <row r="275" spans="1:36" x14ac:dyDescent="0.3">
      <c r="A275" t="s">
        <v>213</v>
      </c>
      <c r="B275">
        <v>179004</v>
      </c>
      <c r="C275" t="s">
        <v>702</v>
      </c>
      <c r="E275">
        <v>626</v>
      </c>
      <c r="F275" s="1" t="s">
        <v>700</v>
      </c>
      <c r="G275">
        <v>679</v>
      </c>
      <c r="H275" s="1" t="s">
        <v>700</v>
      </c>
      <c r="I275" t="s">
        <v>700</v>
      </c>
      <c r="J275">
        <v>53</v>
      </c>
      <c r="K275" s="1" t="s">
        <v>700</v>
      </c>
      <c r="L275">
        <v>931</v>
      </c>
      <c r="M275" s="1" t="s">
        <v>700</v>
      </c>
      <c r="N275" t="s">
        <v>700</v>
      </c>
      <c r="O275">
        <v>252</v>
      </c>
      <c r="P275" s="1" t="s">
        <v>700</v>
      </c>
      <c r="Q275">
        <v>931</v>
      </c>
      <c r="R275" s="1" t="s">
        <v>700</v>
      </c>
      <c r="S275" t="s">
        <v>700</v>
      </c>
      <c r="T275">
        <v>0</v>
      </c>
      <c r="U275" s="1" t="s">
        <v>700</v>
      </c>
      <c r="V275">
        <v>879</v>
      </c>
      <c r="Y275">
        <v>-52</v>
      </c>
      <c r="AA275">
        <v>1085</v>
      </c>
      <c r="AD275">
        <v>206</v>
      </c>
      <c r="AF275">
        <v>1117</v>
      </c>
      <c r="AI275">
        <v>32</v>
      </c>
    </row>
    <row r="276" spans="1:36" x14ac:dyDescent="0.3">
      <c r="A276" t="s">
        <v>214</v>
      </c>
      <c r="B276">
        <v>173602</v>
      </c>
      <c r="C276" t="s">
        <v>699</v>
      </c>
      <c r="E276">
        <v>18313</v>
      </c>
      <c r="F276" s="1" t="s">
        <v>700</v>
      </c>
      <c r="G276">
        <v>19969</v>
      </c>
      <c r="H276" s="1" t="s">
        <v>700</v>
      </c>
      <c r="I276" t="s">
        <v>700</v>
      </c>
      <c r="J276">
        <v>1656</v>
      </c>
      <c r="K276" s="1" t="s">
        <v>700</v>
      </c>
      <c r="L276">
        <v>25956</v>
      </c>
      <c r="M276" s="1" t="s">
        <v>700</v>
      </c>
      <c r="N276" t="s">
        <v>700</v>
      </c>
      <c r="O276">
        <v>5987</v>
      </c>
      <c r="P276" s="1" t="s">
        <v>700</v>
      </c>
      <c r="Q276">
        <v>25956</v>
      </c>
      <c r="R276" s="1" t="s">
        <v>700</v>
      </c>
      <c r="S276" t="s">
        <v>700</v>
      </c>
      <c r="T276">
        <v>0</v>
      </c>
      <c r="U276" s="1" t="s">
        <v>700</v>
      </c>
      <c r="V276">
        <v>27047</v>
      </c>
      <c r="Y276">
        <v>1091</v>
      </c>
      <c r="AA276">
        <v>31196</v>
      </c>
      <c r="AD276">
        <v>4149</v>
      </c>
      <c r="AF276">
        <v>31928</v>
      </c>
      <c r="AI276">
        <v>732</v>
      </c>
    </row>
    <row r="277" spans="1:36" x14ac:dyDescent="0.3">
      <c r="A277" t="s">
        <v>214</v>
      </c>
      <c r="B277">
        <v>173602</v>
      </c>
      <c r="C277" t="s">
        <v>511</v>
      </c>
      <c r="D277" t="s">
        <v>401</v>
      </c>
      <c r="E277">
        <v>5446</v>
      </c>
      <c r="F277" s="1">
        <v>0.36590000000000006</v>
      </c>
      <c r="G277">
        <v>6006</v>
      </c>
      <c r="H277" s="1">
        <v>0.36799999999999999</v>
      </c>
      <c r="I277">
        <v>0.21</v>
      </c>
      <c r="J277">
        <v>560</v>
      </c>
      <c r="K277" s="1">
        <v>0.38919999999999999</v>
      </c>
      <c r="L277">
        <v>7634</v>
      </c>
      <c r="M277" s="1">
        <v>0.36236768405563202</v>
      </c>
      <c r="N277">
        <v>-0.35</v>
      </c>
      <c r="O277">
        <v>1628</v>
      </c>
      <c r="P277" s="1">
        <v>0.34302570585756426</v>
      </c>
      <c r="Q277">
        <v>7634</v>
      </c>
      <c r="R277" s="1">
        <v>0.36236768405563202</v>
      </c>
      <c r="S277">
        <v>-0.35</v>
      </c>
      <c r="T277">
        <v>0</v>
      </c>
      <c r="U277" s="1" t="s">
        <v>700</v>
      </c>
      <c r="V277">
        <v>8457</v>
      </c>
      <c r="W277" s="1">
        <v>0.37756149828117325</v>
      </c>
      <c r="X277">
        <v>1.17</v>
      </c>
      <c r="Y277">
        <v>823</v>
      </c>
      <c r="Z277" s="1">
        <v>0.61786786786786785</v>
      </c>
      <c r="AA277">
        <v>9509</v>
      </c>
      <c r="AB277" s="1">
        <v>0.37220134648504777</v>
      </c>
      <c r="AC277">
        <v>0.63</v>
      </c>
      <c r="AD277">
        <v>1052</v>
      </c>
      <c r="AE277" s="1">
        <v>0.33407430930454113</v>
      </c>
      <c r="AF277">
        <v>9713</v>
      </c>
      <c r="AG277" s="1">
        <v>0.37194608256107836</v>
      </c>
      <c r="AH277">
        <v>0.6</v>
      </c>
      <c r="AI277">
        <v>204</v>
      </c>
      <c r="AJ277" s="1">
        <v>0.36042402826855124</v>
      </c>
    </row>
    <row r="278" spans="1:36" x14ac:dyDescent="0.3">
      <c r="A278" t="s">
        <v>214</v>
      </c>
      <c r="B278">
        <v>173602</v>
      </c>
      <c r="C278" t="s">
        <v>512</v>
      </c>
      <c r="D278" t="s">
        <v>401</v>
      </c>
      <c r="E278">
        <v>5120</v>
      </c>
      <c r="F278" s="1">
        <v>0.34399999999999997</v>
      </c>
      <c r="G278">
        <v>5600</v>
      </c>
      <c r="H278" s="1">
        <v>0.34310000000000002</v>
      </c>
      <c r="I278">
        <v>-0.09</v>
      </c>
      <c r="J278">
        <v>480</v>
      </c>
      <c r="K278" s="1">
        <v>0.33360000000000001</v>
      </c>
      <c r="L278">
        <v>7367</v>
      </c>
      <c r="M278" s="1">
        <v>0.34969383395832343</v>
      </c>
      <c r="N278">
        <v>0.56999999999999995</v>
      </c>
      <c r="O278">
        <v>1767</v>
      </c>
      <c r="P278" s="1">
        <v>0.37231352718078381</v>
      </c>
      <c r="Q278">
        <v>7367</v>
      </c>
      <c r="R278" s="1">
        <v>0.34969383395832343</v>
      </c>
      <c r="S278">
        <v>0.56999999999999995</v>
      </c>
      <c r="T278">
        <v>0</v>
      </c>
      <c r="U278" s="1" t="s">
        <v>700</v>
      </c>
      <c r="V278">
        <v>7509</v>
      </c>
      <c r="W278" s="1">
        <v>0.33523818027590518</v>
      </c>
      <c r="X278">
        <v>-0.88</v>
      </c>
      <c r="Y278">
        <v>142</v>
      </c>
      <c r="Z278" s="1">
        <v>0.1066066066066066</v>
      </c>
      <c r="AA278">
        <v>8721</v>
      </c>
      <c r="AB278" s="1">
        <v>0.34135744480976987</v>
      </c>
      <c r="AC278">
        <v>-0.26</v>
      </c>
      <c r="AD278">
        <v>1212</v>
      </c>
      <c r="AE278" s="1">
        <v>0.38488409018736108</v>
      </c>
      <c r="AF278">
        <v>8924</v>
      </c>
      <c r="AG278" s="1">
        <v>0.34173240407444283</v>
      </c>
      <c r="AH278">
        <v>-0.23</v>
      </c>
      <c r="AI278">
        <v>203</v>
      </c>
      <c r="AJ278" s="1">
        <v>0.35865724381625441</v>
      </c>
    </row>
    <row r="279" spans="1:36" x14ac:dyDescent="0.3">
      <c r="A279" t="s">
        <v>214</v>
      </c>
      <c r="B279">
        <v>173602</v>
      </c>
      <c r="C279" t="s">
        <v>513</v>
      </c>
      <c r="D279" t="s">
        <v>401</v>
      </c>
      <c r="E279">
        <v>4013</v>
      </c>
      <c r="F279" s="1">
        <v>0.2697</v>
      </c>
      <c r="G279">
        <v>4403</v>
      </c>
      <c r="H279" s="1">
        <v>0.26979999999999998</v>
      </c>
      <c r="I279">
        <v>0.01</v>
      </c>
      <c r="J279">
        <v>390</v>
      </c>
      <c r="K279" s="1">
        <v>0.27100000000000002</v>
      </c>
      <c r="L279">
        <v>5661</v>
      </c>
      <c r="M279" s="1">
        <v>0.26871410262495848</v>
      </c>
      <c r="N279">
        <v>-0.1</v>
      </c>
      <c r="O279">
        <v>1258</v>
      </c>
      <c r="P279" s="1">
        <v>0.26506531816266332</v>
      </c>
      <c r="Q279">
        <v>5661</v>
      </c>
      <c r="R279" s="1">
        <v>0.26871410262495848</v>
      </c>
      <c r="S279">
        <v>-0.1</v>
      </c>
      <c r="T279">
        <v>0</v>
      </c>
      <c r="U279" s="1" t="s">
        <v>700</v>
      </c>
      <c r="V279">
        <v>6044</v>
      </c>
      <c r="W279" s="1">
        <v>0.26983347470869234</v>
      </c>
      <c r="X279">
        <v>0.01</v>
      </c>
      <c r="Y279">
        <v>383</v>
      </c>
      <c r="Z279" s="1">
        <v>0.28753753753753752</v>
      </c>
      <c r="AA279">
        <v>6849</v>
      </c>
      <c r="AB279" s="1">
        <v>0.26808360732738373</v>
      </c>
      <c r="AC279">
        <v>-0.16</v>
      </c>
      <c r="AD279">
        <v>805</v>
      </c>
      <c r="AE279" s="1">
        <v>0.25563671006668781</v>
      </c>
      <c r="AF279">
        <v>7003</v>
      </c>
      <c r="AG279" s="1">
        <v>0.26817033009113883</v>
      </c>
      <c r="AH279">
        <v>-0.15</v>
      </c>
      <c r="AI279">
        <v>154</v>
      </c>
      <c r="AJ279" s="1">
        <v>0.27208480565371024</v>
      </c>
    </row>
    <row r="280" spans="1:36" x14ac:dyDescent="0.3">
      <c r="A280" t="s">
        <v>214</v>
      </c>
      <c r="B280">
        <v>173602</v>
      </c>
      <c r="C280" t="s">
        <v>402</v>
      </c>
      <c r="E280">
        <v>303</v>
      </c>
      <c r="F280" s="1">
        <v>2.0400000000000001E-2</v>
      </c>
      <c r="G280">
        <v>312</v>
      </c>
      <c r="H280" s="1">
        <v>1.9099999999999999E-2</v>
      </c>
      <c r="I280">
        <v>-0.13</v>
      </c>
      <c r="J280">
        <v>9</v>
      </c>
      <c r="K280" s="1">
        <v>6.3E-3</v>
      </c>
      <c r="L280">
        <v>405</v>
      </c>
      <c r="M280" s="1">
        <v>1.922437936108606E-2</v>
      </c>
      <c r="N280">
        <v>-0.12</v>
      </c>
      <c r="O280">
        <v>93</v>
      </c>
      <c r="P280" s="1">
        <v>1.9595448798988623E-2</v>
      </c>
      <c r="Q280">
        <v>405</v>
      </c>
      <c r="R280" s="1">
        <v>1.922437936108606E-2</v>
      </c>
      <c r="S280">
        <v>-0.12</v>
      </c>
      <c r="T280">
        <v>0</v>
      </c>
      <c r="U280" s="1" t="s">
        <v>700</v>
      </c>
      <c r="V280">
        <v>389</v>
      </c>
      <c r="W280" s="1">
        <v>1.7366846734229207E-2</v>
      </c>
      <c r="X280">
        <v>-0.3</v>
      </c>
      <c r="Y280">
        <v>-16</v>
      </c>
      <c r="Z280" s="1">
        <v>-1.2012012012012012E-2</v>
      </c>
      <c r="AA280">
        <v>469</v>
      </c>
      <c r="AB280" s="1">
        <v>1.8357601377798655E-2</v>
      </c>
      <c r="AC280">
        <v>-0.2</v>
      </c>
      <c r="AD280">
        <v>80</v>
      </c>
      <c r="AE280" s="1">
        <v>2.540489044140997E-2</v>
      </c>
      <c r="AF280">
        <v>474</v>
      </c>
      <c r="AG280" s="1">
        <v>1.815118327333997E-2</v>
      </c>
      <c r="AH280">
        <v>-0.22</v>
      </c>
      <c r="AI280">
        <v>5</v>
      </c>
      <c r="AJ280" s="1">
        <v>8.8339222614840993E-3</v>
      </c>
    </row>
    <row r="281" spans="1:36" x14ac:dyDescent="0.3">
      <c r="A281" t="s">
        <v>214</v>
      </c>
      <c r="B281">
        <v>173602</v>
      </c>
      <c r="C281" t="s">
        <v>701</v>
      </c>
      <c r="E281">
        <v>14</v>
      </c>
      <c r="F281" s="1" t="s">
        <v>700</v>
      </c>
      <c r="G281">
        <v>15</v>
      </c>
      <c r="H281" s="1" t="s">
        <v>700</v>
      </c>
      <c r="I281" t="s">
        <v>700</v>
      </c>
      <c r="J281">
        <v>1</v>
      </c>
      <c r="K281" s="1" t="s">
        <v>700</v>
      </c>
      <c r="L281">
        <v>16</v>
      </c>
      <c r="M281" s="1" t="s">
        <v>700</v>
      </c>
      <c r="N281" t="s">
        <v>700</v>
      </c>
      <c r="O281">
        <v>1</v>
      </c>
      <c r="P281" s="1" t="s">
        <v>700</v>
      </c>
      <c r="Q281">
        <v>16</v>
      </c>
      <c r="R281" s="1" t="s">
        <v>700</v>
      </c>
      <c r="S281" t="s">
        <v>700</v>
      </c>
      <c r="T281">
        <v>0</v>
      </c>
      <c r="U281" s="1" t="s">
        <v>700</v>
      </c>
      <c r="V281">
        <v>19</v>
      </c>
      <c r="Y281">
        <v>3</v>
      </c>
      <c r="AA281">
        <v>19</v>
      </c>
      <c r="AD281">
        <v>0</v>
      </c>
      <c r="AF281">
        <v>19</v>
      </c>
      <c r="AI281">
        <v>0</v>
      </c>
    </row>
    <row r="282" spans="1:36" x14ac:dyDescent="0.3">
      <c r="A282" t="s">
        <v>214</v>
      </c>
      <c r="B282">
        <v>173602</v>
      </c>
      <c r="C282" t="s">
        <v>702</v>
      </c>
      <c r="E282">
        <v>3417</v>
      </c>
      <c r="F282" s="1" t="s">
        <v>700</v>
      </c>
      <c r="G282">
        <v>3633</v>
      </c>
      <c r="H282" s="1" t="s">
        <v>700</v>
      </c>
      <c r="I282" t="s">
        <v>700</v>
      </c>
      <c r="J282">
        <v>216</v>
      </c>
      <c r="K282" s="1" t="s">
        <v>700</v>
      </c>
      <c r="L282">
        <v>4873</v>
      </c>
      <c r="M282" s="1" t="s">
        <v>700</v>
      </c>
      <c r="N282" t="s">
        <v>700</v>
      </c>
      <c r="O282">
        <v>1240</v>
      </c>
      <c r="P282" s="1" t="s">
        <v>700</v>
      </c>
      <c r="Q282">
        <v>4873</v>
      </c>
      <c r="R282" s="1" t="s">
        <v>700</v>
      </c>
      <c r="S282" t="s">
        <v>700</v>
      </c>
      <c r="T282">
        <v>0</v>
      </c>
      <c r="U282" s="1" t="s">
        <v>700</v>
      </c>
      <c r="V282">
        <v>4629</v>
      </c>
      <c r="Y282">
        <v>-244</v>
      </c>
      <c r="AA282">
        <v>5629</v>
      </c>
      <c r="AD282">
        <v>1000</v>
      </c>
      <c r="AF282">
        <v>5795</v>
      </c>
      <c r="AI282">
        <v>166</v>
      </c>
    </row>
    <row r="283" spans="1:36" x14ac:dyDescent="0.3">
      <c r="A283" t="s">
        <v>241</v>
      </c>
      <c r="B283">
        <v>185042</v>
      </c>
      <c r="C283" t="s">
        <v>699</v>
      </c>
      <c r="E283">
        <v>6956</v>
      </c>
      <c r="F283" s="1" t="s">
        <v>700</v>
      </c>
      <c r="G283">
        <v>8431</v>
      </c>
      <c r="H283" s="1" t="s">
        <v>700</v>
      </c>
      <c r="I283" t="s">
        <v>700</v>
      </c>
      <c r="J283">
        <v>1475</v>
      </c>
      <c r="K283" s="1" t="s">
        <v>700</v>
      </c>
      <c r="L283">
        <v>10257</v>
      </c>
      <c r="M283" s="1" t="s">
        <v>700</v>
      </c>
      <c r="N283" t="s">
        <v>700</v>
      </c>
      <c r="O283">
        <v>1826</v>
      </c>
      <c r="P283" s="1" t="s">
        <v>700</v>
      </c>
      <c r="Q283">
        <v>12583</v>
      </c>
      <c r="R283" s="1" t="s">
        <v>700</v>
      </c>
      <c r="S283" t="s">
        <v>700</v>
      </c>
      <c r="T283">
        <v>2326</v>
      </c>
      <c r="U283" s="1" t="s">
        <v>700</v>
      </c>
      <c r="V283">
        <v>13505</v>
      </c>
      <c r="Y283">
        <v>922</v>
      </c>
      <c r="AA283">
        <v>13518</v>
      </c>
      <c r="AD283">
        <v>13</v>
      </c>
      <c r="AF283">
        <v>13612</v>
      </c>
      <c r="AI283">
        <v>94</v>
      </c>
    </row>
    <row r="284" spans="1:36" x14ac:dyDescent="0.3">
      <c r="A284" t="s">
        <v>241</v>
      </c>
      <c r="B284">
        <v>185042</v>
      </c>
      <c r="C284" t="s">
        <v>514</v>
      </c>
      <c r="D284" t="s">
        <v>399</v>
      </c>
      <c r="E284">
        <v>2910</v>
      </c>
      <c r="F284" s="1">
        <v>0.43320000000000003</v>
      </c>
      <c r="G284">
        <v>3525</v>
      </c>
      <c r="H284" s="1">
        <v>0.43290000000000001</v>
      </c>
      <c r="I284">
        <v>-0.03</v>
      </c>
      <c r="J284">
        <v>615</v>
      </c>
      <c r="K284" s="1">
        <v>0.43130000000000002</v>
      </c>
      <c r="L284">
        <v>4448</v>
      </c>
      <c r="M284" s="1">
        <v>0.44852273873147119</v>
      </c>
      <c r="N284">
        <v>1.53</v>
      </c>
      <c r="O284">
        <v>923</v>
      </c>
      <c r="P284" s="1">
        <v>0.52029312288613305</v>
      </c>
      <c r="Q284">
        <v>5298</v>
      </c>
      <c r="R284" s="1">
        <v>0.43504680571522419</v>
      </c>
      <c r="S284">
        <v>0.18</v>
      </c>
      <c r="T284">
        <v>850</v>
      </c>
      <c r="U284" s="1">
        <v>0.37593984962406013</v>
      </c>
      <c r="V284">
        <v>5592</v>
      </c>
      <c r="W284" s="1">
        <v>0.42827602052538866</v>
      </c>
      <c r="X284">
        <v>-0.49</v>
      </c>
      <c r="Y284">
        <v>294</v>
      </c>
      <c r="Z284" s="1">
        <v>0.33447098976109213</v>
      </c>
      <c r="AA284">
        <v>5595</v>
      </c>
      <c r="AB284" s="1">
        <v>0.42817785260580088</v>
      </c>
      <c r="AC284">
        <v>-0.5</v>
      </c>
      <c r="AD284">
        <v>3</v>
      </c>
      <c r="AE284" s="1">
        <v>0.3</v>
      </c>
      <c r="AF284">
        <v>5640</v>
      </c>
      <c r="AG284" s="1">
        <v>0.42886472511596074</v>
      </c>
      <c r="AH284">
        <v>-0.43</v>
      </c>
      <c r="AI284">
        <v>45</v>
      </c>
      <c r="AJ284" s="1">
        <v>0.5357142857142857</v>
      </c>
    </row>
    <row r="285" spans="1:36" x14ac:dyDescent="0.3">
      <c r="A285" t="s">
        <v>241</v>
      </c>
      <c r="B285">
        <v>185042</v>
      </c>
      <c r="C285" t="s">
        <v>515</v>
      </c>
      <c r="D285" t="s">
        <v>405</v>
      </c>
      <c r="E285">
        <v>372</v>
      </c>
      <c r="F285" s="1">
        <v>5.5399999999999998E-2</v>
      </c>
      <c r="G285">
        <v>446</v>
      </c>
      <c r="H285" s="1">
        <v>5.4800000000000001E-2</v>
      </c>
      <c r="I285">
        <v>-0.06</v>
      </c>
      <c r="J285">
        <v>74</v>
      </c>
      <c r="K285" s="1">
        <v>5.1900000000000002E-2</v>
      </c>
      <c r="L285">
        <v>529</v>
      </c>
      <c r="M285" s="1">
        <v>5.334274478168801E-2</v>
      </c>
      <c r="N285">
        <v>-0.21</v>
      </c>
      <c r="O285">
        <v>83</v>
      </c>
      <c r="P285" s="1">
        <v>4.6786922209695603E-2</v>
      </c>
      <c r="Q285">
        <v>658</v>
      </c>
      <c r="R285" s="1">
        <v>5.4031860732468386E-2</v>
      </c>
      <c r="S285">
        <v>-0.14000000000000001</v>
      </c>
      <c r="T285">
        <v>129</v>
      </c>
      <c r="U285" s="1">
        <v>5.7054400707651484E-2</v>
      </c>
      <c r="V285">
        <v>701</v>
      </c>
      <c r="W285" s="1">
        <v>5.3687677108064637E-2</v>
      </c>
      <c r="X285">
        <v>-0.17</v>
      </c>
      <c r="Y285">
        <v>43</v>
      </c>
      <c r="Z285" s="1">
        <v>4.8919226393629126E-2</v>
      </c>
      <c r="AA285">
        <v>701</v>
      </c>
      <c r="AB285" s="1">
        <v>5.3646590648197753E-2</v>
      </c>
      <c r="AC285">
        <v>-0.18</v>
      </c>
      <c r="AD285">
        <v>0</v>
      </c>
      <c r="AE285" s="1">
        <v>0</v>
      </c>
      <c r="AF285">
        <v>706</v>
      </c>
      <c r="AG285" s="1">
        <v>5.3684130484373808E-2</v>
      </c>
      <c r="AH285">
        <v>-0.17</v>
      </c>
      <c r="AI285">
        <v>5</v>
      </c>
      <c r="AJ285" s="1">
        <v>5.9523809523809521E-2</v>
      </c>
    </row>
    <row r="286" spans="1:36" x14ac:dyDescent="0.3">
      <c r="A286" t="s">
        <v>241</v>
      </c>
      <c r="B286">
        <v>185042</v>
      </c>
      <c r="C286" t="s">
        <v>516</v>
      </c>
      <c r="D286" t="s">
        <v>401</v>
      </c>
      <c r="E286">
        <v>3417</v>
      </c>
      <c r="F286" s="1">
        <v>0.50869999999999993</v>
      </c>
      <c r="G286">
        <v>4151</v>
      </c>
      <c r="H286" s="1">
        <v>0.50979999999999992</v>
      </c>
      <c r="I286">
        <v>0.11</v>
      </c>
      <c r="J286">
        <v>734</v>
      </c>
      <c r="K286" s="1">
        <v>0.51469999999999994</v>
      </c>
      <c r="L286">
        <v>4911</v>
      </c>
      <c r="M286" s="1">
        <v>0.49521024503378036</v>
      </c>
      <c r="N286">
        <v>-1.35</v>
      </c>
      <c r="O286">
        <v>760</v>
      </c>
      <c r="P286" s="1">
        <v>0.42841037204058624</v>
      </c>
      <c r="Q286">
        <v>6179</v>
      </c>
      <c r="R286" s="1">
        <v>0.50739037608802762</v>
      </c>
      <c r="S286">
        <v>-0.13</v>
      </c>
      <c r="T286">
        <v>1268</v>
      </c>
      <c r="U286" s="1">
        <v>0.56081379920389207</v>
      </c>
      <c r="V286">
        <v>6718</v>
      </c>
      <c r="W286" s="1">
        <v>0.51451328789155237</v>
      </c>
      <c r="X286">
        <v>0.57999999999999996</v>
      </c>
      <c r="Y286">
        <v>539</v>
      </c>
      <c r="Z286" s="1">
        <v>0.61319681456200226</v>
      </c>
      <c r="AA286">
        <v>6726</v>
      </c>
      <c r="AB286" s="1">
        <v>0.51473176704675905</v>
      </c>
      <c r="AC286">
        <v>0.6</v>
      </c>
      <c r="AD286">
        <v>8</v>
      </c>
      <c r="AE286" s="1">
        <v>0.8</v>
      </c>
      <c r="AF286">
        <v>6759</v>
      </c>
      <c r="AG286" s="1">
        <v>0.51395331153524448</v>
      </c>
      <c r="AH286">
        <v>0.53</v>
      </c>
      <c r="AI286">
        <v>33</v>
      </c>
      <c r="AJ286" s="1">
        <v>0.39285714285714285</v>
      </c>
    </row>
    <row r="287" spans="1:36" x14ac:dyDescent="0.3">
      <c r="A287" t="s">
        <v>241</v>
      </c>
      <c r="B287">
        <v>185042</v>
      </c>
      <c r="C287" t="s">
        <v>402</v>
      </c>
      <c r="E287">
        <v>18</v>
      </c>
      <c r="F287" s="1">
        <v>2.7000000000000001E-3</v>
      </c>
      <c r="G287">
        <v>21</v>
      </c>
      <c r="H287" s="1">
        <v>2.5999999999999999E-3</v>
      </c>
      <c r="I287">
        <v>-0.01</v>
      </c>
      <c r="J287">
        <v>3</v>
      </c>
      <c r="K287" s="1">
        <v>2.0999999999999999E-3</v>
      </c>
      <c r="L287">
        <v>29</v>
      </c>
      <c r="M287" s="1">
        <v>2.9242714530604012E-3</v>
      </c>
      <c r="N287">
        <v>0.02</v>
      </c>
      <c r="O287">
        <v>8</v>
      </c>
      <c r="P287" s="1">
        <v>4.5095828635851182E-3</v>
      </c>
      <c r="Q287">
        <v>43</v>
      </c>
      <c r="R287" s="1">
        <v>3.5309574642798489E-3</v>
      </c>
      <c r="S287">
        <v>0.08</v>
      </c>
      <c r="T287">
        <v>14</v>
      </c>
      <c r="U287" s="1">
        <v>6.1919504643962852E-3</v>
      </c>
      <c r="V287">
        <v>46</v>
      </c>
      <c r="W287" s="1">
        <v>3.5230144749942558E-3</v>
      </c>
      <c r="X287">
        <v>0.08</v>
      </c>
      <c r="Y287">
        <v>3</v>
      </c>
      <c r="Z287" s="1">
        <v>3.4129692832764505E-3</v>
      </c>
      <c r="AA287">
        <v>45</v>
      </c>
      <c r="AB287" s="1">
        <v>3.4437896992423663E-3</v>
      </c>
      <c r="AC287">
        <v>7.0000000000000007E-2</v>
      </c>
      <c r="AD287">
        <v>-1</v>
      </c>
      <c r="AE287" s="1">
        <v>-0.1</v>
      </c>
      <c r="AF287">
        <v>46</v>
      </c>
      <c r="AG287" s="1">
        <v>3.4978328644209565E-3</v>
      </c>
      <c r="AH287">
        <v>0.08</v>
      </c>
      <c r="AI287">
        <v>1</v>
      </c>
      <c r="AJ287" s="1">
        <v>1.1904761904761904E-2</v>
      </c>
    </row>
    <row r="288" spans="1:36" x14ac:dyDescent="0.3">
      <c r="A288" t="s">
        <v>241</v>
      </c>
      <c r="B288">
        <v>185042</v>
      </c>
      <c r="C288" t="s">
        <v>701</v>
      </c>
      <c r="E288">
        <v>10</v>
      </c>
      <c r="F288" s="1" t="s">
        <v>700</v>
      </c>
      <c r="G288">
        <v>11</v>
      </c>
      <c r="H288" s="1" t="s">
        <v>700</v>
      </c>
      <c r="I288" t="s">
        <v>700</v>
      </c>
      <c r="J288">
        <v>1</v>
      </c>
      <c r="K288" s="1" t="s">
        <v>700</v>
      </c>
      <c r="L288">
        <v>13</v>
      </c>
      <c r="M288" s="1" t="s">
        <v>700</v>
      </c>
      <c r="N288" t="s">
        <v>700</v>
      </c>
      <c r="O288">
        <v>2</v>
      </c>
      <c r="P288" s="1" t="s">
        <v>700</v>
      </c>
      <c r="Q288">
        <v>13</v>
      </c>
      <c r="R288" s="1" t="s">
        <v>700</v>
      </c>
      <c r="S288" t="s">
        <v>700</v>
      </c>
      <c r="T288">
        <v>0</v>
      </c>
      <c r="U288" s="1" t="s">
        <v>700</v>
      </c>
      <c r="V288">
        <v>8</v>
      </c>
      <c r="Y288">
        <v>-5</v>
      </c>
      <c r="AA288">
        <v>8</v>
      </c>
      <c r="AD288">
        <v>0</v>
      </c>
      <c r="AF288">
        <v>8</v>
      </c>
      <c r="AI288">
        <v>0</v>
      </c>
    </row>
    <row r="289" spans="1:36" x14ac:dyDescent="0.3">
      <c r="A289" t="s">
        <v>241</v>
      </c>
      <c r="B289">
        <v>185042</v>
      </c>
      <c r="C289" t="s">
        <v>702</v>
      </c>
      <c r="E289">
        <v>229</v>
      </c>
      <c r="F289" s="1" t="s">
        <v>700</v>
      </c>
      <c r="G289">
        <v>277</v>
      </c>
      <c r="H289" s="1" t="s">
        <v>700</v>
      </c>
      <c r="I289" t="s">
        <v>700</v>
      </c>
      <c r="J289">
        <v>48</v>
      </c>
      <c r="K289" s="1" t="s">
        <v>700</v>
      </c>
      <c r="L289">
        <v>327</v>
      </c>
      <c r="M289" s="1" t="s">
        <v>700</v>
      </c>
      <c r="N289" t="s">
        <v>700</v>
      </c>
      <c r="O289">
        <v>50</v>
      </c>
      <c r="P289" s="1" t="s">
        <v>700</v>
      </c>
      <c r="Q289">
        <v>392</v>
      </c>
      <c r="R289" s="1" t="s">
        <v>700</v>
      </c>
      <c r="S289" t="s">
        <v>700</v>
      </c>
      <c r="T289">
        <v>65</v>
      </c>
      <c r="U289" s="1" t="s">
        <v>700</v>
      </c>
      <c r="V289">
        <v>440</v>
      </c>
      <c r="Y289">
        <v>48</v>
      </c>
      <c r="AA289">
        <v>443</v>
      </c>
      <c r="AD289">
        <v>3</v>
      </c>
      <c r="AF289">
        <v>453</v>
      </c>
      <c r="AI289">
        <v>10</v>
      </c>
    </row>
    <row r="290" spans="1:36" x14ac:dyDescent="0.3">
      <c r="A290" t="s">
        <v>242</v>
      </c>
      <c r="B290">
        <v>179165</v>
      </c>
      <c r="C290" t="s">
        <v>699</v>
      </c>
      <c r="E290">
        <v>6956</v>
      </c>
      <c r="F290" s="1" t="s">
        <v>700</v>
      </c>
      <c r="G290">
        <v>8431</v>
      </c>
      <c r="H290" s="1" t="s">
        <v>700</v>
      </c>
      <c r="I290" t="s">
        <v>700</v>
      </c>
      <c r="J290">
        <v>1475</v>
      </c>
      <c r="K290" s="1" t="s">
        <v>700</v>
      </c>
      <c r="L290">
        <v>10257</v>
      </c>
      <c r="M290" s="1" t="s">
        <v>700</v>
      </c>
      <c r="N290" t="s">
        <v>700</v>
      </c>
      <c r="O290">
        <v>1826</v>
      </c>
      <c r="P290" s="1" t="s">
        <v>700</v>
      </c>
      <c r="Q290">
        <v>12583</v>
      </c>
      <c r="R290" s="1" t="s">
        <v>700</v>
      </c>
      <c r="S290" t="s">
        <v>700</v>
      </c>
      <c r="T290">
        <v>2326</v>
      </c>
      <c r="U290" s="1" t="s">
        <v>700</v>
      </c>
      <c r="V290">
        <v>13505</v>
      </c>
      <c r="Y290">
        <v>922</v>
      </c>
      <c r="AA290">
        <v>13518</v>
      </c>
      <c r="AD290">
        <v>13</v>
      </c>
      <c r="AF290">
        <v>13612</v>
      </c>
      <c r="AI290">
        <v>94</v>
      </c>
    </row>
    <row r="291" spans="1:36" x14ac:dyDescent="0.3">
      <c r="A291" t="s">
        <v>242</v>
      </c>
      <c r="B291">
        <v>179165</v>
      </c>
      <c r="C291" t="s">
        <v>44</v>
      </c>
      <c r="D291" t="s">
        <v>401</v>
      </c>
      <c r="E291">
        <v>3436</v>
      </c>
      <c r="F291" s="1">
        <v>0.51149999999999995</v>
      </c>
      <c r="G291">
        <v>4159</v>
      </c>
      <c r="H291" s="1">
        <v>0.5111</v>
      </c>
      <c r="I291">
        <v>-0.04</v>
      </c>
      <c r="J291">
        <v>723</v>
      </c>
      <c r="K291" s="1">
        <v>0.50919999999999999</v>
      </c>
      <c r="L291">
        <v>4893</v>
      </c>
      <c r="M291" s="1">
        <v>0.49369387549187771</v>
      </c>
      <c r="N291">
        <v>-1.78</v>
      </c>
      <c r="O291">
        <v>734</v>
      </c>
      <c r="P291" s="1">
        <v>0.41398759165256627</v>
      </c>
      <c r="Q291">
        <v>6140</v>
      </c>
      <c r="R291" s="1">
        <v>0.50476816836566918</v>
      </c>
      <c r="S291">
        <v>-0.67</v>
      </c>
      <c r="T291">
        <v>1247</v>
      </c>
      <c r="U291" s="1">
        <v>0.55348424323124723</v>
      </c>
      <c r="V291">
        <v>6659</v>
      </c>
      <c r="W291" s="1">
        <v>0.51089458339726868</v>
      </c>
      <c r="X291">
        <v>-0.06</v>
      </c>
      <c r="Y291">
        <v>519</v>
      </c>
      <c r="Z291" s="1">
        <v>0.59655172413793101</v>
      </c>
      <c r="AA291">
        <v>6667</v>
      </c>
      <c r="AB291" s="1">
        <v>0.51111622201778595</v>
      </c>
      <c r="AC291">
        <v>-0.04</v>
      </c>
      <c r="AD291">
        <v>8</v>
      </c>
      <c r="AE291" s="1">
        <v>0.8</v>
      </c>
      <c r="AF291">
        <v>6700</v>
      </c>
      <c r="AG291" s="1">
        <v>0.51035953686776359</v>
      </c>
      <c r="AH291">
        <v>-0.11</v>
      </c>
      <c r="AI291">
        <v>33</v>
      </c>
      <c r="AJ291" s="1">
        <v>0.39285714285714285</v>
      </c>
    </row>
    <row r="292" spans="1:36" x14ac:dyDescent="0.3">
      <c r="A292" t="s">
        <v>242</v>
      </c>
      <c r="B292">
        <v>179165</v>
      </c>
      <c r="C292" t="s">
        <v>386</v>
      </c>
      <c r="D292" t="s">
        <v>468</v>
      </c>
      <c r="E292">
        <v>1432</v>
      </c>
      <c r="F292" s="1">
        <v>0.2132</v>
      </c>
      <c r="G292">
        <v>1659</v>
      </c>
      <c r="H292" s="1">
        <v>0.2039</v>
      </c>
      <c r="I292">
        <v>-0.93</v>
      </c>
      <c r="J292">
        <v>227</v>
      </c>
      <c r="K292" s="1">
        <v>0.15990000000000001</v>
      </c>
      <c r="L292">
        <v>1966</v>
      </c>
      <c r="M292" s="1">
        <v>0.19836545252749471</v>
      </c>
      <c r="N292">
        <v>-1.48</v>
      </c>
      <c r="O292">
        <v>307</v>
      </c>
      <c r="P292" s="1">
        <v>0.17315284827975183</v>
      </c>
      <c r="Q292">
        <v>2284</v>
      </c>
      <c r="R292" s="1">
        <v>0.18776718184807628</v>
      </c>
      <c r="S292">
        <v>-2.54</v>
      </c>
      <c r="T292">
        <v>318</v>
      </c>
      <c r="U292" s="1">
        <v>0.1411451398135819</v>
      </c>
      <c r="V292">
        <v>2393</v>
      </c>
      <c r="W292" s="1">
        <v>0.18359674696946449</v>
      </c>
      <c r="X292">
        <v>-2.96</v>
      </c>
      <c r="Y292">
        <v>109</v>
      </c>
      <c r="Z292" s="1">
        <v>0.12528735632183907</v>
      </c>
      <c r="AA292">
        <v>2393</v>
      </c>
      <c r="AB292" s="1">
        <v>0.18345599509352958</v>
      </c>
      <c r="AC292">
        <v>-2.97</v>
      </c>
      <c r="AD292">
        <v>0</v>
      </c>
      <c r="AE292" s="1">
        <v>0</v>
      </c>
      <c r="AF292">
        <v>2406</v>
      </c>
      <c r="AG292" s="1">
        <v>0.18327239488117003</v>
      </c>
      <c r="AH292">
        <v>-2.99</v>
      </c>
      <c r="AI292">
        <v>13</v>
      </c>
      <c r="AJ292" s="1">
        <v>0.15476190476190477</v>
      </c>
    </row>
    <row r="293" spans="1:36" x14ac:dyDescent="0.3">
      <c r="A293" t="s">
        <v>242</v>
      </c>
      <c r="B293">
        <v>179165</v>
      </c>
      <c r="C293" t="s">
        <v>46</v>
      </c>
      <c r="D293" t="s">
        <v>399</v>
      </c>
      <c r="E293">
        <v>1836</v>
      </c>
      <c r="F293" s="1">
        <v>0.27329999999999999</v>
      </c>
      <c r="G293">
        <v>2305</v>
      </c>
      <c r="H293" s="1">
        <v>0.28320000000000001</v>
      </c>
      <c r="I293">
        <v>0.99</v>
      </c>
      <c r="J293">
        <v>469</v>
      </c>
      <c r="K293" s="1">
        <v>0.33030000000000004</v>
      </c>
      <c r="L293">
        <v>3031</v>
      </c>
      <c r="M293" s="1">
        <v>0.30582181414589849</v>
      </c>
      <c r="N293">
        <v>3.25</v>
      </c>
      <c r="O293">
        <v>726</v>
      </c>
      <c r="P293" s="1">
        <v>0.40947546531302875</v>
      </c>
      <c r="Q293">
        <v>3712</v>
      </c>
      <c r="R293" s="1">
        <v>0.30516277540282799</v>
      </c>
      <c r="S293">
        <v>3.19</v>
      </c>
      <c r="T293">
        <v>681</v>
      </c>
      <c r="U293" s="1">
        <v>0.3022636484687084</v>
      </c>
      <c r="V293">
        <v>3951</v>
      </c>
      <c r="W293" s="1">
        <v>0.30313027466625747</v>
      </c>
      <c r="X293">
        <v>2.98</v>
      </c>
      <c r="Y293">
        <v>239</v>
      </c>
      <c r="Z293" s="1">
        <v>0.27471264367816089</v>
      </c>
      <c r="AA293">
        <v>3954</v>
      </c>
      <c r="AB293" s="1">
        <v>0.30312787488500459</v>
      </c>
      <c r="AC293">
        <v>2.98</v>
      </c>
      <c r="AD293">
        <v>3</v>
      </c>
      <c r="AE293" s="1">
        <v>0.3</v>
      </c>
      <c r="AF293">
        <v>3992</v>
      </c>
      <c r="AG293" s="1">
        <v>0.30408287629494213</v>
      </c>
      <c r="AH293">
        <v>3.08</v>
      </c>
      <c r="AI293">
        <v>38</v>
      </c>
      <c r="AJ293" s="1">
        <v>0.45238095238095238</v>
      </c>
    </row>
    <row r="294" spans="1:36" x14ac:dyDescent="0.3">
      <c r="A294" t="s">
        <v>242</v>
      </c>
      <c r="B294">
        <v>179165</v>
      </c>
      <c r="C294" t="s">
        <v>402</v>
      </c>
      <c r="E294">
        <v>14</v>
      </c>
      <c r="F294" s="1">
        <v>2.0999999999999999E-3</v>
      </c>
      <c r="G294">
        <v>15</v>
      </c>
      <c r="H294" s="1">
        <v>1.8E-3</v>
      </c>
      <c r="I294">
        <v>-0.03</v>
      </c>
      <c r="J294">
        <v>1</v>
      </c>
      <c r="K294" s="1">
        <v>7.000000000000001E-4</v>
      </c>
      <c r="L294">
        <v>21</v>
      </c>
      <c r="M294" s="1">
        <v>2.1188578347290888E-3</v>
      </c>
      <c r="N294">
        <v>0</v>
      </c>
      <c r="O294">
        <v>6</v>
      </c>
      <c r="P294" s="1">
        <v>3.3840947546531302E-3</v>
      </c>
      <c r="Q294">
        <v>28</v>
      </c>
      <c r="R294" s="1">
        <v>2.3018743834265043E-3</v>
      </c>
      <c r="S294">
        <v>0.02</v>
      </c>
      <c r="T294">
        <v>7</v>
      </c>
      <c r="U294" s="1">
        <v>3.1069684864624943E-3</v>
      </c>
      <c r="V294">
        <v>31</v>
      </c>
      <c r="W294" s="1">
        <v>2.37839496700936E-3</v>
      </c>
      <c r="X294">
        <v>0.03</v>
      </c>
      <c r="Y294">
        <v>3</v>
      </c>
      <c r="Z294" s="1">
        <v>3.4482758620689655E-3</v>
      </c>
      <c r="AA294">
        <v>30</v>
      </c>
      <c r="AB294" s="1">
        <v>2.2999080036798527E-3</v>
      </c>
      <c r="AC294">
        <v>0.02</v>
      </c>
      <c r="AD294">
        <v>-1</v>
      </c>
      <c r="AE294" s="1">
        <v>-0.1</v>
      </c>
      <c r="AF294">
        <v>30</v>
      </c>
      <c r="AG294" s="1">
        <v>2.2851919561243145E-3</v>
      </c>
      <c r="AH294">
        <v>0.02</v>
      </c>
      <c r="AI294">
        <v>0</v>
      </c>
      <c r="AJ294" s="1">
        <v>0</v>
      </c>
    </row>
    <row r="295" spans="1:36" x14ac:dyDescent="0.3">
      <c r="A295" t="s">
        <v>242</v>
      </c>
      <c r="B295">
        <v>179165</v>
      </c>
      <c r="C295" t="s">
        <v>701</v>
      </c>
      <c r="E295">
        <v>15</v>
      </c>
      <c r="F295" s="1" t="s">
        <v>700</v>
      </c>
      <c r="G295">
        <v>17</v>
      </c>
      <c r="H295" s="1" t="s">
        <v>700</v>
      </c>
      <c r="I295" t="s">
        <v>700</v>
      </c>
      <c r="J295">
        <v>2</v>
      </c>
      <c r="K295" s="1" t="s">
        <v>700</v>
      </c>
      <c r="L295">
        <v>17</v>
      </c>
      <c r="M295" s="1" t="s">
        <v>700</v>
      </c>
      <c r="N295" t="s">
        <v>700</v>
      </c>
      <c r="O295">
        <v>0</v>
      </c>
      <c r="P295" s="1" t="s">
        <v>700</v>
      </c>
      <c r="Q295">
        <v>19</v>
      </c>
      <c r="R295" s="1" t="s">
        <v>700</v>
      </c>
      <c r="S295" t="s">
        <v>700</v>
      </c>
      <c r="T295">
        <v>2</v>
      </c>
      <c r="U295" s="1" t="s">
        <v>700</v>
      </c>
      <c r="V295">
        <v>16</v>
      </c>
      <c r="Y295">
        <v>-3</v>
      </c>
      <c r="AA295">
        <v>16</v>
      </c>
      <c r="AD295">
        <v>0</v>
      </c>
      <c r="AF295">
        <v>17</v>
      </c>
      <c r="AI295">
        <v>1</v>
      </c>
    </row>
    <row r="296" spans="1:36" x14ac:dyDescent="0.3">
      <c r="A296" t="s">
        <v>242</v>
      </c>
      <c r="B296">
        <v>179165</v>
      </c>
      <c r="C296" t="s">
        <v>702</v>
      </c>
      <c r="E296">
        <v>223</v>
      </c>
      <c r="F296" s="1" t="s">
        <v>700</v>
      </c>
      <c r="G296">
        <v>276</v>
      </c>
      <c r="H296" s="1" t="s">
        <v>700</v>
      </c>
      <c r="I296" t="s">
        <v>700</v>
      </c>
      <c r="J296">
        <v>53</v>
      </c>
      <c r="K296" s="1" t="s">
        <v>700</v>
      </c>
      <c r="L296">
        <v>329</v>
      </c>
      <c r="M296" s="1" t="s">
        <v>700</v>
      </c>
      <c r="N296" t="s">
        <v>700</v>
      </c>
      <c r="O296">
        <v>53</v>
      </c>
      <c r="P296" s="1" t="s">
        <v>700</v>
      </c>
      <c r="Q296">
        <v>400</v>
      </c>
      <c r="R296" s="1" t="s">
        <v>700</v>
      </c>
      <c r="S296" t="s">
        <v>700</v>
      </c>
      <c r="T296">
        <v>71</v>
      </c>
      <c r="U296" s="1" t="s">
        <v>700</v>
      </c>
      <c r="V296">
        <v>455</v>
      </c>
      <c r="Y296">
        <v>55</v>
      </c>
      <c r="AA296">
        <v>458</v>
      </c>
      <c r="AD296">
        <v>3</v>
      </c>
      <c r="AF296">
        <v>467</v>
      </c>
      <c r="AI296">
        <v>9</v>
      </c>
    </row>
    <row r="297" spans="1:36" x14ac:dyDescent="0.3">
      <c r="A297" t="s">
        <v>207</v>
      </c>
      <c r="B297">
        <v>174856</v>
      </c>
      <c r="C297" t="s">
        <v>699</v>
      </c>
      <c r="E297">
        <v>18260</v>
      </c>
      <c r="F297" s="1" t="s">
        <v>700</v>
      </c>
      <c r="G297">
        <v>22773</v>
      </c>
      <c r="H297" s="1" t="s">
        <v>700</v>
      </c>
      <c r="I297" t="s">
        <v>700</v>
      </c>
      <c r="J297">
        <v>4513</v>
      </c>
      <c r="K297" s="1" t="s">
        <v>700</v>
      </c>
      <c r="L297">
        <v>27043</v>
      </c>
      <c r="M297" s="1" t="s">
        <v>700</v>
      </c>
      <c r="N297" t="s">
        <v>700</v>
      </c>
      <c r="O297">
        <v>4270</v>
      </c>
      <c r="P297" s="1" t="s">
        <v>700</v>
      </c>
      <c r="Q297">
        <v>32163</v>
      </c>
      <c r="R297" s="1" t="s">
        <v>700</v>
      </c>
      <c r="S297" t="s">
        <v>700</v>
      </c>
      <c r="T297">
        <v>5120</v>
      </c>
      <c r="U297" s="1" t="s">
        <v>700</v>
      </c>
      <c r="V297">
        <v>32164</v>
      </c>
      <c r="Y297">
        <v>1</v>
      </c>
      <c r="AA297">
        <v>32182</v>
      </c>
      <c r="AD297">
        <v>18</v>
      </c>
      <c r="AF297">
        <v>32321</v>
      </c>
      <c r="AI297">
        <v>139</v>
      </c>
    </row>
    <row r="298" spans="1:36" x14ac:dyDescent="0.3">
      <c r="A298" t="s">
        <v>207</v>
      </c>
      <c r="B298">
        <v>174856</v>
      </c>
      <c r="C298" t="s">
        <v>418</v>
      </c>
      <c r="D298" t="s">
        <v>401</v>
      </c>
      <c r="E298">
        <v>13569</v>
      </c>
      <c r="F298" s="1">
        <v>0.95420000000000005</v>
      </c>
      <c r="G298">
        <v>16748</v>
      </c>
      <c r="H298" s="1">
        <v>0.95310000000000006</v>
      </c>
      <c r="I298">
        <v>-0.11</v>
      </c>
      <c r="J298">
        <v>3179</v>
      </c>
      <c r="K298" s="1">
        <v>0.94840000000000002</v>
      </c>
      <c r="L298">
        <v>19820</v>
      </c>
      <c r="M298" s="1">
        <v>0.9511925901041417</v>
      </c>
      <c r="N298">
        <v>-0.3</v>
      </c>
      <c r="O298">
        <v>3072</v>
      </c>
      <c r="P298" s="1">
        <v>0.94088820826952524</v>
      </c>
      <c r="Q298">
        <v>23612</v>
      </c>
      <c r="R298" s="1">
        <v>0.9531729371871468</v>
      </c>
      <c r="S298">
        <v>-0.1</v>
      </c>
      <c r="T298">
        <v>3792</v>
      </c>
      <c r="U298" s="1">
        <v>0.96365946632782717</v>
      </c>
      <c r="V298">
        <v>23613</v>
      </c>
      <c r="W298" s="1">
        <v>0.95317482743309245</v>
      </c>
      <c r="X298">
        <v>-0.1</v>
      </c>
      <c r="Y298">
        <v>1</v>
      </c>
      <c r="Z298" s="1">
        <v>1</v>
      </c>
      <c r="AA298">
        <v>23627</v>
      </c>
      <c r="AB298" s="1">
        <v>0.95320127486182271</v>
      </c>
      <c r="AC298">
        <v>-0.1</v>
      </c>
      <c r="AD298">
        <v>14</v>
      </c>
      <c r="AE298" s="1">
        <v>1</v>
      </c>
      <c r="AF298">
        <v>23718</v>
      </c>
      <c r="AG298" s="1">
        <v>0.9531042796865582</v>
      </c>
      <c r="AH298">
        <v>-0.11</v>
      </c>
      <c r="AI298">
        <v>91</v>
      </c>
      <c r="AJ298" s="1">
        <v>0.9285714285714286</v>
      </c>
    </row>
    <row r="299" spans="1:36" x14ac:dyDescent="0.3">
      <c r="A299" t="s">
        <v>207</v>
      </c>
      <c r="B299">
        <v>174856</v>
      </c>
      <c r="C299" t="s">
        <v>402</v>
      </c>
      <c r="E299">
        <v>651</v>
      </c>
      <c r="F299" s="1">
        <v>4.58E-2</v>
      </c>
      <c r="G299">
        <v>824</v>
      </c>
      <c r="H299" s="1">
        <v>4.6900000000000004E-2</v>
      </c>
      <c r="I299">
        <v>0.11</v>
      </c>
      <c r="J299">
        <v>173</v>
      </c>
      <c r="K299" s="1">
        <v>5.16E-2</v>
      </c>
      <c r="L299">
        <v>1017</v>
      </c>
      <c r="M299" s="1">
        <v>4.8807409895858328E-2</v>
      </c>
      <c r="N299">
        <v>0.3</v>
      </c>
      <c r="O299">
        <v>193</v>
      </c>
      <c r="P299" s="1">
        <v>5.9111791730474733E-2</v>
      </c>
      <c r="Q299">
        <v>1160</v>
      </c>
      <c r="R299" s="1">
        <v>4.6827062812853218E-2</v>
      </c>
      <c r="S299">
        <v>0.1</v>
      </c>
      <c r="T299">
        <v>143</v>
      </c>
      <c r="U299" s="1">
        <v>3.6340533672172805E-2</v>
      </c>
      <c r="V299">
        <v>1160</v>
      </c>
      <c r="W299" s="1">
        <v>4.6825172566907519E-2</v>
      </c>
      <c r="X299">
        <v>0.1</v>
      </c>
      <c r="Y299">
        <v>0</v>
      </c>
      <c r="Z299" s="1">
        <v>0</v>
      </c>
      <c r="AA299">
        <v>1160</v>
      </c>
      <c r="AB299" s="1">
        <v>4.6798725138177268E-2</v>
      </c>
      <c r="AC299">
        <v>0.1</v>
      </c>
      <c r="AD299">
        <v>0</v>
      </c>
      <c r="AE299" s="1">
        <v>0</v>
      </c>
      <c r="AF299">
        <v>1167</v>
      </c>
      <c r="AG299" s="1">
        <v>4.689572031344183E-2</v>
      </c>
      <c r="AH299">
        <v>0.11</v>
      </c>
      <c r="AI299">
        <v>7</v>
      </c>
      <c r="AJ299" s="1">
        <v>7.1428571428571425E-2</v>
      </c>
    </row>
    <row r="300" spans="1:36" x14ac:dyDescent="0.3">
      <c r="A300" t="s">
        <v>207</v>
      </c>
      <c r="B300">
        <v>174856</v>
      </c>
      <c r="C300" t="s">
        <v>701</v>
      </c>
      <c r="E300">
        <v>2</v>
      </c>
      <c r="F300" s="1" t="s">
        <v>700</v>
      </c>
      <c r="G300">
        <v>3</v>
      </c>
      <c r="H300" s="1" t="s">
        <v>700</v>
      </c>
      <c r="I300" t="s">
        <v>700</v>
      </c>
      <c r="J300">
        <v>1</v>
      </c>
      <c r="K300" s="1" t="s">
        <v>700</v>
      </c>
      <c r="L300">
        <v>3</v>
      </c>
      <c r="M300" s="1" t="s">
        <v>700</v>
      </c>
      <c r="N300" t="s">
        <v>700</v>
      </c>
      <c r="O300">
        <v>0</v>
      </c>
      <c r="P300" s="1" t="s">
        <v>700</v>
      </c>
      <c r="Q300">
        <v>2</v>
      </c>
      <c r="R300" s="1" t="s">
        <v>700</v>
      </c>
      <c r="S300" t="s">
        <v>700</v>
      </c>
      <c r="T300">
        <v>-1</v>
      </c>
      <c r="U300" s="1" t="s">
        <v>700</v>
      </c>
      <c r="V300">
        <v>1</v>
      </c>
      <c r="Y300">
        <v>-1</v>
      </c>
      <c r="AA300">
        <v>1</v>
      </c>
      <c r="AD300">
        <v>0</v>
      </c>
      <c r="AF300">
        <v>1</v>
      </c>
      <c r="AI300">
        <v>0</v>
      </c>
    </row>
    <row r="301" spans="1:36" x14ac:dyDescent="0.3">
      <c r="A301" t="s">
        <v>207</v>
      </c>
      <c r="B301">
        <v>174856</v>
      </c>
      <c r="C301" t="s">
        <v>702</v>
      </c>
      <c r="E301">
        <v>4038</v>
      </c>
      <c r="F301" s="1" t="s">
        <v>700</v>
      </c>
      <c r="G301">
        <v>5198</v>
      </c>
      <c r="H301" s="1" t="s">
        <v>700</v>
      </c>
      <c r="I301" t="s">
        <v>700</v>
      </c>
      <c r="J301">
        <v>1160</v>
      </c>
      <c r="K301" s="1" t="s">
        <v>700</v>
      </c>
      <c r="L301">
        <v>6203</v>
      </c>
      <c r="M301" s="1" t="s">
        <v>700</v>
      </c>
      <c r="N301" t="s">
        <v>700</v>
      </c>
      <c r="O301">
        <v>1005</v>
      </c>
      <c r="P301" s="1" t="s">
        <v>700</v>
      </c>
      <c r="Q301">
        <v>7389</v>
      </c>
      <c r="R301" s="1" t="s">
        <v>700</v>
      </c>
      <c r="S301" t="s">
        <v>700</v>
      </c>
      <c r="T301">
        <v>1186</v>
      </c>
      <c r="U301" s="1" t="s">
        <v>700</v>
      </c>
      <c r="V301">
        <v>7390</v>
      </c>
      <c r="Y301">
        <v>1</v>
      </c>
      <c r="AA301">
        <v>7394</v>
      </c>
      <c r="AD301">
        <v>4</v>
      </c>
      <c r="AF301">
        <v>7435</v>
      </c>
      <c r="AI301">
        <v>41</v>
      </c>
    </row>
    <row r="302" spans="1:36" x14ac:dyDescent="0.3">
      <c r="A302" t="s">
        <v>208</v>
      </c>
      <c r="B302">
        <v>175563</v>
      </c>
      <c r="C302" t="s">
        <v>699</v>
      </c>
      <c r="E302">
        <v>18260</v>
      </c>
      <c r="F302" s="1" t="s">
        <v>700</v>
      </c>
      <c r="G302">
        <v>22773</v>
      </c>
      <c r="H302" s="1" t="s">
        <v>700</v>
      </c>
      <c r="I302" t="s">
        <v>700</v>
      </c>
      <c r="J302">
        <v>4513</v>
      </c>
      <c r="K302" s="1" t="s">
        <v>700</v>
      </c>
      <c r="L302">
        <v>27043</v>
      </c>
      <c r="M302" s="1" t="s">
        <v>700</v>
      </c>
      <c r="N302" t="s">
        <v>700</v>
      </c>
      <c r="O302">
        <v>4270</v>
      </c>
      <c r="P302" s="1" t="s">
        <v>700</v>
      </c>
      <c r="Q302">
        <v>32163</v>
      </c>
      <c r="R302" s="1" t="s">
        <v>700</v>
      </c>
      <c r="S302" t="s">
        <v>700</v>
      </c>
      <c r="T302">
        <v>5120</v>
      </c>
      <c r="U302" s="1" t="s">
        <v>700</v>
      </c>
      <c r="V302">
        <v>32164</v>
      </c>
      <c r="Y302">
        <v>1</v>
      </c>
      <c r="AA302">
        <v>32182</v>
      </c>
      <c r="AD302">
        <v>18</v>
      </c>
      <c r="AF302">
        <v>32321</v>
      </c>
      <c r="AI302">
        <v>139</v>
      </c>
    </row>
    <row r="303" spans="1:36" x14ac:dyDescent="0.3">
      <c r="A303" t="s">
        <v>208</v>
      </c>
      <c r="B303">
        <v>175563</v>
      </c>
      <c r="C303" t="s">
        <v>517</v>
      </c>
      <c r="D303" t="s">
        <v>401</v>
      </c>
      <c r="E303">
        <v>11776</v>
      </c>
      <c r="F303" s="1">
        <v>0.66930000000000012</v>
      </c>
      <c r="G303">
        <v>14595</v>
      </c>
      <c r="H303" s="1">
        <v>0.6653</v>
      </c>
      <c r="I303">
        <v>-0.4</v>
      </c>
      <c r="J303">
        <v>2819</v>
      </c>
      <c r="K303" s="1">
        <v>0.64879999999999993</v>
      </c>
      <c r="L303">
        <v>17300</v>
      </c>
      <c r="M303" s="1">
        <v>0.66385264773599384</v>
      </c>
      <c r="N303">
        <v>-0.54</v>
      </c>
      <c r="O303">
        <v>2705</v>
      </c>
      <c r="P303" s="1">
        <v>0.65639407910701286</v>
      </c>
      <c r="Q303">
        <v>20814</v>
      </c>
      <c r="R303" s="1">
        <v>0.67183112230076503</v>
      </c>
      <c r="S303">
        <v>0.25</v>
      </c>
      <c r="T303">
        <v>3514</v>
      </c>
      <c r="U303" s="1">
        <v>0.71408250355618774</v>
      </c>
      <c r="V303">
        <v>20815</v>
      </c>
      <c r="W303" s="1">
        <v>0.67182003033921833</v>
      </c>
      <c r="X303">
        <v>0.25</v>
      </c>
      <c r="Y303">
        <v>1</v>
      </c>
      <c r="Z303" s="1">
        <v>0.5</v>
      </c>
      <c r="AA303">
        <v>20827</v>
      </c>
      <c r="AB303" s="1">
        <v>0.67181703816005933</v>
      </c>
      <c r="AC303">
        <v>0.25</v>
      </c>
      <c r="AD303">
        <v>12</v>
      </c>
      <c r="AE303" s="1">
        <v>0.66666666666666663</v>
      </c>
      <c r="AF303">
        <v>20900</v>
      </c>
      <c r="AG303" s="1">
        <v>0.67146437062263065</v>
      </c>
      <c r="AH303">
        <v>0.22</v>
      </c>
      <c r="AI303">
        <v>73</v>
      </c>
      <c r="AJ303" s="1">
        <v>0.58399999999999996</v>
      </c>
    </row>
    <row r="304" spans="1:36" x14ac:dyDescent="0.3">
      <c r="A304" t="s">
        <v>208</v>
      </c>
      <c r="B304">
        <v>175563</v>
      </c>
      <c r="C304" t="s">
        <v>518</v>
      </c>
      <c r="D304" t="s">
        <v>399</v>
      </c>
      <c r="E304">
        <v>5785</v>
      </c>
      <c r="F304" s="1">
        <v>0.32880000000000004</v>
      </c>
      <c r="G304">
        <v>7296</v>
      </c>
      <c r="H304" s="1">
        <v>0.33260000000000001</v>
      </c>
      <c r="I304">
        <v>0.38</v>
      </c>
      <c r="J304">
        <v>1511</v>
      </c>
      <c r="K304" s="1">
        <v>0.3478</v>
      </c>
      <c r="L304">
        <v>8699</v>
      </c>
      <c r="M304" s="1">
        <v>0.33380660015349195</v>
      </c>
      <c r="N304">
        <v>0.5</v>
      </c>
      <c r="O304">
        <v>1403</v>
      </c>
      <c r="P304" s="1">
        <v>0.34045134676049504</v>
      </c>
      <c r="Q304">
        <v>10100</v>
      </c>
      <c r="R304" s="1">
        <v>0.32600626190245635</v>
      </c>
      <c r="S304">
        <v>-0.28000000000000003</v>
      </c>
      <c r="T304">
        <v>1401</v>
      </c>
      <c r="U304" s="1">
        <v>0.28469823206665312</v>
      </c>
      <c r="V304">
        <v>10101</v>
      </c>
      <c r="W304" s="1">
        <v>0.32601749346415776</v>
      </c>
      <c r="X304">
        <v>-0.28000000000000003</v>
      </c>
      <c r="Y304">
        <v>1</v>
      </c>
      <c r="Z304" s="1">
        <v>0.5</v>
      </c>
      <c r="AA304">
        <v>10107</v>
      </c>
      <c r="AB304" s="1">
        <v>0.32602174123415373</v>
      </c>
      <c r="AC304">
        <v>-0.28000000000000003</v>
      </c>
      <c r="AD304">
        <v>6</v>
      </c>
      <c r="AE304" s="1">
        <v>0.33333333333333331</v>
      </c>
      <c r="AF304">
        <v>10159</v>
      </c>
      <c r="AG304" s="1">
        <v>0.32638308809355521</v>
      </c>
      <c r="AH304">
        <v>-0.24</v>
      </c>
      <c r="AI304">
        <v>52</v>
      </c>
      <c r="AJ304" s="1">
        <v>0.41599999999999998</v>
      </c>
    </row>
    <row r="305" spans="1:36" x14ac:dyDescent="0.3">
      <c r="A305" t="s">
        <v>208</v>
      </c>
      <c r="B305">
        <v>175563</v>
      </c>
      <c r="C305" t="s">
        <v>402</v>
      </c>
      <c r="E305">
        <v>33</v>
      </c>
      <c r="F305" s="1">
        <v>1.9E-3</v>
      </c>
      <c r="G305">
        <v>48</v>
      </c>
      <c r="H305" s="1">
        <v>2.2000000000000001E-3</v>
      </c>
      <c r="I305">
        <v>0.03</v>
      </c>
      <c r="J305">
        <v>15</v>
      </c>
      <c r="K305" s="1">
        <v>3.4999999999999996E-3</v>
      </c>
      <c r="L305">
        <v>61</v>
      </c>
      <c r="M305" s="1">
        <v>2.3407521105141978E-3</v>
      </c>
      <c r="N305">
        <v>0.04</v>
      </c>
      <c r="O305">
        <v>13</v>
      </c>
      <c r="P305" s="1">
        <v>3.1545741324921135E-3</v>
      </c>
      <c r="Q305">
        <v>67</v>
      </c>
      <c r="R305" s="1">
        <v>2.1626157967786709E-3</v>
      </c>
      <c r="S305">
        <v>0.03</v>
      </c>
      <c r="T305">
        <v>6</v>
      </c>
      <c r="U305" s="1">
        <v>1.2192643771591139E-3</v>
      </c>
      <c r="V305">
        <v>67</v>
      </c>
      <c r="W305" s="1">
        <v>2.1624761966239549E-3</v>
      </c>
      <c r="X305">
        <v>0.03</v>
      </c>
      <c r="Y305">
        <v>0</v>
      </c>
      <c r="Z305" s="1">
        <v>0</v>
      </c>
      <c r="AA305">
        <v>67</v>
      </c>
      <c r="AB305" s="1">
        <v>2.1612206057869099E-3</v>
      </c>
      <c r="AC305">
        <v>0.03</v>
      </c>
      <c r="AD305">
        <v>0</v>
      </c>
      <c r="AE305" s="1">
        <v>0</v>
      </c>
      <c r="AF305">
        <v>67</v>
      </c>
      <c r="AG305" s="1">
        <v>2.1525412838141749E-3</v>
      </c>
      <c r="AH305">
        <v>0.03</v>
      </c>
      <c r="AI305">
        <v>0</v>
      </c>
      <c r="AJ305" s="1">
        <v>0</v>
      </c>
    </row>
    <row r="306" spans="1:36" x14ac:dyDescent="0.3">
      <c r="A306" t="s">
        <v>208</v>
      </c>
      <c r="B306">
        <v>175563</v>
      </c>
      <c r="C306" t="s">
        <v>701</v>
      </c>
      <c r="E306">
        <v>2</v>
      </c>
      <c r="F306" s="1" t="s">
        <v>700</v>
      </c>
      <c r="G306">
        <v>2</v>
      </c>
      <c r="H306" s="1" t="s">
        <v>700</v>
      </c>
      <c r="I306" t="s">
        <v>700</v>
      </c>
      <c r="J306">
        <v>0</v>
      </c>
      <c r="K306" s="1" t="s">
        <v>700</v>
      </c>
      <c r="L306">
        <v>2</v>
      </c>
      <c r="M306" s="1" t="s">
        <v>700</v>
      </c>
      <c r="N306" t="s">
        <v>700</v>
      </c>
      <c r="O306">
        <v>0</v>
      </c>
      <c r="P306" s="1" t="s">
        <v>700</v>
      </c>
      <c r="Q306">
        <v>3</v>
      </c>
      <c r="R306" s="1" t="s">
        <v>700</v>
      </c>
      <c r="S306" t="s">
        <v>700</v>
      </c>
      <c r="T306">
        <v>1</v>
      </c>
      <c r="U306" s="1" t="s">
        <v>700</v>
      </c>
      <c r="V306">
        <v>1</v>
      </c>
      <c r="Y306">
        <v>-2</v>
      </c>
      <c r="AA306">
        <v>1</v>
      </c>
      <c r="AD306">
        <v>0</v>
      </c>
      <c r="AF306">
        <v>1</v>
      </c>
      <c r="AI306">
        <v>0</v>
      </c>
    </row>
    <row r="307" spans="1:36" x14ac:dyDescent="0.3">
      <c r="A307" t="s">
        <v>208</v>
      </c>
      <c r="B307">
        <v>175563</v>
      </c>
      <c r="C307" t="s">
        <v>702</v>
      </c>
      <c r="E307">
        <v>664</v>
      </c>
      <c r="F307" s="1" t="s">
        <v>700</v>
      </c>
      <c r="G307">
        <v>832</v>
      </c>
      <c r="H307" s="1" t="s">
        <v>700</v>
      </c>
      <c r="I307" t="s">
        <v>700</v>
      </c>
      <c r="J307">
        <v>168</v>
      </c>
      <c r="K307" s="1" t="s">
        <v>700</v>
      </c>
      <c r="L307">
        <v>981</v>
      </c>
      <c r="M307" s="1" t="s">
        <v>700</v>
      </c>
      <c r="N307" t="s">
        <v>700</v>
      </c>
      <c r="O307">
        <v>149</v>
      </c>
      <c r="P307" s="1" t="s">
        <v>700</v>
      </c>
      <c r="Q307">
        <v>1179</v>
      </c>
      <c r="R307" s="1" t="s">
        <v>700</v>
      </c>
      <c r="S307" t="s">
        <v>700</v>
      </c>
      <c r="T307">
        <v>198</v>
      </c>
      <c r="U307" s="1" t="s">
        <v>700</v>
      </c>
      <c r="V307">
        <v>1180</v>
      </c>
      <c r="Y307">
        <v>1</v>
      </c>
      <c r="AA307">
        <v>1180</v>
      </c>
      <c r="AD307">
        <v>0</v>
      </c>
      <c r="AF307">
        <v>1194</v>
      </c>
      <c r="AI307">
        <v>14</v>
      </c>
    </row>
    <row r="308" spans="1:36" x14ac:dyDescent="0.3">
      <c r="A308" t="s">
        <v>209</v>
      </c>
      <c r="B308">
        <v>181651</v>
      </c>
      <c r="C308" t="s">
        <v>699</v>
      </c>
      <c r="E308">
        <v>18260</v>
      </c>
      <c r="F308" s="1" t="s">
        <v>700</v>
      </c>
      <c r="G308">
        <v>22773</v>
      </c>
      <c r="H308" s="1" t="s">
        <v>700</v>
      </c>
      <c r="I308" t="s">
        <v>700</v>
      </c>
      <c r="J308">
        <v>4513</v>
      </c>
      <c r="K308" s="1" t="s">
        <v>700</v>
      </c>
      <c r="L308">
        <v>27043</v>
      </c>
      <c r="M308" s="1" t="s">
        <v>700</v>
      </c>
      <c r="N308" t="s">
        <v>700</v>
      </c>
      <c r="O308">
        <v>4270</v>
      </c>
      <c r="P308" s="1" t="s">
        <v>700</v>
      </c>
      <c r="Q308">
        <v>32163</v>
      </c>
      <c r="R308" s="1" t="s">
        <v>700</v>
      </c>
      <c r="S308" t="s">
        <v>700</v>
      </c>
      <c r="T308">
        <v>5120</v>
      </c>
      <c r="U308" s="1" t="s">
        <v>700</v>
      </c>
      <c r="V308">
        <v>32164</v>
      </c>
      <c r="Y308">
        <v>1</v>
      </c>
      <c r="AA308">
        <v>32182</v>
      </c>
      <c r="AD308">
        <v>18</v>
      </c>
      <c r="AF308">
        <v>32321</v>
      </c>
      <c r="AI308">
        <v>139</v>
      </c>
    </row>
    <row r="309" spans="1:36" x14ac:dyDescent="0.3">
      <c r="A309" t="s">
        <v>209</v>
      </c>
      <c r="B309">
        <v>181651</v>
      </c>
      <c r="C309" t="s">
        <v>519</v>
      </c>
      <c r="D309" t="s">
        <v>401</v>
      </c>
      <c r="E309">
        <v>8271</v>
      </c>
      <c r="F309" s="1">
        <v>0.48149999999999998</v>
      </c>
      <c r="G309">
        <v>10302</v>
      </c>
      <c r="H309" s="1">
        <v>0.48039999999999999</v>
      </c>
      <c r="I309">
        <v>-0.11</v>
      </c>
      <c r="J309">
        <v>2031</v>
      </c>
      <c r="K309" s="1">
        <v>0.47590000000000005</v>
      </c>
      <c r="L309">
        <v>12191</v>
      </c>
      <c r="M309" s="1">
        <v>0.47834104998822885</v>
      </c>
      <c r="N309">
        <v>-0.32</v>
      </c>
      <c r="O309">
        <v>1889</v>
      </c>
      <c r="P309" s="1">
        <v>0.4675742574257426</v>
      </c>
      <c r="Q309">
        <v>14652</v>
      </c>
      <c r="R309" s="1">
        <v>0.48386777187014962</v>
      </c>
      <c r="S309">
        <v>0.24</v>
      </c>
      <c r="T309">
        <v>2461</v>
      </c>
      <c r="U309" s="1">
        <v>0.51324296141814385</v>
      </c>
      <c r="V309">
        <v>14656</v>
      </c>
      <c r="W309" s="1">
        <v>0.4839199630192168</v>
      </c>
      <c r="X309">
        <v>0.24</v>
      </c>
      <c r="Y309">
        <v>4</v>
      </c>
      <c r="Z309" s="1">
        <v>0.8</v>
      </c>
      <c r="AA309">
        <v>14664</v>
      </c>
      <c r="AB309" s="1">
        <v>0.48391248391248393</v>
      </c>
      <c r="AC309">
        <v>0.24</v>
      </c>
      <c r="AD309">
        <v>8</v>
      </c>
      <c r="AE309" s="1">
        <v>0.47058823529411764</v>
      </c>
      <c r="AF309">
        <v>14710</v>
      </c>
      <c r="AG309" s="1">
        <v>0.48348397699260476</v>
      </c>
      <c r="AH309">
        <v>0.2</v>
      </c>
      <c r="AI309">
        <v>46</v>
      </c>
      <c r="AJ309" s="1">
        <v>0.37704918032786883</v>
      </c>
    </row>
    <row r="310" spans="1:36" x14ac:dyDescent="0.3">
      <c r="A310" t="s">
        <v>209</v>
      </c>
      <c r="B310">
        <v>181651</v>
      </c>
      <c r="C310" t="s">
        <v>520</v>
      </c>
      <c r="D310" t="s">
        <v>401</v>
      </c>
      <c r="E310">
        <v>3666</v>
      </c>
      <c r="F310" s="1">
        <v>0.21340000000000001</v>
      </c>
      <c r="G310">
        <v>4534</v>
      </c>
      <c r="H310" s="1">
        <v>0.2114</v>
      </c>
      <c r="I310">
        <v>-0.2</v>
      </c>
      <c r="J310">
        <v>868</v>
      </c>
      <c r="K310" s="1">
        <v>0.2034</v>
      </c>
      <c r="L310">
        <v>5370</v>
      </c>
      <c r="M310" s="1">
        <v>0.21070391587538256</v>
      </c>
      <c r="N310">
        <v>-0.27</v>
      </c>
      <c r="O310">
        <v>836</v>
      </c>
      <c r="P310" s="1">
        <v>0.20693069306930692</v>
      </c>
      <c r="Q310">
        <v>6415</v>
      </c>
      <c r="R310" s="1">
        <v>0.21184901423334765</v>
      </c>
      <c r="S310">
        <v>-0.16</v>
      </c>
      <c r="T310">
        <v>1045</v>
      </c>
      <c r="U310" s="1">
        <v>0.21793534932221065</v>
      </c>
      <c r="V310">
        <v>6415</v>
      </c>
      <c r="W310" s="1">
        <v>0.21181403949019348</v>
      </c>
      <c r="X310">
        <v>-0.16</v>
      </c>
      <c r="Y310">
        <v>0</v>
      </c>
      <c r="Z310" s="1">
        <v>0</v>
      </c>
      <c r="AA310">
        <v>6418</v>
      </c>
      <c r="AB310" s="1">
        <v>0.21179421179421179</v>
      </c>
      <c r="AC310">
        <v>-0.16</v>
      </c>
      <c r="AD310">
        <v>3</v>
      </c>
      <c r="AE310" s="1">
        <v>0.17647058823529413</v>
      </c>
      <c r="AF310">
        <v>6448</v>
      </c>
      <c r="AG310" s="1">
        <v>0.21193097781429746</v>
      </c>
      <c r="AH310">
        <v>-0.15</v>
      </c>
      <c r="AI310">
        <v>30</v>
      </c>
      <c r="AJ310" s="1">
        <v>0.24590163934426229</v>
      </c>
    </row>
    <row r="311" spans="1:36" x14ac:dyDescent="0.3">
      <c r="A311" t="s">
        <v>209</v>
      </c>
      <c r="B311">
        <v>181651</v>
      </c>
      <c r="C311" t="s">
        <v>521</v>
      </c>
      <c r="D311" t="s">
        <v>522</v>
      </c>
      <c r="E311">
        <v>5170</v>
      </c>
      <c r="F311" s="1">
        <v>0.30099999999999999</v>
      </c>
      <c r="G311">
        <v>6518</v>
      </c>
      <c r="H311" s="1">
        <v>0.3039</v>
      </c>
      <c r="I311">
        <v>0.28999999999999998</v>
      </c>
      <c r="J311">
        <v>1348</v>
      </c>
      <c r="K311" s="1">
        <v>0.31579999999999997</v>
      </c>
      <c r="L311">
        <v>7806</v>
      </c>
      <c r="M311" s="1">
        <v>0.30628580397080751</v>
      </c>
      <c r="N311">
        <v>0.53</v>
      </c>
      <c r="O311">
        <v>1288</v>
      </c>
      <c r="P311" s="1">
        <v>0.31881188118811882</v>
      </c>
      <c r="Q311">
        <v>9083</v>
      </c>
      <c r="R311" s="1">
        <v>0.29995706878900963</v>
      </c>
      <c r="S311">
        <v>-0.1</v>
      </c>
      <c r="T311">
        <v>1277</v>
      </c>
      <c r="U311" s="1">
        <v>0.26631908237747653</v>
      </c>
      <c r="V311">
        <v>9084</v>
      </c>
      <c r="W311" s="1">
        <v>0.29994056659842833</v>
      </c>
      <c r="X311">
        <v>-0.11</v>
      </c>
      <c r="Y311">
        <v>1</v>
      </c>
      <c r="Z311" s="1">
        <v>0.2</v>
      </c>
      <c r="AA311">
        <v>9090</v>
      </c>
      <c r="AB311" s="1">
        <v>0.29997029997029995</v>
      </c>
      <c r="AC311">
        <v>-0.1</v>
      </c>
      <c r="AD311">
        <v>6</v>
      </c>
      <c r="AE311" s="1">
        <v>0.35294117647058826</v>
      </c>
      <c r="AF311">
        <v>9136</v>
      </c>
      <c r="AG311" s="1">
        <v>0.30027937551355793</v>
      </c>
      <c r="AH311">
        <v>-7.0000000000000007E-2</v>
      </c>
      <c r="AI311">
        <v>46</v>
      </c>
      <c r="AJ311" s="1">
        <v>0.37704918032786883</v>
      </c>
    </row>
    <row r="312" spans="1:36" x14ac:dyDescent="0.3">
      <c r="A312" t="s">
        <v>209</v>
      </c>
      <c r="B312">
        <v>181651</v>
      </c>
      <c r="C312" t="s">
        <v>402</v>
      </c>
      <c r="E312">
        <v>71</v>
      </c>
      <c r="F312" s="1">
        <v>4.0999999999999995E-3</v>
      </c>
      <c r="G312">
        <v>92</v>
      </c>
      <c r="H312" s="1">
        <v>4.3E-3</v>
      </c>
      <c r="I312">
        <v>0.02</v>
      </c>
      <c r="J312">
        <v>21</v>
      </c>
      <c r="K312" s="1">
        <v>4.8999999999999998E-3</v>
      </c>
      <c r="L312">
        <v>119</v>
      </c>
      <c r="M312" s="1">
        <v>4.6692301655811034E-3</v>
      </c>
      <c r="N312">
        <v>0.06</v>
      </c>
      <c r="O312">
        <v>27</v>
      </c>
      <c r="P312" s="1">
        <v>6.683168316831683E-3</v>
      </c>
      <c r="Q312">
        <v>131</v>
      </c>
      <c r="R312" s="1">
        <v>4.3261451074931472E-3</v>
      </c>
      <c r="S312">
        <v>0.02</v>
      </c>
      <c r="T312">
        <v>12</v>
      </c>
      <c r="U312" s="1">
        <v>2.5026068821689261E-3</v>
      </c>
      <c r="V312">
        <v>131</v>
      </c>
      <c r="W312" s="1">
        <v>4.325430892161395E-3</v>
      </c>
      <c r="X312">
        <v>0.02</v>
      </c>
      <c r="Y312">
        <v>0</v>
      </c>
      <c r="Z312" s="1">
        <v>0</v>
      </c>
      <c r="AA312">
        <v>131</v>
      </c>
      <c r="AB312" s="1">
        <v>4.323004323004323E-3</v>
      </c>
      <c r="AC312">
        <v>0.02</v>
      </c>
      <c r="AD312">
        <v>0</v>
      </c>
      <c r="AE312" s="1">
        <v>0</v>
      </c>
      <c r="AF312">
        <v>131</v>
      </c>
      <c r="AG312" s="1">
        <v>4.3056696795398522E-3</v>
      </c>
      <c r="AH312">
        <v>0.02</v>
      </c>
      <c r="AI312">
        <v>0</v>
      </c>
      <c r="AJ312" s="1">
        <v>0</v>
      </c>
    </row>
    <row r="313" spans="1:36" x14ac:dyDescent="0.3">
      <c r="A313" t="s">
        <v>209</v>
      </c>
      <c r="B313">
        <v>181651</v>
      </c>
      <c r="C313" t="s">
        <v>701</v>
      </c>
      <c r="E313">
        <v>4</v>
      </c>
      <c r="F313" s="1" t="s">
        <v>700</v>
      </c>
      <c r="G313">
        <v>6</v>
      </c>
      <c r="H313" s="1" t="s">
        <v>700</v>
      </c>
      <c r="I313" t="s">
        <v>700</v>
      </c>
      <c r="J313">
        <v>2</v>
      </c>
      <c r="K313" s="1" t="s">
        <v>700</v>
      </c>
      <c r="L313">
        <v>6</v>
      </c>
      <c r="M313" s="1" t="s">
        <v>700</v>
      </c>
      <c r="N313" t="s">
        <v>700</v>
      </c>
      <c r="O313">
        <v>0</v>
      </c>
      <c r="P313" s="1" t="s">
        <v>700</v>
      </c>
      <c r="Q313">
        <v>11</v>
      </c>
      <c r="R313" s="1" t="s">
        <v>700</v>
      </c>
      <c r="S313" t="s">
        <v>700</v>
      </c>
      <c r="T313">
        <v>5</v>
      </c>
      <c r="U313" s="1" t="s">
        <v>700</v>
      </c>
      <c r="V313">
        <v>6</v>
      </c>
      <c r="Y313">
        <v>-5</v>
      </c>
      <c r="AA313">
        <v>6</v>
      </c>
      <c r="AD313">
        <v>0</v>
      </c>
      <c r="AF313">
        <v>6</v>
      </c>
      <c r="AI313">
        <v>0</v>
      </c>
    </row>
    <row r="314" spans="1:36" x14ac:dyDescent="0.3">
      <c r="A314" t="s">
        <v>209</v>
      </c>
      <c r="B314">
        <v>181651</v>
      </c>
      <c r="C314" t="s">
        <v>702</v>
      </c>
      <c r="E314">
        <v>1078</v>
      </c>
      <c r="F314" s="1" t="s">
        <v>700</v>
      </c>
      <c r="G314">
        <v>1321</v>
      </c>
      <c r="H314" s="1" t="s">
        <v>700</v>
      </c>
      <c r="I314" t="s">
        <v>700</v>
      </c>
      <c r="J314">
        <v>243</v>
      </c>
      <c r="K314" s="1" t="s">
        <v>700</v>
      </c>
      <c r="L314">
        <v>1551</v>
      </c>
      <c r="M314" s="1" t="s">
        <v>700</v>
      </c>
      <c r="N314" t="s">
        <v>700</v>
      </c>
      <c r="O314">
        <v>230</v>
      </c>
      <c r="P314" s="1" t="s">
        <v>700</v>
      </c>
      <c r="Q314">
        <v>1871</v>
      </c>
      <c r="R314" s="1" t="s">
        <v>700</v>
      </c>
      <c r="S314" t="s">
        <v>700</v>
      </c>
      <c r="T314">
        <v>320</v>
      </c>
      <c r="U314" s="1" t="s">
        <v>700</v>
      </c>
      <c r="V314">
        <v>1872</v>
      </c>
      <c r="Y314">
        <v>1</v>
      </c>
      <c r="AA314">
        <v>1873</v>
      </c>
      <c r="AD314">
        <v>1</v>
      </c>
      <c r="AF314">
        <v>1890</v>
      </c>
      <c r="AI314">
        <v>17</v>
      </c>
    </row>
    <row r="315" spans="1:36" x14ac:dyDescent="0.3">
      <c r="A315" t="s">
        <v>236</v>
      </c>
      <c r="B315">
        <v>174313</v>
      </c>
      <c r="C315" t="s">
        <v>699</v>
      </c>
      <c r="E315">
        <v>10595</v>
      </c>
      <c r="F315" s="1" t="s">
        <v>700</v>
      </c>
      <c r="G315">
        <v>14427</v>
      </c>
      <c r="H315" s="1" t="s">
        <v>700</v>
      </c>
      <c r="I315" t="s">
        <v>700</v>
      </c>
      <c r="J315">
        <v>3832</v>
      </c>
      <c r="K315" s="1" t="s">
        <v>700</v>
      </c>
      <c r="L315">
        <v>14805</v>
      </c>
      <c r="M315" s="1" t="s">
        <v>700</v>
      </c>
      <c r="N315" t="s">
        <v>700</v>
      </c>
      <c r="O315">
        <v>378</v>
      </c>
      <c r="P315" s="1" t="s">
        <v>700</v>
      </c>
      <c r="Q315">
        <v>19630</v>
      </c>
      <c r="R315" s="1" t="s">
        <v>700</v>
      </c>
      <c r="S315" t="s">
        <v>700</v>
      </c>
      <c r="T315">
        <v>4825</v>
      </c>
      <c r="U315" s="1" t="s">
        <v>700</v>
      </c>
      <c r="V315">
        <v>19698</v>
      </c>
      <c r="Y315">
        <v>68</v>
      </c>
      <c r="AA315">
        <v>19783</v>
      </c>
      <c r="AD315">
        <v>85</v>
      </c>
      <c r="AF315">
        <v>20303</v>
      </c>
      <c r="AI315">
        <v>520</v>
      </c>
    </row>
    <row r="316" spans="1:36" x14ac:dyDescent="0.3">
      <c r="A316" t="s">
        <v>236</v>
      </c>
      <c r="B316">
        <v>174313</v>
      </c>
      <c r="C316" t="s">
        <v>523</v>
      </c>
      <c r="D316" t="s">
        <v>401</v>
      </c>
      <c r="E316">
        <v>11977</v>
      </c>
      <c r="F316" s="1">
        <v>0.61570000000000003</v>
      </c>
      <c r="G316">
        <v>14166</v>
      </c>
      <c r="H316" s="1">
        <v>0.61109999999999998</v>
      </c>
      <c r="I316">
        <v>-0.46</v>
      </c>
      <c r="J316">
        <v>2189</v>
      </c>
      <c r="K316" s="1">
        <v>0.58689999999999998</v>
      </c>
      <c r="L316">
        <v>14400</v>
      </c>
      <c r="M316" s="1">
        <v>0.61149093379761343</v>
      </c>
      <c r="N316">
        <v>-0.42</v>
      </c>
      <c r="O316">
        <v>234</v>
      </c>
      <c r="P316" s="1">
        <v>0.63934426229508201</v>
      </c>
      <c r="Q316">
        <v>18539</v>
      </c>
      <c r="R316" s="1">
        <v>0.60324742938956133</v>
      </c>
      <c r="S316">
        <v>-1.25</v>
      </c>
      <c r="T316">
        <v>4139</v>
      </c>
      <c r="U316" s="1">
        <v>0.57622163441458996</v>
      </c>
      <c r="V316">
        <v>18601</v>
      </c>
      <c r="W316" s="1">
        <v>0.60367377405640477</v>
      </c>
      <c r="X316">
        <v>-1.2</v>
      </c>
      <c r="Y316">
        <v>62</v>
      </c>
      <c r="Z316" s="1">
        <v>0.76543209876543206</v>
      </c>
      <c r="AA316">
        <v>18644</v>
      </c>
      <c r="AB316" s="1">
        <v>0.60352194742975529</v>
      </c>
      <c r="AC316">
        <v>-1.22</v>
      </c>
      <c r="AD316">
        <v>43</v>
      </c>
      <c r="AE316" s="1">
        <v>0.54430379746835444</v>
      </c>
      <c r="AF316">
        <v>21367</v>
      </c>
      <c r="AG316" s="1">
        <v>0.60363872644574401</v>
      </c>
      <c r="AH316">
        <v>-1.21</v>
      </c>
      <c r="AI316">
        <v>2723</v>
      </c>
      <c r="AJ316" s="1">
        <v>0.60443951165371812</v>
      </c>
    </row>
    <row r="317" spans="1:36" x14ac:dyDescent="0.3">
      <c r="A317" t="s">
        <v>236</v>
      </c>
      <c r="B317">
        <v>174313</v>
      </c>
      <c r="C317" t="s">
        <v>524</v>
      </c>
      <c r="D317" t="s">
        <v>399</v>
      </c>
      <c r="E317">
        <v>7462</v>
      </c>
      <c r="F317" s="1">
        <v>0.3836</v>
      </c>
      <c r="G317">
        <v>9000</v>
      </c>
      <c r="H317" s="1">
        <v>0.38819999999999999</v>
      </c>
      <c r="I317">
        <v>0.46</v>
      </c>
      <c r="J317">
        <v>1538</v>
      </c>
      <c r="K317" s="1">
        <v>0.41229999999999994</v>
      </c>
      <c r="L317">
        <v>9131</v>
      </c>
      <c r="M317" s="1">
        <v>0.38774470253513948</v>
      </c>
      <c r="N317">
        <v>0.41</v>
      </c>
      <c r="O317">
        <v>131</v>
      </c>
      <c r="P317" s="1">
        <v>0.35792349726775957</v>
      </c>
      <c r="Q317">
        <v>12160</v>
      </c>
      <c r="R317" s="1">
        <v>0.3956787713132891</v>
      </c>
      <c r="S317">
        <v>1.21</v>
      </c>
      <c r="T317">
        <v>3029</v>
      </c>
      <c r="U317" s="1">
        <v>0.4216901016288459</v>
      </c>
      <c r="V317">
        <v>12178</v>
      </c>
      <c r="W317" s="1">
        <v>0.39522279557329698</v>
      </c>
      <c r="X317">
        <v>1.1599999999999999</v>
      </c>
      <c r="Y317">
        <v>18</v>
      </c>
      <c r="Z317" s="1">
        <v>0.22222222222222221</v>
      </c>
      <c r="AA317">
        <v>12219</v>
      </c>
      <c r="AB317" s="1">
        <v>0.3955392982001813</v>
      </c>
      <c r="AC317">
        <v>1.19</v>
      </c>
      <c r="AD317">
        <v>41</v>
      </c>
      <c r="AE317" s="1">
        <v>0.51898734177215189</v>
      </c>
      <c r="AF317">
        <v>13998</v>
      </c>
      <c r="AG317" s="1">
        <v>0.39545724213916433</v>
      </c>
      <c r="AH317">
        <v>1.19</v>
      </c>
      <c r="AI317">
        <v>1779</v>
      </c>
      <c r="AJ317" s="1">
        <v>0.39489456159822417</v>
      </c>
    </row>
    <row r="318" spans="1:36" x14ac:dyDescent="0.3">
      <c r="A318" t="s">
        <v>236</v>
      </c>
      <c r="B318">
        <v>174313</v>
      </c>
      <c r="C318" t="s">
        <v>402</v>
      </c>
      <c r="E318">
        <v>14</v>
      </c>
      <c r="F318" s="1">
        <v>7.000000000000001E-4</v>
      </c>
      <c r="G318">
        <v>17</v>
      </c>
      <c r="H318" s="1">
        <v>7.000000000000001E-4</v>
      </c>
      <c r="I318">
        <v>0</v>
      </c>
      <c r="J318">
        <v>3</v>
      </c>
      <c r="K318" s="1">
        <v>8.0000000000000004E-4</v>
      </c>
      <c r="L318">
        <v>18</v>
      </c>
      <c r="M318" s="1">
        <v>7.6436366724701686E-4</v>
      </c>
      <c r="N318">
        <v>0.01</v>
      </c>
      <c r="O318">
        <v>1</v>
      </c>
      <c r="P318" s="1">
        <v>2.7322404371584699E-3</v>
      </c>
      <c r="Q318">
        <v>33</v>
      </c>
      <c r="R318" s="1">
        <v>1.0737992971495509E-3</v>
      </c>
      <c r="S318">
        <v>0.04</v>
      </c>
      <c r="T318">
        <v>15</v>
      </c>
      <c r="U318" s="1">
        <v>2.0882639565641095E-3</v>
      </c>
      <c r="V318">
        <v>34</v>
      </c>
      <c r="W318" s="1">
        <v>1.1034303702982507E-3</v>
      </c>
      <c r="X318">
        <v>0.04</v>
      </c>
      <c r="Y318">
        <v>1</v>
      </c>
      <c r="Z318" s="1">
        <v>1.2345679012345678E-2</v>
      </c>
      <c r="AA318">
        <v>29</v>
      </c>
      <c r="AB318" s="1">
        <v>9.3875437006344688E-4</v>
      </c>
      <c r="AC318">
        <v>0.02</v>
      </c>
      <c r="AD318">
        <v>-5</v>
      </c>
      <c r="AE318" s="1">
        <v>-6.3291139240506333E-2</v>
      </c>
      <c r="AF318">
        <v>32</v>
      </c>
      <c r="AG318" s="1">
        <v>9.0403141509167448E-4</v>
      </c>
      <c r="AH318">
        <v>0.02</v>
      </c>
      <c r="AI318">
        <v>3</v>
      </c>
      <c r="AJ318" s="1">
        <v>6.659267480577136E-4</v>
      </c>
    </row>
    <row r="319" spans="1:36" x14ac:dyDescent="0.3">
      <c r="A319" t="s">
        <v>236</v>
      </c>
      <c r="B319">
        <v>174313</v>
      </c>
      <c r="C319" t="s">
        <v>701</v>
      </c>
      <c r="E319">
        <v>9</v>
      </c>
      <c r="F319" s="1" t="s">
        <v>700</v>
      </c>
      <c r="G319">
        <v>12</v>
      </c>
      <c r="H319" s="1" t="s">
        <v>700</v>
      </c>
      <c r="I319" t="s">
        <v>700</v>
      </c>
      <c r="J319">
        <v>3</v>
      </c>
      <c r="K319" s="1" t="s">
        <v>700</v>
      </c>
      <c r="L319">
        <v>12</v>
      </c>
      <c r="M319" s="1" t="s">
        <v>700</v>
      </c>
      <c r="N319" t="s">
        <v>700</v>
      </c>
      <c r="O319">
        <v>0</v>
      </c>
      <c r="P319" s="1" t="s">
        <v>700</v>
      </c>
      <c r="Q319">
        <v>17</v>
      </c>
      <c r="R319" s="1" t="s">
        <v>700</v>
      </c>
      <c r="S319" t="s">
        <v>700</v>
      </c>
      <c r="T319">
        <v>5</v>
      </c>
      <c r="U319" s="1" t="s">
        <v>700</v>
      </c>
      <c r="V319">
        <v>2</v>
      </c>
      <c r="Y319">
        <v>-15</v>
      </c>
      <c r="AA319">
        <v>2</v>
      </c>
      <c r="AD319">
        <v>0</v>
      </c>
      <c r="AF319">
        <v>2</v>
      </c>
      <c r="AI319">
        <v>0</v>
      </c>
    </row>
    <row r="320" spans="1:36" x14ac:dyDescent="0.3">
      <c r="A320" t="s">
        <v>236</v>
      </c>
      <c r="B320">
        <v>174313</v>
      </c>
      <c r="C320" t="s">
        <v>702</v>
      </c>
      <c r="E320">
        <v>408</v>
      </c>
      <c r="F320" s="1" t="s">
        <v>700</v>
      </c>
      <c r="G320">
        <v>507</v>
      </c>
      <c r="H320" s="1" t="s">
        <v>700</v>
      </c>
      <c r="I320" t="s">
        <v>700</v>
      </c>
      <c r="J320">
        <v>99</v>
      </c>
      <c r="K320" s="1" t="s">
        <v>700</v>
      </c>
      <c r="L320">
        <v>519</v>
      </c>
      <c r="M320" s="1" t="s">
        <v>700</v>
      </c>
      <c r="N320" t="s">
        <v>700</v>
      </c>
      <c r="O320">
        <v>12</v>
      </c>
      <c r="P320" s="1" t="s">
        <v>700</v>
      </c>
      <c r="Q320">
        <v>701</v>
      </c>
      <c r="R320" s="1" t="s">
        <v>700</v>
      </c>
      <c r="S320" t="s">
        <v>700</v>
      </c>
      <c r="T320">
        <v>182</v>
      </c>
      <c r="U320" s="1" t="s">
        <v>700</v>
      </c>
      <c r="V320">
        <v>703</v>
      </c>
      <c r="Y320">
        <v>2</v>
      </c>
      <c r="AA320">
        <v>709</v>
      </c>
      <c r="AD320">
        <v>6</v>
      </c>
      <c r="AF320">
        <v>813</v>
      </c>
      <c r="AI320">
        <v>104</v>
      </c>
    </row>
    <row r="321" spans="1:36" x14ac:dyDescent="0.3">
      <c r="A321" t="s">
        <v>237</v>
      </c>
      <c r="B321">
        <v>173194</v>
      </c>
      <c r="C321" t="s">
        <v>699</v>
      </c>
      <c r="E321">
        <v>10595</v>
      </c>
      <c r="F321" s="1" t="s">
        <v>700</v>
      </c>
      <c r="G321">
        <v>14427</v>
      </c>
      <c r="H321" s="1" t="s">
        <v>700</v>
      </c>
      <c r="I321" t="s">
        <v>700</v>
      </c>
      <c r="J321">
        <v>3832</v>
      </c>
      <c r="K321" s="1" t="s">
        <v>700</v>
      </c>
      <c r="L321">
        <v>14805</v>
      </c>
      <c r="M321" s="1" t="s">
        <v>700</v>
      </c>
      <c r="N321" t="s">
        <v>700</v>
      </c>
      <c r="O321">
        <v>378</v>
      </c>
      <c r="P321" s="1" t="s">
        <v>700</v>
      </c>
      <c r="Q321">
        <v>19630</v>
      </c>
      <c r="R321" s="1" t="s">
        <v>700</v>
      </c>
      <c r="S321" t="s">
        <v>700</v>
      </c>
      <c r="T321">
        <v>4825</v>
      </c>
      <c r="U321" s="1" t="s">
        <v>700</v>
      </c>
      <c r="V321">
        <v>19698</v>
      </c>
      <c r="Y321">
        <v>68</v>
      </c>
      <c r="AA321">
        <v>19783</v>
      </c>
      <c r="AD321">
        <v>85</v>
      </c>
      <c r="AF321">
        <v>20303</v>
      </c>
      <c r="AI321">
        <v>520</v>
      </c>
    </row>
    <row r="322" spans="1:36" x14ac:dyDescent="0.3">
      <c r="A322" t="s">
        <v>237</v>
      </c>
      <c r="B322">
        <v>173194</v>
      </c>
      <c r="C322" t="s">
        <v>525</v>
      </c>
      <c r="D322" t="s">
        <v>401</v>
      </c>
      <c r="E322">
        <v>11486</v>
      </c>
      <c r="F322" s="1">
        <v>0.59079999999999999</v>
      </c>
      <c r="G322">
        <v>13586</v>
      </c>
      <c r="H322" s="1">
        <v>0.58689999999999998</v>
      </c>
      <c r="I322">
        <v>-0.39</v>
      </c>
      <c r="J322">
        <v>2100</v>
      </c>
      <c r="K322" s="1">
        <v>0.56630000000000003</v>
      </c>
      <c r="L322">
        <v>13810</v>
      </c>
      <c r="M322" s="1">
        <v>0.58725973805068887</v>
      </c>
      <c r="N322">
        <v>-0.35</v>
      </c>
      <c r="O322">
        <v>224</v>
      </c>
      <c r="P322" s="1">
        <v>0.61035422343324253</v>
      </c>
      <c r="Q322">
        <v>17781</v>
      </c>
      <c r="R322" s="1">
        <v>0.57933663495373389</v>
      </c>
      <c r="S322">
        <v>-1.1499999999999999</v>
      </c>
      <c r="T322">
        <v>3971</v>
      </c>
      <c r="U322" s="1">
        <v>0.55337235228539572</v>
      </c>
      <c r="V322">
        <v>17843</v>
      </c>
      <c r="W322" s="1">
        <v>0.57988300292492689</v>
      </c>
      <c r="X322">
        <v>-1.0900000000000001</v>
      </c>
      <c r="Y322">
        <v>62</v>
      </c>
      <c r="Z322" s="1">
        <v>0.79487179487179482</v>
      </c>
      <c r="AA322">
        <v>17885</v>
      </c>
      <c r="AB322" s="1">
        <v>0.57972188907977051</v>
      </c>
      <c r="AC322">
        <v>-1.1100000000000001</v>
      </c>
      <c r="AD322">
        <v>42</v>
      </c>
      <c r="AE322" s="1">
        <v>0.51851851851851849</v>
      </c>
      <c r="AF322">
        <v>20493</v>
      </c>
      <c r="AG322" s="1">
        <v>0.57970071567989589</v>
      </c>
      <c r="AH322">
        <v>-1.1100000000000001</v>
      </c>
      <c r="AI322">
        <v>2608</v>
      </c>
      <c r="AJ322" s="1">
        <v>0.5795555555555556</v>
      </c>
    </row>
    <row r="323" spans="1:36" x14ac:dyDescent="0.3">
      <c r="A323" t="s">
        <v>237</v>
      </c>
      <c r="B323">
        <v>173194</v>
      </c>
      <c r="C323" t="s">
        <v>526</v>
      </c>
      <c r="D323" t="s">
        <v>399</v>
      </c>
      <c r="E323">
        <v>7942</v>
      </c>
      <c r="F323" s="1">
        <v>0.40850000000000003</v>
      </c>
      <c r="G323">
        <v>9548</v>
      </c>
      <c r="H323" s="1">
        <v>0.41249999999999998</v>
      </c>
      <c r="I323">
        <v>0.4</v>
      </c>
      <c r="J323">
        <v>1606</v>
      </c>
      <c r="K323" s="1">
        <v>0.43310000000000004</v>
      </c>
      <c r="L323">
        <v>9690</v>
      </c>
      <c r="M323" s="1">
        <v>0.41205987412825312</v>
      </c>
      <c r="N323">
        <v>0.36</v>
      </c>
      <c r="O323">
        <v>142</v>
      </c>
      <c r="P323" s="1">
        <v>0.38692098092643051</v>
      </c>
      <c r="Q323">
        <v>12885</v>
      </c>
      <c r="R323" s="1">
        <v>0.41981623875928581</v>
      </c>
      <c r="S323">
        <v>1.1299999999999999</v>
      </c>
      <c r="T323">
        <v>3195</v>
      </c>
      <c r="U323" s="1">
        <v>0.44523411371237459</v>
      </c>
      <c r="V323">
        <v>12901</v>
      </c>
      <c r="W323" s="1">
        <v>0.41927201819954502</v>
      </c>
      <c r="X323">
        <v>1.08</v>
      </c>
      <c r="Y323">
        <v>16</v>
      </c>
      <c r="Z323" s="1">
        <v>0.20512820512820512</v>
      </c>
      <c r="AA323">
        <v>12942</v>
      </c>
      <c r="AB323" s="1">
        <v>0.41950017827623093</v>
      </c>
      <c r="AC323">
        <v>1.1000000000000001</v>
      </c>
      <c r="AD323">
        <v>41</v>
      </c>
      <c r="AE323" s="1">
        <v>0.50617283950617287</v>
      </c>
      <c r="AF323">
        <v>14831</v>
      </c>
      <c r="AG323" s="1">
        <v>0.41953551526123728</v>
      </c>
      <c r="AH323">
        <v>1.1000000000000001</v>
      </c>
      <c r="AI323">
        <v>1889</v>
      </c>
      <c r="AJ323" s="1">
        <v>0.41977777777777781</v>
      </c>
    </row>
    <row r="324" spans="1:36" x14ac:dyDescent="0.3">
      <c r="A324" t="s">
        <v>237</v>
      </c>
      <c r="B324">
        <v>173194</v>
      </c>
      <c r="C324" t="s">
        <v>402</v>
      </c>
      <c r="E324">
        <v>13</v>
      </c>
      <c r="F324" s="1">
        <v>7.000000000000001E-4</v>
      </c>
      <c r="G324">
        <v>15</v>
      </c>
      <c r="H324" s="1">
        <v>5.9999999999999995E-4</v>
      </c>
      <c r="I324">
        <v>-0.01</v>
      </c>
      <c r="J324">
        <v>2</v>
      </c>
      <c r="K324" s="1">
        <v>5.0000000000000001E-4</v>
      </c>
      <c r="L324">
        <v>16</v>
      </c>
      <c r="M324" s="1">
        <v>6.8038782105800302E-4</v>
      </c>
      <c r="N324">
        <v>0</v>
      </c>
      <c r="O324">
        <v>1</v>
      </c>
      <c r="P324" s="1">
        <v>2.7247956403269754E-3</v>
      </c>
      <c r="Q324">
        <v>26</v>
      </c>
      <c r="R324" s="1">
        <v>8.471262869803206E-4</v>
      </c>
      <c r="S324">
        <v>0.01</v>
      </c>
      <c r="T324">
        <v>10</v>
      </c>
      <c r="U324" s="1">
        <v>1.3935340022296545E-3</v>
      </c>
      <c r="V324">
        <v>26</v>
      </c>
      <c r="W324" s="1">
        <v>8.4497887552811184E-4</v>
      </c>
      <c r="X324">
        <v>0.01</v>
      </c>
      <c r="Y324">
        <v>0</v>
      </c>
      <c r="Z324" s="1">
        <v>0</v>
      </c>
      <c r="AA324">
        <v>24</v>
      </c>
      <c r="AB324" s="1">
        <v>7.7793264399857382E-4</v>
      </c>
      <c r="AC324">
        <v>0.01</v>
      </c>
      <c r="AD324">
        <v>-2</v>
      </c>
      <c r="AE324" s="1">
        <v>-2.4691358024691357E-2</v>
      </c>
      <c r="AF324">
        <v>27</v>
      </c>
      <c r="AG324" s="1">
        <v>7.6376905886679303E-4</v>
      </c>
      <c r="AH324">
        <v>0.01</v>
      </c>
      <c r="AI324">
        <v>3</v>
      </c>
      <c r="AJ324" s="1">
        <v>6.6666666666666664E-4</v>
      </c>
    </row>
    <row r="325" spans="1:36" x14ac:dyDescent="0.3">
      <c r="A325" t="s">
        <v>237</v>
      </c>
      <c r="B325">
        <v>173194</v>
      </c>
      <c r="C325" t="s">
        <v>701</v>
      </c>
      <c r="E325">
        <v>8</v>
      </c>
      <c r="F325" s="1" t="s">
        <v>700</v>
      </c>
      <c r="G325">
        <v>10</v>
      </c>
      <c r="H325" s="1" t="s">
        <v>700</v>
      </c>
      <c r="I325" t="s">
        <v>700</v>
      </c>
      <c r="J325">
        <v>2</v>
      </c>
      <c r="K325" s="1" t="s">
        <v>700</v>
      </c>
      <c r="L325">
        <v>10</v>
      </c>
      <c r="M325" s="1" t="s">
        <v>700</v>
      </c>
      <c r="N325" t="s">
        <v>700</v>
      </c>
      <c r="O325">
        <v>0</v>
      </c>
      <c r="P325" s="1" t="s">
        <v>700</v>
      </c>
      <c r="Q325">
        <v>17</v>
      </c>
      <c r="R325" s="1" t="s">
        <v>700</v>
      </c>
      <c r="S325" t="s">
        <v>700</v>
      </c>
      <c r="T325">
        <v>7</v>
      </c>
      <c r="U325" s="1" t="s">
        <v>700</v>
      </c>
      <c r="V325">
        <v>2</v>
      </c>
      <c r="Y325">
        <v>-15</v>
      </c>
      <c r="AA325">
        <v>3</v>
      </c>
      <c r="AD325">
        <v>1</v>
      </c>
      <c r="AF325">
        <v>3</v>
      </c>
      <c r="AI325">
        <v>0</v>
      </c>
    </row>
    <row r="326" spans="1:36" x14ac:dyDescent="0.3">
      <c r="A326" t="s">
        <v>237</v>
      </c>
      <c r="B326">
        <v>173194</v>
      </c>
      <c r="C326" t="s">
        <v>702</v>
      </c>
      <c r="E326">
        <v>421</v>
      </c>
      <c r="F326" s="1" t="s">
        <v>700</v>
      </c>
      <c r="G326">
        <v>543</v>
      </c>
      <c r="H326" s="1" t="s">
        <v>700</v>
      </c>
      <c r="I326" t="s">
        <v>700</v>
      </c>
      <c r="J326">
        <v>122</v>
      </c>
      <c r="K326" s="1" t="s">
        <v>700</v>
      </c>
      <c r="L326">
        <v>554</v>
      </c>
      <c r="M326" s="1" t="s">
        <v>700</v>
      </c>
      <c r="N326" t="s">
        <v>700</v>
      </c>
      <c r="O326">
        <v>11</v>
      </c>
      <c r="P326" s="1" t="s">
        <v>700</v>
      </c>
      <c r="Q326">
        <v>741</v>
      </c>
      <c r="R326" s="1" t="s">
        <v>700</v>
      </c>
      <c r="S326" t="s">
        <v>700</v>
      </c>
      <c r="T326">
        <v>187</v>
      </c>
      <c r="U326" s="1" t="s">
        <v>700</v>
      </c>
      <c r="V326">
        <v>746</v>
      </c>
      <c r="Y326">
        <v>5</v>
      </c>
      <c r="AA326">
        <v>749</v>
      </c>
      <c r="AD326">
        <v>3</v>
      </c>
      <c r="AF326">
        <v>858</v>
      </c>
      <c r="AI326">
        <v>109</v>
      </c>
    </row>
    <row r="327" spans="1:36" x14ac:dyDescent="0.3">
      <c r="A327" t="s">
        <v>110</v>
      </c>
      <c r="B327">
        <v>178245</v>
      </c>
      <c r="C327" t="s">
        <v>699</v>
      </c>
      <c r="E327">
        <v>31628</v>
      </c>
      <c r="F327" s="1" t="s">
        <v>700</v>
      </c>
      <c r="G327">
        <v>37628</v>
      </c>
      <c r="H327" s="1" t="s">
        <v>700</v>
      </c>
      <c r="I327" t="s">
        <v>700</v>
      </c>
      <c r="J327">
        <v>6000</v>
      </c>
      <c r="K327" s="1" t="s">
        <v>700</v>
      </c>
      <c r="L327">
        <v>45592</v>
      </c>
      <c r="M327" s="1" t="s">
        <v>700</v>
      </c>
      <c r="N327" t="s">
        <v>700</v>
      </c>
      <c r="O327">
        <v>7964</v>
      </c>
      <c r="P327" s="1" t="s">
        <v>700</v>
      </c>
      <c r="Q327">
        <v>46293</v>
      </c>
      <c r="R327" s="1" t="s">
        <v>700</v>
      </c>
      <c r="S327" t="s">
        <v>700</v>
      </c>
      <c r="T327">
        <v>701</v>
      </c>
      <c r="U327" s="1" t="s">
        <v>700</v>
      </c>
      <c r="V327">
        <v>47816</v>
      </c>
      <c r="Y327">
        <v>1523</v>
      </c>
      <c r="AA327">
        <v>47866</v>
      </c>
      <c r="AD327">
        <v>50</v>
      </c>
      <c r="AF327">
        <v>48041</v>
      </c>
      <c r="AI327">
        <v>175</v>
      </c>
    </row>
    <row r="328" spans="1:36" x14ac:dyDescent="0.3">
      <c r="A328" t="s">
        <v>110</v>
      </c>
      <c r="B328">
        <v>178245</v>
      </c>
      <c r="C328" t="s">
        <v>527</v>
      </c>
      <c r="D328" t="s">
        <v>401</v>
      </c>
      <c r="E328">
        <v>13706</v>
      </c>
      <c r="F328" s="1">
        <v>0.44040000000000001</v>
      </c>
      <c r="G328">
        <v>16323</v>
      </c>
      <c r="H328" s="1">
        <v>0.44069999999999998</v>
      </c>
      <c r="I328">
        <v>0.03</v>
      </c>
      <c r="J328">
        <v>2617</v>
      </c>
      <c r="K328" s="1">
        <v>0.4425</v>
      </c>
      <c r="L328">
        <v>19608</v>
      </c>
      <c r="M328" s="1">
        <v>0.43714190168320144</v>
      </c>
      <c r="N328">
        <v>-0.33</v>
      </c>
      <c r="O328">
        <v>3285</v>
      </c>
      <c r="P328" s="1">
        <v>0.4201841903300077</v>
      </c>
      <c r="Q328">
        <v>19981</v>
      </c>
      <c r="R328" s="1">
        <v>0.43894991212653778</v>
      </c>
      <c r="S328">
        <v>-0.15</v>
      </c>
      <c r="T328">
        <v>373</v>
      </c>
      <c r="U328" s="1">
        <v>0.56090225563909779</v>
      </c>
      <c r="V328">
        <v>20633</v>
      </c>
      <c r="W328" s="1">
        <v>0.43912145912699257</v>
      </c>
      <c r="X328">
        <v>-0.13</v>
      </c>
      <c r="Y328">
        <v>652</v>
      </c>
      <c r="Z328" s="1">
        <v>0.44444444444444442</v>
      </c>
      <c r="AA328">
        <v>20641</v>
      </c>
      <c r="AB328" s="1">
        <v>0.43894607009186798</v>
      </c>
      <c r="AC328">
        <v>-0.15</v>
      </c>
      <c r="AD328">
        <v>8</v>
      </c>
      <c r="AE328" s="1">
        <v>0.21621621621621623</v>
      </c>
      <c r="AF328">
        <v>20718</v>
      </c>
      <c r="AG328" s="1">
        <v>0.43902439024390244</v>
      </c>
      <c r="AH328">
        <v>-0.14000000000000001</v>
      </c>
      <c r="AI328">
        <v>77</v>
      </c>
      <c r="AJ328" s="1">
        <v>0.46107784431137727</v>
      </c>
    </row>
    <row r="329" spans="1:36" x14ac:dyDescent="0.3">
      <c r="A329" t="s">
        <v>110</v>
      </c>
      <c r="B329">
        <v>178245</v>
      </c>
      <c r="C329" t="s">
        <v>528</v>
      </c>
      <c r="D329" t="s">
        <v>529</v>
      </c>
      <c r="E329">
        <v>994</v>
      </c>
      <c r="F329" s="1">
        <v>3.1899999999999998E-2</v>
      </c>
      <c r="G329">
        <v>1240</v>
      </c>
      <c r="H329" s="1">
        <v>3.3500000000000002E-2</v>
      </c>
      <c r="I329">
        <v>0.16</v>
      </c>
      <c r="J329">
        <v>246</v>
      </c>
      <c r="K329" s="1">
        <v>4.1599999999999998E-2</v>
      </c>
      <c r="L329">
        <v>1585</v>
      </c>
      <c r="M329" s="1">
        <v>3.5336082933898116E-2</v>
      </c>
      <c r="N329">
        <v>0.34</v>
      </c>
      <c r="O329">
        <v>345</v>
      </c>
      <c r="P329" s="1">
        <v>4.412893323100537E-2</v>
      </c>
      <c r="Q329">
        <v>1635</v>
      </c>
      <c r="R329" s="1">
        <v>3.5918277680140595E-2</v>
      </c>
      <c r="S329">
        <v>0.4</v>
      </c>
      <c r="T329">
        <v>50</v>
      </c>
      <c r="U329" s="1">
        <v>7.5187969924812026E-2</v>
      </c>
      <c r="V329">
        <v>1704</v>
      </c>
      <c r="W329" s="1">
        <v>3.6265349990422885E-2</v>
      </c>
      <c r="X329">
        <v>0.44</v>
      </c>
      <c r="Y329">
        <v>69</v>
      </c>
      <c r="Z329" s="1">
        <v>4.7034764826175871E-2</v>
      </c>
      <c r="AA329">
        <v>1706</v>
      </c>
      <c r="AB329" s="1">
        <v>3.6279346716570265E-2</v>
      </c>
      <c r="AC329">
        <v>0.44</v>
      </c>
      <c r="AD329">
        <v>2</v>
      </c>
      <c r="AE329" s="1">
        <v>5.4054054054054057E-2</v>
      </c>
      <c r="AF329">
        <v>1711</v>
      </c>
      <c r="AG329" s="1">
        <v>3.6256913394503189E-2</v>
      </c>
      <c r="AH329">
        <v>0.44</v>
      </c>
      <c r="AI329">
        <v>5</v>
      </c>
      <c r="AJ329" s="1">
        <v>2.9940119760479042E-2</v>
      </c>
    </row>
    <row r="330" spans="1:36" x14ac:dyDescent="0.3">
      <c r="A330" t="s">
        <v>110</v>
      </c>
      <c r="B330">
        <v>178245</v>
      </c>
      <c r="C330" t="s">
        <v>530</v>
      </c>
      <c r="D330" t="s">
        <v>399</v>
      </c>
      <c r="E330">
        <v>16385</v>
      </c>
      <c r="F330" s="1">
        <v>0.52649999999999997</v>
      </c>
      <c r="G330">
        <v>19426</v>
      </c>
      <c r="H330" s="1">
        <v>0.52450000000000008</v>
      </c>
      <c r="I330">
        <v>-0.2</v>
      </c>
      <c r="J330">
        <v>3041</v>
      </c>
      <c r="K330" s="1">
        <v>0.51419999999999999</v>
      </c>
      <c r="L330">
        <v>23605</v>
      </c>
      <c r="M330" s="1">
        <v>0.52625125404079809</v>
      </c>
      <c r="N330">
        <v>-0.02</v>
      </c>
      <c r="O330">
        <v>4179</v>
      </c>
      <c r="P330" s="1">
        <v>0.53453568687643904</v>
      </c>
      <c r="Q330">
        <v>23847</v>
      </c>
      <c r="R330" s="1">
        <v>0.52387961335676625</v>
      </c>
      <c r="S330">
        <v>-0.26</v>
      </c>
      <c r="T330">
        <v>242</v>
      </c>
      <c r="U330" s="1">
        <v>0.36390977443609024</v>
      </c>
      <c r="V330">
        <v>24589</v>
      </c>
      <c r="W330" s="1">
        <v>0.52331495945687101</v>
      </c>
      <c r="X330">
        <v>-0.32</v>
      </c>
      <c r="Y330">
        <v>742</v>
      </c>
      <c r="Z330" s="1">
        <v>0.50579413769597814</v>
      </c>
      <c r="AA330">
        <v>24616</v>
      </c>
      <c r="AB330" s="1">
        <v>0.52347737325620958</v>
      </c>
      <c r="AC330">
        <v>-0.3</v>
      </c>
      <c r="AD330">
        <v>27</v>
      </c>
      <c r="AE330" s="1">
        <v>0.72972972972972971</v>
      </c>
      <c r="AF330">
        <v>24703</v>
      </c>
      <c r="AG330" s="1">
        <v>0.52346845796868047</v>
      </c>
      <c r="AH330">
        <v>-0.3</v>
      </c>
      <c r="AI330">
        <v>87</v>
      </c>
      <c r="AJ330" s="1">
        <v>0.52095808383233533</v>
      </c>
    </row>
    <row r="331" spans="1:36" x14ac:dyDescent="0.3">
      <c r="A331" t="s">
        <v>110</v>
      </c>
      <c r="B331">
        <v>178245</v>
      </c>
      <c r="C331" t="s">
        <v>402</v>
      </c>
      <c r="E331">
        <v>38</v>
      </c>
      <c r="F331" s="1">
        <v>1.1999999999999999E-3</v>
      </c>
      <c r="G331">
        <v>48</v>
      </c>
      <c r="H331" s="1">
        <v>1.2999999999999999E-3</v>
      </c>
      <c r="I331">
        <v>0.01</v>
      </c>
      <c r="J331">
        <v>10</v>
      </c>
      <c r="K331" s="1">
        <v>1.7000000000000001E-3</v>
      </c>
      <c r="L331">
        <v>57</v>
      </c>
      <c r="M331" s="1">
        <v>1.2707613421023298E-3</v>
      </c>
      <c r="N331">
        <v>0.01</v>
      </c>
      <c r="O331">
        <v>9</v>
      </c>
      <c r="P331" s="1">
        <v>1.1511895625479663E-3</v>
      </c>
      <c r="Q331">
        <v>57</v>
      </c>
      <c r="R331" s="1">
        <v>1.2521968365553603E-3</v>
      </c>
      <c r="S331">
        <v>0.01</v>
      </c>
      <c r="T331">
        <v>0</v>
      </c>
      <c r="U331" s="1">
        <v>0</v>
      </c>
      <c r="V331">
        <v>61</v>
      </c>
      <c r="W331" s="1">
        <v>1.2982314257134952E-3</v>
      </c>
      <c r="X331">
        <v>0.01</v>
      </c>
      <c r="Y331">
        <v>4</v>
      </c>
      <c r="Z331" s="1">
        <v>2.7266530334014998E-3</v>
      </c>
      <c r="AA331">
        <v>61</v>
      </c>
      <c r="AB331" s="1">
        <v>1.2972099353521606E-3</v>
      </c>
      <c r="AC331">
        <v>0.01</v>
      </c>
      <c r="AD331">
        <v>0</v>
      </c>
      <c r="AE331" s="1">
        <v>0</v>
      </c>
      <c r="AF331">
        <v>59</v>
      </c>
      <c r="AG331" s="1">
        <v>1.2502383929139031E-3</v>
      </c>
      <c r="AH331">
        <v>0.01</v>
      </c>
      <c r="AI331">
        <v>-2</v>
      </c>
      <c r="AJ331" s="1">
        <v>-1.1976047904191617E-2</v>
      </c>
    </row>
    <row r="332" spans="1:36" x14ac:dyDescent="0.3">
      <c r="A332" t="s">
        <v>110</v>
      </c>
      <c r="B332">
        <v>178245</v>
      </c>
      <c r="C332" t="s">
        <v>701</v>
      </c>
      <c r="E332">
        <v>5</v>
      </c>
      <c r="F332" s="1" t="s">
        <v>700</v>
      </c>
      <c r="G332">
        <v>5</v>
      </c>
      <c r="H332" s="1" t="s">
        <v>700</v>
      </c>
      <c r="I332" t="s">
        <v>700</v>
      </c>
      <c r="J332">
        <v>0</v>
      </c>
      <c r="K332" s="1" t="s">
        <v>700</v>
      </c>
      <c r="L332">
        <v>5</v>
      </c>
      <c r="M332" s="1" t="s">
        <v>700</v>
      </c>
      <c r="N332" t="s">
        <v>700</v>
      </c>
      <c r="O332">
        <v>0</v>
      </c>
      <c r="P332" s="1" t="s">
        <v>700</v>
      </c>
      <c r="Q332">
        <v>5</v>
      </c>
      <c r="R332" s="1" t="s">
        <v>700</v>
      </c>
      <c r="S332" t="s">
        <v>700</v>
      </c>
      <c r="T332">
        <v>0</v>
      </c>
      <c r="U332" s="1" t="s">
        <v>700</v>
      </c>
      <c r="V332">
        <v>5</v>
      </c>
      <c r="Y332">
        <v>0</v>
      </c>
      <c r="AA332">
        <v>5</v>
      </c>
      <c r="AD332">
        <v>0</v>
      </c>
      <c r="AF332">
        <v>5</v>
      </c>
      <c r="AI332">
        <v>0</v>
      </c>
    </row>
    <row r="333" spans="1:36" x14ac:dyDescent="0.3">
      <c r="A333" t="s">
        <v>110</v>
      </c>
      <c r="B333">
        <v>178245</v>
      </c>
      <c r="C333" t="s">
        <v>702</v>
      </c>
      <c r="E333">
        <v>500</v>
      </c>
      <c r="F333" s="1" t="s">
        <v>700</v>
      </c>
      <c r="G333">
        <v>586</v>
      </c>
      <c r="H333" s="1" t="s">
        <v>700</v>
      </c>
      <c r="I333" t="s">
        <v>700</v>
      </c>
      <c r="J333">
        <v>86</v>
      </c>
      <c r="K333" s="1" t="s">
        <v>700</v>
      </c>
      <c r="L333">
        <v>732</v>
      </c>
      <c r="M333" s="1" t="s">
        <v>700</v>
      </c>
      <c r="N333" t="s">
        <v>700</v>
      </c>
      <c r="O333">
        <v>146</v>
      </c>
      <c r="P333" s="1" t="s">
        <v>700</v>
      </c>
      <c r="Q333">
        <v>768</v>
      </c>
      <c r="R333" s="1" t="s">
        <v>700</v>
      </c>
      <c r="S333" t="s">
        <v>700</v>
      </c>
      <c r="T333">
        <v>36</v>
      </c>
      <c r="U333" s="1" t="s">
        <v>700</v>
      </c>
      <c r="V333">
        <v>824</v>
      </c>
      <c r="Y333">
        <v>56</v>
      </c>
      <c r="AA333">
        <v>837</v>
      </c>
      <c r="AD333">
        <v>13</v>
      </c>
      <c r="AF333">
        <v>845</v>
      </c>
      <c r="AI333">
        <v>8</v>
      </c>
    </row>
    <row r="334" spans="1:36" x14ac:dyDescent="0.3">
      <c r="A334" t="s">
        <v>112</v>
      </c>
      <c r="B334">
        <v>173858</v>
      </c>
      <c r="C334" t="s">
        <v>699</v>
      </c>
      <c r="E334">
        <v>31628</v>
      </c>
      <c r="F334" s="1" t="s">
        <v>700</v>
      </c>
      <c r="G334">
        <v>37628</v>
      </c>
      <c r="H334" s="1" t="s">
        <v>700</v>
      </c>
      <c r="I334" t="s">
        <v>700</v>
      </c>
      <c r="J334">
        <v>6000</v>
      </c>
      <c r="K334" s="1" t="s">
        <v>700</v>
      </c>
      <c r="L334">
        <v>45592</v>
      </c>
      <c r="M334" s="1" t="s">
        <v>700</v>
      </c>
      <c r="N334" t="s">
        <v>700</v>
      </c>
      <c r="O334">
        <v>7964</v>
      </c>
      <c r="P334" s="1" t="s">
        <v>700</v>
      </c>
      <c r="Q334">
        <v>46293</v>
      </c>
      <c r="R334" s="1" t="s">
        <v>700</v>
      </c>
      <c r="S334" t="s">
        <v>700</v>
      </c>
      <c r="T334">
        <v>701</v>
      </c>
      <c r="U334" s="1" t="s">
        <v>700</v>
      </c>
      <c r="V334">
        <v>47816</v>
      </c>
      <c r="Y334">
        <v>1523</v>
      </c>
      <c r="AA334">
        <v>47866</v>
      </c>
      <c r="AD334">
        <v>50</v>
      </c>
      <c r="AF334">
        <v>48041</v>
      </c>
      <c r="AI334">
        <v>175</v>
      </c>
    </row>
    <row r="335" spans="1:36" x14ac:dyDescent="0.3">
      <c r="A335" t="s">
        <v>112</v>
      </c>
      <c r="B335">
        <v>173858</v>
      </c>
      <c r="C335" t="s">
        <v>531</v>
      </c>
      <c r="D335" t="s">
        <v>399</v>
      </c>
      <c r="E335">
        <v>17020</v>
      </c>
      <c r="F335" s="1">
        <v>0.54820000000000002</v>
      </c>
      <c r="G335">
        <v>20243</v>
      </c>
      <c r="H335" s="1">
        <v>0.54799999999999993</v>
      </c>
      <c r="I335">
        <v>-0.02</v>
      </c>
      <c r="J335">
        <v>3223</v>
      </c>
      <c r="K335" s="1">
        <v>0.54700000000000004</v>
      </c>
      <c r="L335">
        <v>24653</v>
      </c>
      <c r="M335" s="1">
        <v>0.55092965048717257</v>
      </c>
      <c r="N335">
        <v>0.27</v>
      </c>
      <c r="O335">
        <v>4410</v>
      </c>
      <c r="P335" s="1">
        <v>0.56466069142125486</v>
      </c>
      <c r="Q335">
        <v>24930</v>
      </c>
      <c r="R335" s="1">
        <v>0.54892548881451475</v>
      </c>
      <c r="S335">
        <v>7.0000000000000007E-2</v>
      </c>
      <c r="T335">
        <v>277</v>
      </c>
      <c r="U335" s="1">
        <v>0.41467065868263475</v>
      </c>
      <c r="V335">
        <v>25705</v>
      </c>
      <c r="W335" s="1">
        <v>0.54846693835747973</v>
      </c>
      <c r="X335">
        <v>0.03</v>
      </c>
      <c r="Y335">
        <v>775</v>
      </c>
      <c r="Z335" s="1">
        <v>0.53411440385940734</v>
      </c>
      <c r="AA335">
        <v>25733</v>
      </c>
      <c r="AB335" s="1">
        <v>0.54864294394814828</v>
      </c>
      <c r="AC335">
        <v>0.04</v>
      </c>
      <c r="AD335">
        <v>28</v>
      </c>
      <c r="AE335" s="1">
        <v>0.77777777777777779</v>
      </c>
      <c r="AF335">
        <v>25825</v>
      </c>
      <c r="AG335" s="1">
        <v>0.54868591582212589</v>
      </c>
      <c r="AH335">
        <v>0.05</v>
      </c>
      <c r="AI335">
        <v>92</v>
      </c>
      <c r="AJ335" s="1">
        <v>0.56097560975609762</v>
      </c>
    </row>
    <row r="336" spans="1:36" x14ac:dyDescent="0.3">
      <c r="A336" t="s">
        <v>112</v>
      </c>
      <c r="B336">
        <v>173858</v>
      </c>
      <c r="C336" t="s">
        <v>532</v>
      </c>
      <c r="D336" t="s">
        <v>401</v>
      </c>
      <c r="E336">
        <v>13975</v>
      </c>
      <c r="F336" s="1">
        <v>0.4501</v>
      </c>
      <c r="G336">
        <v>16637</v>
      </c>
      <c r="H336" s="1">
        <v>0.45039999999999997</v>
      </c>
      <c r="I336">
        <v>0.03</v>
      </c>
      <c r="J336">
        <v>2662</v>
      </c>
      <c r="K336" s="1">
        <v>0.45179999999999998</v>
      </c>
      <c r="L336">
        <v>20023</v>
      </c>
      <c r="M336" s="1">
        <v>0.44746133905425939</v>
      </c>
      <c r="N336">
        <v>-0.26</v>
      </c>
      <c r="O336">
        <v>3386</v>
      </c>
      <c r="P336" s="1">
        <v>0.43354673495518564</v>
      </c>
      <c r="Q336">
        <v>20414</v>
      </c>
      <c r="R336" s="1">
        <v>0.4494891668134578</v>
      </c>
      <c r="S336">
        <v>-0.06</v>
      </c>
      <c r="T336">
        <v>391</v>
      </c>
      <c r="U336" s="1">
        <v>0.58532934131736525</v>
      </c>
      <c r="V336">
        <v>21089</v>
      </c>
      <c r="W336" s="1">
        <v>0.44997546247892972</v>
      </c>
      <c r="X336">
        <v>-0.01</v>
      </c>
      <c r="Y336">
        <v>675</v>
      </c>
      <c r="Z336" s="1">
        <v>0.46519641626464509</v>
      </c>
      <c r="AA336">
        <v>21097</v>
      </c>
      <c r="AB336" s="1">
        <v>0.4498006524102936</v>
      </c>
      <c r="AC336">
        <v>-0.03</v>
      </c>
      <c r="AD336">
        <v>8</v>
      </c>
      <c r="AE336" s="1">
        <v>0.22222222222222221</v>
      </c>
      <c r="AF336">
        <v>21170</v>
      </c>
      <c r="AG336" s="1">
        <v>0.44978434996919286</v>
      </c>
      <c r="AH336">
        <v>-0.03</v>
      </c>
      <c r="AI336">
        <v>73</v>
      </c>
      <c r="AJ336" s="1">
        <v>0.4451219512195122</v>
      </c>
    </row>
    <row r="337" spans="1:36" x14ac:dyDescent="0.3">
      <c r="A337" t="s">
        <v>112</v>
      </c>
      <c r="B337">
        <v>173858</v>
      </c>
      <c r="C337" t="s">
        <v>402</v>
      </c>
      <c r="E337">
        <v>51</v>
      </c>
      <c r="F337" s="1">
        <v>1.6000000000000001E-3</v>
      </c>
      <c r="G337">
        <v>58</v>
      </c>
      <c r="H337" s="1">
        <v>1.6000000000000001E-3</v>
      </c>
      <c r="I337">
        <v>0</v>
      </c>
      <c r="J337">
        <v>7</v>
      </c>
      <c r="K337" s="1">
        <v>1.1999999999999999E-3</v>
      </c>
      <c r="L337">
        <v>72</v>
      </c>
      <c r="M337" s="1">
        <v>1.6090104585679806E-3</v>
      </c>
      <c r="N337">
        <v>0</v>
      </c>
      <c r="O337">
        <v>14</v>
      </c>
      <c r="P337" s="1">
        <v>1.7925736235595391E-3</v>
      </c>
      <c r="Q337">
        <v>72</v>
      </c>
      <c r="R337" s="1">
        <v>1.5853443720274794E-3</v>
      </c>
      <c r="S337">
        <v>0</v>
      </c>
      <c r="T337">
        <v>0</v>
      </c>
      <c r="U337" s="1">
        <v>0</v>
      </c>
      <c r="V337">
        <v>73</v>
      </c>
      <c r="W337" s="1">
        <v>1.5575991635905862E-3</v>
      </c>
      <c r="X337">
        <v>0</v>
      </c>
      <c r="Y337">
        <v>1</v>
      </c>
      <c r="Z337" s="1">
        <v>6.8917987594762232E-4</v>
      </c>
      <c r="AA337">
        <v>73</v>
      </c>
      <c r="AB337" s="1">
        <v>1.5564036415581092E-3</v>
      </c>
      <c r="AC337">
        <v>0</v>
      </c>
      <c r="AD337">
        <v>0</v>
      </c>
      <c r="AE337" s="1">
        <v>0</v>
      </c>
      <c r="AF337">
        <v>72</v>
      </c>
      <c r="AG337" s="1">
        <v>1.5297342086812416E-3</v>
      </c>
      <c r="AH337">
        <v>-0.01</v>
      </c>
      <c r="AI337">
        <v>-1</v>
      </c>
      <c r="AJ337" s="1">
        <v>-6.0975609756097563E-3</v>
      </c>
    </row>
    <row r="338" spans="1:36" x14ac:dyDescent="0.3">
      <c r="A338" t="s">
        <v>112</v>
      </c>
      <c r="B338">
        <v>173858</v>
      </c>
      <c r="C338" t="s">
        <v>701</v>
      </c>
      <c r="E338">
        <v>3</v>
      </c>
      <c r="F338" s="1" t="s">
        <v>700</v>
      </c>
      <c r="G338">
        <v>3</v>
      </c>
      <c r="H338" s="1" t="s">
        <v>700</v>
      </c>
      <c r="I338" t="s">
        <v>700</v>
      </c>
      <c r="J338">
        <v>0</v>
      </c>
      <c r="K338" s="1" t="s">
        <v>700</v>
      </c>
      <c r="L338">
        <v>3</v>
      </c>
      <c r="M338" s="1" t="s">
        <v>700</v>
      </c>
      <c r="N338" t="s">
        <v>700</v>
      </c>
      <c r="O338">
        <v>0</v>
      </c>
      <c r="P338" s="1" t="s">
        <v>700</v>
      </c>
      <c r="Q338">
        <v>3</v>
      </c>
      <c r="R338" s="1" t="s">
        <v>700</v>
      </c>
      <c r="S338" t="s">
        <v>700</v>
      </c>
      <c r="T338">
        <v>0</v>
      </c>
      <c r="U338" s="1" t="s">
        <v>700</v>
      </c>
      <c r="V338">
        <v>3</v>
      </c>
      <c r="Y338">
        <v>0</v>
      </c>
      <c r="AA338">
        <v>3</v>
      </c>
      <c r="AD338">
        <v>0</v>
      </c>
      <c r="AF338">
        <v>3</v>
      </c>
      <c r="AI338">
        <v>0</v>
      </c>
    </row>
    <row r="339" spans="1:36" x14ac:dyDescent="0.3">
      <c r="A339" t="s">
        <v>112</v>
      </c>
      <c r="B339">
        <v>173858</v>
      </c>
      <c r="C339" t="s">
        <v>702</v>
      </c>
      <c r="E339">
        <v>579</v>
      </c>
      <c r="F339" s="1" t="s">
        <v>700</v>
      </c>
      <c r="G339">
        <v>687</v>
      </c>
      <c r="H339" s="1" t="s">
        <v>700</v>
      </c>
      <c r="I339" t="s">
        <v>700</v>
      </c>
      <c r="J339">
        <v>108</v>
      </c>
      <c r="K339" s="1" t="s">
        <v>700</v>
      </c>
      <c r="L339">
        <v>841</v>
      </c>
      <c r="M339" s="1" t="s">
        <v>700</v>
      </c>
      <c r="N339" t="s">
        <v>700</v>
      </c>
      <c r="O339">
        <v>154</v>
      </c>
      <c r="P339" s="1" t="s">
        <v>700</v>
      </c>
      <c r="Q339">
        <v>874</v>
      </c>
      <c r="R339" s="1" t="s">
        <v>700</v>
      </c>
      <c r="S339" t="s">
        <v>700</v>
      </c>
      <c r="T339">
        <v>33</v>
      </c>
      <c r="U339" s="1" t="s">
        <v>700</v>
      </c>
      <c r="V339">
        <v>946</v>
      </c>
      <c r="Y339">
        <v>72</v>
      </c>
      <c r="AA339">
        <v>960</v>
      </c>
      <c r="AD339">
        <v>14</v>
      </c>
      <c r="AF339">
        <v>971</v>
      </c>
      <c r="AI339">
        <v>11</v>
      </c>
    </row>
    <row r="340" spans="1:36" x14ac:dyDescent="0.3">
      <c r="A340" t="s">
        <v>132</v>
      </c>
      <c r="B340">
        <v>174000</v>
      </c>
      <c r="C340" t="s">
        <v>699</v>
      </c>
      <c r="E340">
        <v>27703</v>
      </c>
      <c r="F340" s="1" t="s">
        <v>700</v>
      </c>
      <c r="G340">
        <v>32357</v>
      </c>
      <c r="H340" s="1" t="s">
        <v>700</v>
      </c>
      <c r="I340" t="s">
        <v>700</v>
      </c>
      <c r="J340">
        <v>4654</v>
      </c>
      <c r="K340" s="1" t="s">
        <v>700</v>
      </c>
      <c r="L340">
        <v>37286</v>
      </c>
      <c r="M340" s="1" t="s">
        <v>700</v>
      </c>
      <c r="N340" t="s">
        <v>700</v>
      </c>
      <c r="O340">
        <v>4929</v>
      </c>
      <c r="P340" s="1" t="s">
        <v>700</v>
      </c>
      <c r="Q340">
        <v>38675</v>
      </c>
      <c r="R340" s="1" t="s">
        <v>700</v>
      </c>
      <c r="S340" t="s">
        <v>700</v>
      </c>
      <c r="T340">
        <v>1389</v>
      </c>
      <c r="U340" s="1" t="s">
        <v>700</v>
      </c>
      <c r="V340">
        <v>41847</v>
      </c>
      <c r="Y340">
        <v>3172</v>
      </c>
      <c r="AA340">
        <v>42010</v>
      </c>
      <c r="AD340">
        <v>163</v>
      </c>
      <c r="AF340">
        <v>44436</v>
      </c>
      <c r="AI340">
        <v>2426</v>
      </c>
    </row>
    <row r="341" spans="1:36" x14ac:dyDescent="0.3">
      <c r="A341" t="s">
        <v>132</v>
      </c>
      <c r="B341">
        <v>174000</v>
      </c>
      <c r="C341" t="s">
        <v>537</v>
      </c>
      <c r="D341" t="s">
        <v>401</v>
      </c>
      <c r="E341">
        <v>14803</v>
      </c>
      <c r="F341" s="1">
        <v>0.54600000000000004</v>
      </c>
      <c r="G341">
        <v>17659</v>
      </c>
      <c r="H341" s="1">
        <v>0.55730000000000002</v>
      </c>
      <c r="I341">
        <v>1.1299999999999999</v>
      </c>
      <c r="J341">
        <v>2856</v>
      </c>
      <c r="K341" s="1">
        <v>0.62490000000000001</v>
      </c>
      <c r="L341">
        <v>20359</v>
      </c>
      <c r="M341" s="1">
        <v>0.55767387076451091</v>
      </c>
      <c r="N341">
        <v>1.17</v>
      </c>
      <c r="O341">
        <v>2700</v>
      </c>
      <c r="P341" s="1">
        <v>0.55981754094961644</v>
      </c>
      <c r="Q341">
        <v>21116</v>
      </c>
      <c r="R341" s="1">
        <v>0.55757703783897972</v>
      </c>
      <c r="S341">
        <v>1.1599999999999999</v>
      </c>
      <c r="T341">
        <v>757</v>
      </c>
      <c r="U341" s="1">
        <v>0.55498533724340171</v>
      </c>
      <c r="V341">
        <v>22758</v>
      </c>
      <c r="W341" s="1">
        <v>0.55591382089989738</v>
      </c>
      <c r="X341">
        <v>0.99</v>
      </c>
      <c r="Y341">
        <v>1642</v>
      </c>
      <c r="Z341" s="1">
        <v>0.5353765895011412</v>
      </c>
      <c r="AA341">
        <v>22848</v>
      </c>
      <c r="AB341" s="1">
        <v>0.55610183517499878</v>
      </c>
      <c r="AC341">
        <v>1.01</v>
      </c>
      <c r="AD341">
        <v>90</v>
      </c>
      <c r="AE341" s="1">
        <v>0.60810810810810811</v>
      </c>
      <c r="AF341">
        <v>24113</v>
      </c>
      <c r="AG341" s="1">
        <v>0.55495972382048331</v>
      </c>
      <c r="AH341">
        <v>0.9</v>
      </c>
      <c r="AI341">
        <v>1265</v>
      </c>
      <c r="AJ341" s="1">
        <v>0.53510998307952617</v>
      </c>
    </row>
    <row r="342" spans="1:36" x14ac:dyDescent="0.3">
      <c r="A342" t="s">
        <v>132</v>
      </c>
      <c r="B342">
        <v>174000</v>
      </c>
      <c r="C342" t="s">
        <v>538</v>
      </c>
      <c r="D342" t="s">
        <v>399</v>
      </c>
      <c r="E342">
        <v>12269</v>
      </c>
      <c r="F342" s="1">
        <v>0.45250000000000001</v>
      </c>
      <c r="G342">
        <v>13977</v>
      </c>
      <c r="H342" s="1">
        <v>0.44109999999999999</v>
      </c>
      <c r="I342">
        <v>-1.1399999999999999</v>
      </c>
      <c r="J342">
        <v>1708</v>
      </c>
      <c r="K342" s="1">
        <v>0.37369999999999998</v>
      </c>
      <c r="L342">
        <v>16091</v>
      </c>
      <c r="M342" s="1">
        <v>0.44076478483578491</v>
      </c>
      <c r="N342">
        <v>-1.17</v>
      </c>
      <c r="O342">
        <v>2114</v>
      </c>
      <c r="P342" s="1">
        <v>0.43831640058055155</v>
      </c>
      <c r="Q342">
        <v>16696</v>
      </c>
      <c r="R342" s="1">
        <v>0.44086504185260489</v>
      </c>
      <c r="S342">
        <v>-1.1599999999999999</v>
      </c>
      <c r="T342">
        <v>605</v>
      </c>
      <c r="U342" s="1">
        <v>0.44354838709677419</v>
      </c>
      <c r="V342">
        <v>18111</v>
      </c>
      <c r="W342" s="1">
        <v>0.44240070350285798</v>
      </c>
      <c r="X342">
        <v>-1.01</v>
      </c>
      <c r="Y342">
        <v>1415</v>
      </c>
      <c r="Z342" s="1">
        <v>0.46136289533746333</v>
      </c>
      <c r="AA342">
        <v>18173</v>
      </c>
      <c r="AB342" s="1">
        <v>0.44231611741225724</v>
      </c>
      <c r="AC342">
        <v>-1.02</v>
      </c>
      <c r="AD342">
        <v>62</v>
      </c>
      <c r="AE342" s="1">
        <v>0.41891891891891891</v>
      </c>
      <c r="AF342">
        <v>19272</v>
      </c>
      <c r="AG342" s="1">
        <v>0.44354430379746834</v>
      </c>
      <c r="AH342">
        <v>-0.9</v>
      </c>
      <c r="AI342">
        <v>1099</v>
      </c>
      <c r="AJ342" s="1">
        <v>0.46489001692047377</v>
      </c>
    </row>
    <row r="343" spans="1:36" x14ac:dyDescent="0.3">
      <c r="A343" t="s">
        <v>132</v>
      </c>
      <c r="B343">
        <v>174000</v>
      </c>
      <c r="C343" t="s">
        <v>402</v>
      </c>
      <c r="E343">
        <v>42</v>
      </c>
      <c r="F343" s="1">
        <v>1.5E-3</v>
      </c>
      <c r="G343">
        <v>48</v>
      </c>
      <c r="H343" s="1">
        <v>1.5E-3</v>
      </c>
      <c r="I343">
        <v>0</v>
      </c>
      <c r="J343">
        <v>6</v>
      </c>
      <c r="K343" s="1">
        <v>1.2999999999999999E-3</v>
      </c>
      <c r="L343">
        <v>57</v>
      </c>
      <c r="M343" s="1">
        <v>1.5613443997041663E-3</v>
      </c>
      <c r="N343">
        <v>0.01</v>
      </c>
      <c r="O343">
        <v>9</v>
      </c>
      <c r="P343" s="1">
        <v>1.8660584698320546E-3</v>
      </c>
      <c r="Q343">
        <v>59</v>
      </c>
      <c r="R343" s="1">
        <v>1.5579203084154101E-3</v>
      </c>
      <c r="S343">
        <v>0.01</v>
      </c>
      <c r="T343">
        <v>2</v>
      </c>
      <c r="U343" s="1">
        <v>1.4662756598240469E-3</v>
      </c>
      <c r="V343">
        <v>69</v>
      </c>
      <c r="W343" s="1">
        <v>1.6854755972446139E-3</v>
      </c>
      <c r="X343">
        <v>0.02</v>
      </c>
      <c r="Y343">
        <v>10</v>
      </c>
      <c r="Z343" s="1">
        <v>3.2605151613955006E-3</v>
      </c>
      <c r="AA343">
        <v>65</v>
      </c>
      <c r="AB343" s="1">
        <v>1.5820474127440005E-3</v>
      </c>
      <c r="AC343">
        <v>0.01</v>
      </c>
      <c r="AD343">
        <v>-4</v>
      </c>
      <c r="AE343" s="1">
        <v>-2.7027027027027029E-2</v>
      </c>
      <c r="AF343">
        <v>65</v>
      </c>
      <c r="AG343" s="1">
        <v>1.4959723820483315E-3</v>
      </c>
      <c r="AH343">
        <v>0</v>
      </c>
      <c r="AI343">
        <v>0</v>
      </c>
      <c r="AJ343" s="1">
        <v>0</v>
      </c>
    </row>
    <row r="344" spans="1:36" x14ac:dyDescent="0.3">
      <c r="A344" t="s">
        <v>132</v>
      </c>
      <c r="B344">
        <v>174000</v>
      </c>
      <c r="C344" t="s">
        <v>701</v>
      </c>
      <c r="E344">
        <v>1</v>
      </c>
      <c r="F344" s="1" t="s">
        <v>700</v>
      </c>
      <c r="G344">
        <v>4</v>
      </c>
      <c r="H344" s="1" t="s">
        <v>700</v>
      </c>
      <c r="I344" t="s">
        <v>700</v>
      </c>
      <c r="J344">
        <v>3</v>
      </c>
      <c r="K344" s="1" t="s">
        <v>700</v>
      </c>
      <c r="L344">
        <v>0</v>
      </c>
      <c r="M344" s="1" t="s">
        <v>700</v>
      </c>
      <c r="N344" t="s">
        <v>700</v>
      </c>
      <c r="O344">
        <v>-4</v>
      </c>
      <c r="P344" s="1" t="s">
        <v>700</v>
      </c>
      <c r="Q344">
        <v>2</v>
      </c>
      <c r="R344" s="1" t="s">
        <v>700</v>
      </c>
      <c r="S344" t="s">
        <v>700</v>
      </c>
      <c r="T344" t="s">
        <v>700</v>
      </c>
      <c r="U344" s="1" t="s">
        <v>700</v>
      </c>
      <c r="V344">
        <v>2</v>
      </c>
      <c r="Y344">
        <v>0</v>
      </c>
      <c r="AA344">
        <v>2</v>
      </c>
      <c r="AD344">
        <v>0</v>
      </c>
      <c r="AF344">
        <v>0</v>
      </c>
      <c r="AI344">
        <v>-2</v>
      </c>
    </row>
    <row r="345" spans="1:36" x14ac:dyDescent="0.3">
      <c r="A345" t="s">
        <v>132</v>
      </c>
      <c r="B345">
        <v>174000</v>
      </c>
      <c r="C345" t="s">
        <v>702</v>
      </c>
      <c r="E345">
        <v>588</v>
      </c>
      <c r="F345" s="1" t="s">
        <v>700</v>
      </c>
      <c r="G345">
        <v>669</v>
      </c>
      <c r="H345" s="1" t="s">
        <v>700</v>
      </c>
      <c r="I345" t="s">
        <v>700</v>
      </c>
      <c r="J345">
        <v>81</v>
      </c>
      <c r="K345" s="1" t="s">
        <v>700</v>
      </c>
      <c r="L345">
        <v>779</v>
      </c>
      <c r="M345" s="1" t="s">
        <v>700</v>
      </c>
      <c r="N345" t="s">
        <v>700</v>
      </c>
      <c r="O345">
        <v>110</v>
      </c>
      <c r="P345" s="1" t="s">
        <v>700</v>
      </c>
      <c r="Q345">
        <v>802</v>
      </c>
      <c r="R345" s="1" t="s">
        <v>700</v>
      </c>
      <c r="S345" t="s">
        <v>700</v>
      </c>
      <c r="T345">
        <v>23</v>
      </c>
      <c r="U345" s="1" t="s">
        <v>700</v>
      </c>
      <c r="V345">
        <v>907</v>
      </c>
      <c r="Y345">
        <v>105</v>
      </c>
      <c r="AA345">
        <v>922</v>
      </c>
      <c r="AD345">
        <v>15</v>
      </c>
      <c r="AF345">
        <v>986</v>
      </c>
      <c r="AI345">
        <v>64</v>
      </c>
    </row>
    <row r="346" spans="1:36" x14ac:dyDescent="0.3">
      <c r="A346" t="s">
        <v>134</v>
      </c>
      <c r="B346">
        <v>183927</v>
      </c>
      <c r="C346" t="s">
        <v>699</v>
      </c>
      <c r="E346">
        <v>27703</v>
      </c>
      <c r="F346" s="1" t="s">
        <v>700</v>
      </c>
      <c r="G346">
        <v>32357</v>
      </c>
      <c r="H346" s="1" t="s">
        <v>700</v>
      </c>
      <c r="I346" t="s">
        <v>700</v>
      </c>
      <c r="J346">
        <v>4654</v>
      </c>
      <c r="K346" s="1" t="s">
        <v>700</v>
      </c>
      <c r="L346">
        <v>37286</v>
      </c>
      <c r="M346" s="1" t="s">
        <v>700</v>
      </c>
      <c r="N346" t="s">
        <v>700</v>
      </c>
      <c r="O346">
        <v>4929</v>
      </c>
      <c r="P346" s="1" t="s">
        <v>700</v>
      </c>
      <c r="Q346">
        <v>38675</v>
      </c>
      <c r="R346" s="1" t="s">
        <v>700</v>
      </c>
      <c r="S346" t="s">
        <v>700</v>
      </c>
      <c r="T346">
        <v>1389</v>
      </c>
      <c r="U346" s="1" t="s">
        <v>700</v>
      </c>
      <c r="V346">
        <v>41847</v>
      </c>
      <c r="Y346">
        <v>3172</v>
      </c>
      <c r="AA346">
        <v>42010</v>
      </c>
      <c r="AD346">
        <v>163</v>
      </c>
      <c r="AF346">
        <v>44436</v>
      </c>
      <c r="AI346">
        <v>2426</v>
      </c>
    </row>
    <row r="347" spans="1:36" x14ac:dyDescent="0.3">
      <c r="A347" t="s">
        <v>134</v>
      </c>
      <c r="B347">
        <v>183927</v>
      </c>
      <c r="C347" t="s">
        <v>539</v>
      </c>
      <c r="D347" t="s">
        <v>401</v>
      </c>
      <c r="E347">
        <v>1942</v>
      </c>
      <c r="F347" s="1">
        <v>7.3200000000000001E-2</v>
      </c>
      <c r="G347">
        <v>2184</v>
      </c>
      <c r="H347" s="1">
        <v>7.0599999999999996E-2</v>
      </c>
      <c r="I347">
        <v>-0.26</v>
      </c>
      <c r="J347">
        <v>242</v>
      </c>
      <c r="K347" s="1">
        <v>5.4800000000000001E-2</v>
      </c>
      <c r="L347">
        <v>2490</v>
      </c>
      <c r="M347" s="1">
        <v>6.9796776454099513E-2</v>
      </c>
      <c r="N347">
        <v>-0.34</v>
      </c>
      <c r="O347">
        <v>306</v>
      </c>
      <c r="P347" s="1">
        <v>6.4516129032258063E-2</v>
      </c>
      <c r="Q347">
        <v>2576</v>
      </c>
      <c r="R347" s="1">
        <v>6.9563338824228355E-2</v>
      </c>
      <c r="S347">
        <v>-0.36</v>
      </c>
      <c r="T347">
        <v>86</v>
      </c>
      <c r="U347" s="1">
        <v>6.3421828908554578E-2</v>
      </c>
      <c r="V347">
        <v>2783</v>
      </c>
      <c r="W347" s="1">
        <v>6.9592398099524888E-2</v>
      </c>
      <c r="X347">
        <v>-0.36</v>
      </c>
      <c r="Y347">
        <v>207</v>
      </c>
      <c r="Z347" s="1">
        <v>6.9956066238594114E-2</v>
      </c>
      <c r="AA347">
        <v>2795</v>
      </c>
      <c r="AB347" s="1">
        <v>6.9650377532457827E-2</v>
      </c>
      <c r="AC347">
        <v>-0.35</v>
      </c>
      <c r="AD347">
        <v>12</v>
      </c>
      <c r="AE347" s="1">
        <v>8.6330935251798566E-2</v>
      </c>
      <c r="AF347">
        <v>2958</v>
      </c>
      <c r="AG347" s="1">
        <v>6.9677054625114837E-2</v>
      </c>
      <c r="AH347">
        <v>-0.35</v>
      </c>
      <c r="AI347">
        <v>163</v>
      </c>
      <c r="AJ347" s="1">
        <v>7.0137693631669537E-2</v>
      </c>
    </row>
    <row r="348" spans="1:36" x14ac:dyDescent="0.3">
      <c r="A348" t="s">
        <v>134</v>
      </c>
      <c r="B348">
        <v>183927</v>
      </c>
      <c r="C348" t="s">
        <v>540</v>
      </c>
      <c r="D348" t="s">
        <v>401</v>
      </c>
      <c r="E348">
        <v>2024</v>
      </c>
      <c r="F348" s="1">
        <v>7.6299999999999993E-2</v>
      </c>
      <c r="G348">
        <v>2382</v>
      </c>
      <c r="H348" s="1">
        <v>7.6999999999999999E-2</v>
      </c>
      <c r="I348">
        <v>7.0000000000000007E-2</v>
      </c>
      <c r="J348">
        <v>358</v>
      </c>
      <c r="K348" s="1">
        <v>8.1099999999999992E-2</v>
      </c>
      <c r="L348">
        <v>2705</v>
      </c>
      <c r="M348" s="1">
        <v>7.582340574632096E-2</v>
      </c>
      <c r="N348">
        <v>-0.05</v>
      </c>
      <c r="O348">
        <v>323</v>
      </c>
      <c r="P348" s="1">
        <v>6.8100358422939072E-2</v>
      </c>
      <c r="Q348">
        <v>2856</v>
      </c>
      <c r="R348" s="1">
        <v>7.7124571305122736E-2</v>
      </c>
      <c r="S348">
        <v>0.08</v>
      </c>
      <c r="T348">
        <v>151</v>
      </c>
      <c r="U348" s="1">
        <v>0.11135693215339233</v>
      </c>
      <c r="V348">
        <v>3108</v>
      </c>
      <c r="W348" s="1">
        <v>7.771942985746437E-2</v>
      </c>
      <c r="X348">
        <v>0.14000000000000001</v>
      </c>
      <c r="Y348">
        <v>252</v>
      </c>
      <c r="Z348" s="1">
        <v>8.5163906725245014E-2</v>
      </c>
      <c r="AA348">
        <v>3128</v>
      </c>
      <c r="AB348" s="1">
        <v>7.7948615714321309E-2</v>
      </c>
      <c r="AC348">
        <v>0.16</v>
      </c>
      <c r="AD348">
        <v>20</v>
      </c>
      <c r="AE348" s="1">
        <v>0.14388489208633093</v>
      </c>
      <c r="AF348">
        <v>3404</v>
      </c>
      <c r="AG348" s="1">
        <v>8.0182790379949589E-2</v>
      </c>
      <c r="AH348">
        <v>0.39</v>
      </c>
      <c r="AI348">
        <v>276</v>
      </c>
      <c r="AJ348" s="1">
        <v>0.11876075731497418</v>
      </c>
    </row>
    <row r="349" spans="1:36" x14ac:dyDescent="0.3">
      <c r="A349" t="s">
        <v>134</v>
      </c>
      <c r="B349">
        <v>183927</v>
      </c>
      <c r="C349" t="s">
        <v>541</v>
      </c>
      <c r="D349" t="s">
        <v>399</v>
      </c>
      <c r="E349">
        <v>11678</v>
      </c>
      <c r="F349" s="1">
        <v>0.44040000000000001</v>
      </c>
      <c r="G349">
        <v>13284</v>
      </c>
      <c r="H349" s="1">
        <v>0.42950000000000005</v>
      </c>
      <c r="I349">
        <v>-1.0900000000000001</v>
      </c>
      <c r="J349">
        <v>1606</v>
      </c>
      <c r="K349" s="1">
        <v>0.36359999999999998</v>
      </c>
      <c r="L349">
        <v>15320</v>
      </c>
      <c r="M349" s="1">
        <v>0.42943237561317449</v>
      </c>
      <c r="N349">
        <v>-1.1000000000000001</v>
      </c>
      <c r="O349">
        <v>2036</v>
      </c>
      <c r="P349" s="1">
        <v>0.4292641787897955</v>
      </c>
      <c r="Q349">
        <v>15891</v>
      </c>
      <c r="R349" s="1">
        <v>0.42912694769247389</v>
      </c>
      <c r="S349">
        <v>-1.1299999999999999</v>
      </c>
      <c r="T349">
        <v>571</v>
      </c>
      <c r="U349" s="1">
        <v>0.42109144542772864</v>
      </c>
      <c r="V349">
        <v>17260</v>
      </c>
      <c r="W349" s="1">
        <v>0.43160790197549387</v>
      </c>
      <c r="X349">
        <v>-0.88</v>
      </c>
      <c r="Y349">
        <v>1369</v>
      </c>
      <c r="Z349" s="1">
        <v>0.4626563028050017</v>
      </c>
      <c r="AA349">
        <v>17321</v>
      </c>
      <c r="AB349" s="1">
        <v>0.43163298362780034</v>
      </c>
      <c r="AC349">
        <v>-0.88</v>
      </c>
      <c r="AD349">
        <v>61</v>
      </c>
      <c r="AE349" s="1">
        <v>0.43884892086330934</v>
      </c>
      <c r="AF349">
        <v>18354</v>
      </c>
      <c r="AG349" s="1">
        <v>0.43233693731891737</v>
      </c>
      <c r="AH349">
        <v>-0.81</v>
      </c>
      <c r="AI349">
        <v>1033</v>
      </c>
      <c r="AJ349" s="1">
        <v>0.44449225473321857</v>
      </c>
    </row>
    <row r="350" spans="1:36" x14ac:dyDescent="0.3">
      <c r="A350" t="s">
        <v>134</v>
      </c>
      <c r="B350">
        <v>183927</v>
      </c>
      <c r="C350" t="s">
        <v>542</v>
      </c>
      <c r="D350" t="s">
        <v>401</v>
      </c>
      <c r="E350">
        <v>10830</v>
      </c>
      <c r="F350" s="1">
        <v>0.40840000000000004</v>
      </c>
      <c r="G350">
        <v>13033</v>
      </c>
      <c r="H350" s="1">
        <v>0.42130000000000001</v>
      </c>
      <c r="I350">
        <v>1.29</v>
      </c>
      <c r="J350">
        <v>2203</v>
      </c>
      <c r="K350" s="1">
        <v>0.49880000000000002</v>
      </c>
      <c r="L350">
        <v>15106</v>
      </c>
      <c r="M350" s="1">
        <v>0.42343377715487035</v>
      </c>
      <c r="N350">
        <v>1.5</v>
      </c>
      <c r="O350">
        <v>2073</v>
      </c>
      <c r="P350" s="1">
        <v>0.43706514864010121</v>
      </c>
      <c r="Q350">
        <v>15651</v>
      </c>
      <c r="R350" s="1">
        <v>0.42264589128027868</v>
      </c>
      <c r="S350">
        <v>1.42</v>
      </c>
      <c r="T350">
        <v>545</v>
      </c>
      <c r="U350" s="1">
        <v>0.40191740412979349</v>
      </c>
      <c r="V350">
        <v>16768</v>
      </c>
      <c r="W350" s="1">
        <v>0.41930482620655163</v>
      </c>
      <c r="X350">
        <v>1.0900000000000001</v>
      </c>
      <c r="Y350">
        <v>1117</v>
      </c>
      <c r="Z350" s="1">
        <v>0.37749239607975665</v>
      </c>
      <c r="AA350">
        <v>16818</v>
      </c>
      <c r="AB350" s="1">
        <v>0.41909840763537592</v>
      </c>
      <c r="AC350">
        <v>1.07</v>
      </c>
      <c r="AD350">
        <v>50</v>
      </c>
      <c r="AE350" s="1">
        <v>0.35971223021582732</v>
      </c>
      <c r="AF350">
        <v>17670</v>
      </c>
      <c r="AG350" s="1">
        <v>0.41622500176665961</v>
      </c>
      <c r="AH350">
        <v>0.78</v>
      </c>
      <c r="AI350">
        <v>852</v>
      </c>
      <c r="AJ350" s="1">
        <v>0.36660929432013767</v>
      </c>
    </row>
    <row r="351" spans="1:36" x14ac:dyDescent="0.3">
      <c r="A351" t="s">
        <v>134</v>
      </c>
      <c r="B351">
        <v>183927</v>
      </c>
      <c r="C351" t="s">
        <v>402</v>
      </c>
      <c r="E351">
        <v>41</v>
      </c>
      <c r="F351" s="1">
        <v>1.5E-3</v>
      </c>
      <c r="G351">
        <v>49</v>
      </c>
      <c r="H351" s="1">
        <v>1.6000000000000001E-3</v>
      </c>
      <c r="I351">
        <v>0.01</v>
      </c>
      <c r="J351">
        <v>8</v>
      </c>
      <c r="K351" s="1">
        <v>1.8E-3</v>
      </c>
      <c r="L351">
        <v>54</v>
      </c>
      <c r="M351" s="1">
        <v>1.5136650315346882E-3</v>
      </c>
      <c r="N351">
        <v>0</v>
      </c>
      <c r="O351">
        <v>5</v>
      </c>
      <c r="P351" s="1">
        <v>1.0541851149061775E-3</v>
      </c>
      <c r="Q351">
        <v>57</v>
      </c>
      <c r="R351" s="1">
        <v>1.5392508978963571E-3</v>
      </c>
      <c r="S351">
        <v>0</v>
      </c>
      <c r="T351">
        <v>3</v>
      </c>
      <c r="U351" s="1">
        <v>2.2123893805309734E-3</v>
      </c>
      <c r="V351">
        <v>71</v>
      </c>
      <c r="W351" s="1">
        <v>1.7754438609652414E-3</v>
      </c>
      <c r="X351">
        <v>0.03</v>
      </c>
      <c r="Y351">
        <v>14</v>
      </c>
      <c r="Z351" s="1">
        <v>4.7313281514025007E-3</v>
      </c>
      <c r="AA351">
        <v>67</v>
      </c>
      <c r="AB351" s="1">
        <v>1.6696154900446062E-3</v>
      </c>
      <c r="AC351">
        <v>0.02</v>
      </c>
      <c r="AD351">
        <v>-4</v>
      </c>
      <c r="AE351" s="1">
        <v>-2.8776978417266189E-2</v>
      </c>
      <c r="AF351">
        <v>67</v>
      </c>
      <c r="AG351" s="1">
        <v>1.5782159093585847E-3</v>
      </c>
      <c r="AH351">
        <v>0.01</v>
      </c>
      <c r="AI351">
        <v>0</v>
      </c>
      <c r="AJ351" s="1">
        <v>0</v>
      </c>
    </row>
    <row r="352" spans="1:36" x14ac:dyDescent="0.3">
      <c r="A352" t="s">
        <v>134</v>
      </c>
      <c r="B352">
        <v>183927</v>
      </c>
      <c r="C352" t="s">
        <v>701</v>
      </c>
      <c r="E352">
        <v>16</v>
      </c>
      <c r="F352" s="1" t="s">
        <v>700</v>
      </c>
      <c r="G352">
        <v>31</v>
      </c>
      <c r="H352" s="1" t="s">
        <v>700</v>
      </c>
      <c r="I352" t="s">
        <v>700</v>
      </c>
      <c r="J352">
        <v>15</v>
      </c>
      <c r="K352" s="1" t="s">
        <v>700</v>
      </c>
      <c r="L352">
        <v>18</v>
      </c>
      <c r="M352" s="1" t="s">
        <v>700</v>
      </c>
      <c r="N352" t="s">
        <v>700</v>
      </c>
      <c r="O352">
        <v>-13</v>
      </c>
      <c r="P352" s="1" t="s">
        <v>700</v>
      </c>
      <c r="Q352">
        <v>19</v>
      </c>
      <c r="R352" s="1" t="s">
        <v>700</v>
      </c>
      <c r="S352" t="s">
        <v>700</v>
      </c>
      <c r="T352">
        <v>1</v>
      </c>
      <c r="U352" s="1" t="s">
        <v>700</v>
      </c>
      <c r="V352">
        <v>21</v>
      </c>
      <c r="Y352">
        <v>2</v>
      </c>
      <c r="AA352">
        <v>21</v>
      </c>
      <c r="AD352">
        <v>0</v>
      </c>
      <c r="AF352">
        <v>19</v>
      </c>
      <c r="AI352">
        <v>-2</v>
      </c>
    </row>
    <row r="353" spans="1:36" x14ac:dyDescent="0.3">
      <c r="A353" t="s">
        <v>134</v>
      </c>
      <c r="B353">
        <v>183927</v>
      </c>
      <c r="C353" t="s">
        <v>702</v>
      </c>
      <c r="E353">
        <v>1172</v>
      </c>
      <c r="F353" s="1" t="s">
        <v>700</v>
      </c>
      <c r="G353">
        <v>1394</v>
      </c>
      <c r="H353" s="1" t="s">
        <v>700</v>
      </c>
      <c r="I353" t="s">
        <v>700</v>
      </c>
      <c r="J353">
        <v>222</v>
      </c>
      <c r="K353" s="1" t="s">
        <v>700</v>
      </c>
      <c r="L353">
        <v>1593</v>
      </c>
      <c r="M353" s="1" t="s">
        <v>700</v>
      </c>
      <c r="N353" t="s">
        <v>700</v>
      </c>
      <c r="O353">
        <v>199</v>
      </c>
      <c r="P353" s="1" t="s">
        <v>700</v>
      </c>
      <c r="Q353">
        <v>1625</v>
      </c>
      <c r="R353" s="1" t="s">
        <v>700</v>
      </c>
      <c r="S353" t="s">
        <v>700</v>
      </c>
      <c r="T353">
        <v>32</v>
      </c>
      <c r="U353" s="1" t="s">
        <v>700</v>
      </c>
      <c r="V353">
        <v>1836</v>
      </c>
      <c r="Y353">
        <v>211</v>
      </c>
      <c r="AA353">
        <v>1860</v>
      </c>
      <c r="AD353">
        <v>24</v>
      </c>
      <c r="AF353">
        <v>1964</v>
      </c>
      <c r="AI353">
        <v>104</v>
      </c>
    </row>
    <row r="354" spans="1:36" x14ac:dyDescent="0.3">
      <c r="A354" t="s">
        <v>98</v>
      </c>
      <c r="B354">
        <v>177711</v>
      </c>
      <c r="C354" t="s">
        <v>699</v>
      </c>
      <c r="E354">
        <v>30362</v>
      </c>
      <c r="F354" s="1" t="s">
        <v>700</v>
      </c>
      <c r="G354">
        <v>39872</v>
      </c>
      <c r="H354" s="1" t="s">
        <v>700</v>
      </c>
      <c r="I354" t="s">
        <v>700</v>
      </c>
      <c r="J354">
        <v>9510</v>
      </c>
      <c r="K354" s="1" t="s">
        <v>700</v>
      </c>
      <c r="L354">
        <v>47924</v>
      </c>
      <c r="M354" s="1" t="s">
        <v>700</v>
      </c>
      <c r="N354" t="s">
        <v>700</v>
      </c>
      <c r="O354">
        <v>8052</v>
      </c>
      <c r="P354" s="1" t="s">
        <v>700</v>
      </c>
      <c r="Q354">
        <v>48182</v>
      </c>
      <c r="R354" s="1" t="s">
        <v>700</v>
      </c>
      <c r="S354" t="s">
        <v>700</v>
      </c>
      <c r="T354">
        <v>258</v>
      </c>
      <c r="U354" s="1" t="s">
        <v>700</v>
      </c>
      <c r="V354">
        <v>48551</v>
      </c>
      <c r="Y354">
        <v>369</v>
      </c>
      <c r="AA354">
        <v>48595</v>
      </c>
      <c r="AD354">
        <v>44</v>
      </c>
      <c r="AF354">
        <v>49205</v>
      </c>
      <c r="AI354">
        <v>610</v>
      </c>
    </row>
    <row r="355" spans="1:36" x14ac:dyDescent="0.3">
      <c r="A355" t="s">
        <v>98</v>
      </c>
      <c r="B355">
        <v>177711</v>
      </c>
      <c r="C355" t="s">
        <v>543</v>
      </c>
      <c r="D355" t="s">
        <v>401</v>
      </c>
      <c r="E355">
        <v>19285</v>
      </c>
      <c r="F355" s="1">
        <v>0.65040000000000009</v>
      </c>
      <c r="G355">
        <v>25318</v>
      </c>
      <c r="H355" s="1">
        <v>0.65069999999999995</v>
      </c>
      <c r="I355">
        <v>0.03</v>
      </c>
      <c r="J355">
        <v>6033</v>
      </c>
      <c r="K355" s="1">
        <v>0.65189999999999992</v>
      </c>
      <c r="L355">
        <v>30606</v>
      </c>
      <c r="M355" s="1">
        <v>0.65457578544389072</v>
      </c>
      <c r="N355">
        <v>0.42</v>
      </c>
      <c r="O355">
        <v>5288</v>
      </c>
      <c r="P355" s="1">
        <v>0.67363057324840769</v>
      </c>
      <c r="Q355">
        <v>30788</v>
      </c>
      <c r="R355" s="1">
        <v>0.65502201987107211</v>
      </c>
      <c r="S355">
        <v>0.46</v>
      </c>
      <c r="T355">
        <v>182</v>
      </c>
      <c r="U355" s="1">
        <v>0.73983739837398377</v>
      </c>
      <c r="V355">
        <v>31027</v>
      </c>
      <c r="W355" s="1">
        <v>0.65515857933189747</v>
      </c>
      <c r="X355">
        <v>0.48</v>
      </c>
      <c r="Y355">
        <v>239</v>
      </c>
      <c r="Z355" s="1">
        <v>0.6732394366197183</v>
      </c>
      <c r="AA355">
        <v>31055</v>
      </c>
      <c r="AB355" s="1">
        <v>0.65525171962695705</v>
      </c>
      <c r="AC355">
        <v>0.49</v>
      </c>
      <c r="AD355">
        <v>28</v>
      </c>
      <c r="AE355" s="1">
        <v>0.77777777777777779</v>
      </c>
      <c r="AF355">
        <v>31475</v>
      </c>
      <c r="AG355" s="1">
        <v>0.65607087024491928</v>
      </c>
      <c r="AH355">
        <v>0.56999999999999995</v>
      </c>
      <c r="AI355">
        <v>420</v>
      </c>
      <c r="AJ355" s="1">
        <v>0.72289156626506024</v>
      </c>
    </row>
    <row r="356" spans="1:36" x14ac:dyDescent="0.3">
      <c r="A356" t="s">
        <v>98</v>
      </c>
      <c r="B356">
        <v>177711</v>
      </c>
      <c r="C356" t="s">
        <v>544</v>
      </c>
      <c r="D356" t="s">
        <v>399</v>
      </c>
      <c r="E356">
        <v>10314</v>
      </c>
      <c r="F356" s="1">
        <v>0.3478</v>
      </c>
      <c r="G356">
        <v>13517</v>
      </c>
      <c r="H356" s="1">
        <v>0.34740000000000004</v>
      </c>
      <c r="I356">
        <v>-0.04</v>
      </c>
      <c r="J356">
        <v>3203</v>
      </c>
      <c r="K356" s="1">
        <v>0.34610000000000002</v>
      </c>
      <c r="L356">
        <v>16058</v>
      </c>
      <c r="M356" s="1">
        <v>0.34343520756250401</v>
      </c>
      <c r="N356">
        <v>-0.44</v>
      </c>
      <c r="O356">
        <v>2541</v>
      </c>
      <c r="P356" s="1">
        <v>0.32369426751592356</v>
      </c>
      <c r="Q356">
        <v>16122</v>
      </c>
      <c r="R356" s="1">
        <v>0.34299938301810523</v>
      </c>
      <c r="S356">
        <v>-0.48</v>
      </c>
      <c r="T356">
        <v>64</v>
      </c>
      <c r="U356" s="1">
        <v>0.26016260162601629</v>
      </c>
      <c r="V356">
        <v>16238</v>
      </c>
      <c r="W356" s="1">
        <v>0.34287765530638964</v>
      </c>
      <c r="X356">
        <v>-0.49</v>
      </c>
      <c r="Y356">
        <v>116</v>
      </c>
      <c r="Z356" s="1">
        <v>0.3267605633802817</v>
      </c>
      <c r="AA356">
        <v>16246</v>
      </c>
      <c r="AB356" s="1">
        <v>0.34278600666751063</v>
      </c>
      <c r="AC356">
        <v>-0.5</v>
      </c>
      <c r="AD356">
        <v>8</v>
      </c>
      <c r="AE356" s="1">
        <v>0.22222222222222221</v>
      </c>
      <c r="AF356">
        <v>16418</v>
      </c>
      <c r="AG356" s="1">
        <v>0.34221990620114645</v>
      </c>
      <c r="AH356">
        <v>-0.56000000000000005</v>
      </c>
      <c r="AI356">
        <v>172</v>
      </c>
      <c r="AJ356" s="1">
        <v>0.29604130808950085</v>
      </c>
    </row>
    <row r="357" spans="1:36" x14ac:dyDescent="0.3">
      <c r="A357" t="s">
        <v>98</v>
      </c>
      <c r="B357">
        <v>177711</v>
      </c>
      <c r="C357" t="s">
        <v>402</v>
      </c>
      <c r="E357">
        <v>53</v>
      </c>
      <c r="F357" s="1">
        <v>1.8E-3</v>
      </c>
      <c r="G357">
        <v>72</v>
      </c>
      <c r="H357" s="1">
        <v>1.9E-3</v>
      </c>
      <c r="I357">
        <v>0.01</v>
      </c>
      <c r="J357">
        <v>19</v>
      </c>
      <c r="K357" s="1">
        <v>2.0999999999999999E-3</v>
      </c>
      <c r="L357">
        <v>93</v>
      </c>
      <c r="M357" s="1">
        <v>1.9890069936052356E-3</v>
      </c>
      <c r="N357">
        <v>0.02</v>
      </c>
      <c r="O357">
        <v>21</v>
      </c>
      <c r="P357" s="1">
        <v>2.6751592356687899E-3</v>
      </c>
      <c r="Q357">
        <v>93</v>
      </c>
      <c r="R357" s="1">
        <v>1.9785971108227133E-3</v>
      </c>
      <c r="S357">
        <v>0.02</v>
      </c>
      <c r="T357">
        <v>0</v>
      </c>
      <c r="U357" s="1">
        <v>0</v>
      </c>
      <c r="V357">
        <v>93</v>
      </c>
      <c r="W357" s="1">
        <v>1.9637653617129102E-3</v>
      </c>
      <c r="X357">
        <v>0.02</v>
      </c>
      <c r="Y357">
        <v>0</v>
      </c>
      <c r="Z357" s="1">
        <v>0</v>
      </c>
      <c r="AA357">
        <v>93</v>
      </c>
      <c r="AB357" s="1">
        <v>1.9622737055323457E-3</v>
      </c>
      <c r="AC357">
        <v>0.02</v>
      </c>
      <c r="AD357">
        <v>0</v>
      </c>
      <c r="AE357" s="1">
        <v>0</v>
      </c>
      <c r="AF357">
        <v>82</v>
      </c>
      <c r="AG357" s="1">
        <v>1.7092235539343408E-3</v>
      </c>
      <c r="AH357">
        <v>-0.01</v>
      </c>
      <c r="AI357">
        <v>-11</v>
      </c>
      <c r="AJ357" s="1">
        <v>-1.8932874354561102E-2</v>
      </c>
    </row>
    <row r="358" spans="1:36" x14ac:dyDescent="0.3">
      <c r="A358" t="s">
        <v>98</v>
      </c>
      <c r="B358">
        <v>177711</v>
      </c>
      <c r="C358" t="s">
        <v>701</v>
      </c>
      <c r="E358">
        <v>6</v>
      </c>
      <c r="F358" s="1" t="s">
        <v>700</v>
      </c>
      <c r="G358">
        <v>13</v>
      </c>
      <c r="H358" s="1" t="s">
        <v>700</v>
      </c>
      <c r="I358" t="s">
        <v>700</v>
      </c>
      <c r="J358">
        <v>7</v>
      </c>
      <c r="K358" s="1" t="s">
        <v>700</v>
      </c>
      <c r="L358">
        <v>0</v>
      </c>
      <c r="M358" s="1" t="s">
        <v>700</v>
      </c>
      <c r="N358" t="s">
        <v>700</v>
      </c>
      <c r="O358">
        <v>-13</v>
      </c>
      <c r="P358" s="1" t="s">
        <v>700</v>
      </c>
      <c r="Q358">
        <v>0</v>
      </c>
      <c r="R358" s="1" t="s">
        <v>700</v>
      </c>
      <c r="S358" t="s">
        <v>700</v>
      </c>
      <c r="T358" t="s">
        <v>700</v>
      </c>
      <c r="U358" s="1" t="s">
        <v>700</v>
      </c>
      <c r="V358">
        <v>0</v>
      </c>
      <c r="AA358">
        <v>0</v>
      </c>
      <c r="AF358">
        <v>0</v>
      </c>
    </row>
    <row r="359" spans="1:36" x14ac:dyDescent="0.3">
      <c r="A359" t="s">
        <v>98</v>
      </c>
      <c r="B359">
        <v>177711</v>
      </c>
      <c r="C359" t="s">
        <v>702</v>
      </c>
      <c r="E359">
        <v>704</v>
      </c>
      <c r="F359" s="1" t="s">
        <v>700</v>
      </c>
      <c r="G359">
        <v>952</v>
      </c>
      <c r="H359" s="1" t="s">
        <v>700</v>
      </c>
      <c r="I359" t="s">
        <v>700</v>
      </c>
      <c r="J359">
        <v>248</v>
      </c>
      <c r="K359" s="1" t="s">
        <v>700</v>
      </c>
      <c r="L359">
        <v>1167</v>
      </c>
      <c r="M359" s="1" t="s">
        <v>700</v>
      </c>
      <c r="N359" t="s">
        <v>700</v>
      </c>
      <c r="O359">
        <v>215</v>
      </c>
      <c r="P359" s="1" t="s">
        <v>700</v>
      </c>
      <c r="Q359">
        <v>1179</v>
      </c>
      <c r="R359" s="1" t="s">
        <v>700</v>
      </c>
      <c r="S359" t="s">
        <v>700</v>
      </c>
      <c r="T359">
        <v>12</v>
      </c>
      <c r="U359" s="1" t="s">
        <v>700</v>
      </c>
      <c r="V359">
        <v>1193</v>
      </c>
      <c r="Y359">
        <v>14</v>
      </c>
      <c r="AA359">
        <v>1201</v>
      </c>
      <c r="AD359">
        <v>8</v>
      </c>
      <c r="AF359">
        <v>1230</v>
      </c>
      <c r="AI359">
        <v>29</v>
      </c>
    </row>
    <row r="360" spans="1:36" x14ac:dyDescent="0.3">
      <c r="A360" t="s">
        <v>100</v>
      </c>
      <c r="B360">
        <v>182895</v>
      </c>
      <c r="C360" t="s">
        <v>699</v>
      </c>
      <c r="E360">
        <v>30362</v>
      </c>
      <c r="F360" s="1" t="s">
        <v>700</v>
      </c>
      <c r="G360">
        <v>39872</v>
      </c>
      <c r="H360" s="1" t="s">
        <v>700</v>
      </c>
      <c r="I360" t="s">
        <v>700</v>
      </c>
      <c r="J360">
        <v>9510</v>
      </c>
      <c r="K360" s="1" t="s">
        <v>700</v>
      </c>
      <c r="L360">
        <v>47924</v>
      </c>
      <c r="M360" s="1" t="s">
        <v>700</v>
      </c>
      <c r="N360" t="s">
        <v>700</v>
      </c>
      <c r="O360">
        <v>8052</v>
      </c>
      <c r="P360" s="1" t="s">
        <v>700</v>
      </c>
      <c r="Q360">
        <v>48182</v>
      </c>
      <c r="R360" s="1" t="s">
        <v>700</v>
      </c>
      <c r="S360" t="s">
        <v>700</v>
      </c>
      <c r="T360">
        <v>258</v>
      </c>
      <c r="U360" s="1" t="s">
        <v>700</v>
      </c>
      <c r="V360">
        <v>48551</v>
      </c>
      <c r="Y360">
        <v>369</v>
      </c>
      <c r="AA360">
        <v>48595</v>
      </c>
      <c r="AD360">
        <v>44</v>
      </c>
      <c r="AF360">
        <v>49205</v>
      </c>
      <c r="AI360">
        <v>610</v>
      </c>
    </row>
    <row r="361" spans="1:36" x14ac:dyDescent="0.3">
      <c r="A361" t="s">
        <v>100</v>
      </c>
      <c r="B361">
        <v>182895</v>
      </c>
      <c r="C361" t="s">
        <v>545</v>
      </c>
      <c r="D361" t="s">
        <v>399</v>
      </c>
      <c r="E361">
        <v>11146</v>
      </c>
      <c r="F361" s="1">
        <v>0.37560000000000004</v>
      </c>
      <c r="G361">
        <v>14603</v>
      </c>
      <c r="H361" s="1">
        <v>0.37520000000000003</v>
      </c>
      <c r="I361">
        <v>-0.04</v>
      </c>
      <c r="J361">
        <v>3457</v>
      </c>
      <c r="K361" s="1">
        <v>0.37390000000000001</v>
      </c>
      <c r="L361">
        <v>17346</v>
      </c>
      <c r="M361" s="1">
        <v>0.37118034751348111</v>
      </c>
      <c r="N361">
        <v>-0.44</v>
      </c>
      <c r="O361">
        <v>2743</v>
      </c>
      <c r="P361" s="1">
        <v>0.35103660097261324</v>
      </c>
      <c r="Q361">
        <v>17424</v>
      </c>
      <c r="R361" s="1">
        <v>0.3708891206709381</v>
      </c>
      <c r="S361">
        <v>-0.47</v>
      </c>
      <c r="T361">
        <v>78</v>
      </c>
      <c r="U361" s="1">
        <v>0.31578947368421051</v>
      </c>
      <c r="V361">
        <v>17544</v>
      </c>
      <c r="W361" s="1">
        <v>0.37064266700469006</v>
      </c>
      <c r="X361">
        <v>-0.5</v>
      </c>
      <c r="Y361">
        <v>120</v>
      </c>
      <c r="Z361" s="1">
        <v>0.3380281690140845</v>
      </c>
      <c r="AA361">
        <v>17552</v>
      </c>
      <c r="AB361" s="1">
        <v>0.37053769342819143</v>
      </c>
      <c r="AC361">
        <v>-0.51</v>
      </c>
      <c r="AD361">
        <v>8</v>
      </c>
      <c r="AE361" s="1">
        <v>0.22857142857142856</v>
      </c>
      <c r="AF361">
        <v>17728</v>
      </c>
      <c r="AG361" s="1">
        <v>0.36975701324434246</v>
      </c>
      <c r="AH361">
        <v>-0.57999999999999996</v>
      </c>
      <c r="AI361">
        <v>176</v>
      </c>
      <c r="AJ361" s="1">
        <v>0.30555555555555558</v>
      </c>
    </row>
    <row r="362" spans="1:36" x14ac:dyDescent="0.3">
      <c r="A362" t="s">
        <v>100</v>
      </c>
      <c r="B362">
        <v>182895</v>
      </c>
      <c r="C362" t="s">
        <v>546</v>
      </c>
      <c r="D362" t="s">
        <v>401</v>
      </c>
      <c r="E362">
        <v>18475</v>
      </c>
      <c r="F362" s="1">
        <v>0.62259999999999993</v>
      </c>
      <c r="G362">
        <v>24242</v>
      </c>
      <c r="H362" s="1">
        <v>0.62290000000000001</v>
      </c>
      <c r="I362">
        <v>0.03</v>
      </c>
      <c r="J362">
        <v>5767</v>
      </c>
      <c r="K362" s="1">
        <v>0.62369999999999992</v>
      </c>
      <c r="L362">
        <v>29298</v>
      </c>
      <c r="M362" s="1">
        <v>0.62693657450997176</v>
      </c>
      <c r="N362">
        <v>0.43</v>
      </c>
      <c r="O362">
        <v>5056</v>
      </c>
      <c r="P362" s="1">
        <v>0.64704376759662141</v>
      </c>
      <c r="Q362">
        <v>29466</v>
      </c>
      <c r="R362" s="1">
        <v>0.62721641584537768</v>
      </c>
      <c r="S362">
        <v>0.46</v>
      </c>
      <c r="T362">
        <v>168</v>
      </c>
      <c r="U362" s="1">
        <v>0.68016194331983804</v>
      </c>
      <c r="V362">
        <v>29701</v>
      </c>
      <c r="W362" s="1">
        <v>0.62747707778763684</v>
      </c>
      <c r="X362">
        <v>0.49</v>
      </c>
      <c r="Y362">
        <v>235</v>
      </c>
      <c r="Z362" s="1">
        <v>0.6619718309859155</v>
      </c>
      <c r="AA362">
        <v>29728</v>
      </c>
      <c r="AB362" s="1">
        <v>0.62758344064683658</v>
      </c>
      <c r="AC362">
        <v>0.5</v>
      </c>
      <c r="AD362">
        <v>27</v>
      </c>
      <c r="AE362" s="1">
        <v>0.77142857142857146</v>
      </c>
      <c r="AF362">
        <v>30140</v>
      </c>
      <c r="AG362" s="1">
        <v>0.6286369798727709</v>
      </c>
      <c r="AH362">
        <v>0.6</v>
      </c>
      <c r="AI362">
        <v>412</v>
      </c>
      <c r="AJ362" s="1">
        <v>0.71527777777777779</v>
      </c>
    </row>
    <row r="363" spans="1:36" x14ac:dyDescent="0.3">
      <c r="A363" t="s">
        <v>100</v>
      </c>
      <c r="B363">
        <v>182895</v>
      </c>
      <c r="C363" t="s">
        <v>402</v>
      </c>
      <c r="E363">
        <v>51</v>
      </c>
      <c r="F363" s="1">
        <v>1.7000000000000001E-3</v>
      </c>
      <c r="G363">
        <v>73</v>
      </c>
      <c r="H363" s="1">
        <v>1.9E-3</v>
      </c>
      <c r="I363">
        <v>0.02</v>
      </c>
      <c r="J363">
        <v>22</v>
      </c>
      <c r="K363" s="1">
        <v>2.3999999999999998E-3</v>
      </c>
      <c r="L363">
        <v>88</v>
      </c>
      <c r="M363" s="1">
        <v>1.8830779765471198E-3</v>
      </c>
      <c r="N363">
        <v>0.02</v>
      </c>
      <c r="O363">
        <v>15</v>
      </c>
      <c r="P363" s="1">
        <v>1.919631430765293E-3</v>
      </c>
      <c r="Q363">
        <v>89</v>
      </c>
      <c r="R363" s="1">
        <v>1.8944634836841993E-3</v>
      </c>
      <c r="S363">
        <v>0.02</v>
      </c>
      <c r="T363">
        <v>1</v>
      </c>
      <c r="U363" s="1">
        <v>4.048582995951417E-3</v>
      </c>
      <c r="V363">
        <v>89</v>
      </c>
      <c r="W363" s="1">
        <v>1.8802552076731315E-3</v>
      </c>
      <c r="X363">
        <v>0.02</v>
      </c>
      <c r="Y363">
        <v>0</v>
      </c>
      <c r="Z363" s="1">
        <v>0</v>
      </c>
      <c r="AA363">
        <v>89</v>
      </c>
      <c r="AB363" s="1">
        <v>1.8788659249720282E-3</v>
      </c>
      <c r="AC363">
        <v>0.02</v>
      </c>
      <c r="AD363">
        <v>0</v>
      </c>
      <c r="AE363" s="1">
        <v>0</v>
      </c>
      <c r="AF363">
        <v>77</v>
      </c>
      <c r="AG363" s="1">
        <v>1.6060068828866408E-3</v>
      </c>
      <c r="AH363">
        <v>-0.01</v>
      </c>
      <c r="AI363">
        <v>-12</v>
      </c>
      <c r="AJ363" s="1">
        <v>-2.0833333333333332E-2</v>
      </c>
    </row>
    <row r="364" spans="1:36" x14ac:dyDescent="0.3">
      <c r="A364" t="s">
        <v>100</v>
      </c>
      <c r="B364">
        <v>182895</v>
      </c>
      <c r="C364" t="s">
        <v>701</v>
      </c>
      <c r="E364">
        <v>5</v>
      </c>
      <c r="F364" s="1" t="s">
        <v>700</v>
      </c>
      <c r="G364">
        <v>14</v>
      </c>
      <c r="H364" s="1" t="s">
        <v>700</v>
      </c>
      <c r="I364" t="s">
        <v>700</v>
      </c>
      <c r="J364">
        <v>9</v>
      </c>
      <c r="K364" s="1" t="s">
        <v>700</v>
      </c>
      <c r="L364">
        <v>4</v>
      </c>
      <c r="M364" s="1" t="s">
        <v>700</v>
      </c>
      <c r="N364" t="s">
        <v>700</v>
      </c>
      <c r="O364">
        <v>-10</v>
      </c>
      <c r="P364" s="1" t="s">
        <v>700</v>
      </c>
      <c r="Q364">
        <v>4</v>
      </c>
      <c r="R364" s="1" t="s">
        <v>700</v>
      </c>
      <c r="S364" t="s">
        <v>700</v>
      </c>
      <c r="T364">
        <v>0</v>
      </c>
      <c r="U364" s="1" t="s">
        <v>700</v>
      </c>
      <c r="V364">
        <v>4</v>
      </c>
      <c r="Y364">
        <v>0</v>
      </c>
      <c r="AA364">
        <v>4</v>
      </c>
      <c r="AD364">
        <v>0</v>
      </c>
      <c r="AF364">
        <v>5</v>
      </c>
      <c r="AI364">
        <v>1</v>
      </c>
    </row>
    <row r="365" spans="1:36" x14ac:dyDescent="0.3">
      <c r="A365" t="s">
        <v>100</v>
      </c>
      <c r="B365">
        <v>182895</v>
      </c>
      <c r="C365" t="s">
        <v>702</v>
      </c>
      <c r="E365">
        <v>685</v>
      </c>
      <c r="F365" s="1" t="s">
        <v>700</v>
      </c>
      <c r="G365">
        <v>940</v>
      </c>
      <c r="H365" s="1" t="s">
        <v>700</v>
      </c>
      <c r="I365" t="s">
        <v>700</v>
      </c>
      <c r="J365">
        <v>255</v>
      </c>
      <c r="K365" s="1" t="s">
        <v>700</v>
      </c>
      <c r="L365">
        <v>1188</v>
      </c>
      <c r="M365" s="1" t="s">
        <v>700</v>
      </c>
      <c r="N365" t="s">
        <v>700</v>
      </c>
      <c r="O365">
        <v>248</v>
      </c>
      <c r="P365" s="1" t="s">
        <v>700</v>
      </c>
      <c r="Q365">
        <v>1199</v>
      </c>
      <c r="R365" s="1" t="s">
        <v>700</v>
      </c>
      <c r="S365" t="s">
        <v>700</v>
      </c>
      <c r="T365">
        <v>11</v>
      </c>
      <c r="U365" s="1" t="s">
        <v>700</v>
      </c>
      <c r="V365">
        <v>1213</v>
      </c>
      <c r="Y365">
        <v>14</v>
      </c>
      <c r="AA365">
        <v>1222</v>
      </c>
      <c r="AD365">
        <v>9</v>
      </c>
      <c r="AF365">
        <v>1255</v>
      </c>
      <c r="AI365">
        <v>33</v>
      </c>
    </row>
    <row r="366" spans="1:36" x14ac:dyDescent="0.3">
      <c r="A366" t="s">
        <v>176</v>
      </c>
      <c r="B366">
        <v>175047</v>
      </c>
      <c r="C366" t="s">
        <v>699</v>
      </c>
      <c r="E366">
        <v>17834</v>
      </c>
      <c r="F366" s="1" t="s">
        <v>700</v>
      </c>
      <c r="G366">
        <v>19798</v>
      </c>
      <c r="H366" s="1" t="s">
        <v>700</v>
      </c>
      <c r="I366" t="s">
        <v>700</v>
      </c>
      <c r="J366">
        <v>1964</v>
      </c>
      <c r="K366" s="1" t="s">
        <v>700</v>
      </c>
      <c r="L366">
        <v>23307</v>
      </c>
      <c r="M366" s="1" t="s">
        <v>700</v>
      </c>
      <c r="N366" t="s">
        <v>700</v>
      </c>
      <c r="O366">
        <v>3509</v>
      </c>
      <c r="P366" s="1" t="s">
        <v>700</v>
      </c>
      <c r="Q366">
        <v>29455</v>
      </c>
      <c r="R366" s="1" t="s">
        <v>700</v>
      </c>
      <c r="S366" t="s">
        <v>700</v>
      </c>
      <c r="T366">
        <v>6148</v>
      </c>
      <c r="U366" s="1" t="s">
        <v>700</v>
      </c>
      <c r="V366">
        <v>34505</v>
      </c>
      <c r="Y366">
        <v>5050</v>
      </c>
      <c r="AA366">
        <v>36176</v>
      </c>
      <c r="AD366">
        <v>1671</v>
      </c>
      <c r="AF366">
        <v>39317</v>
      </c>
      <c r="AI366">
        <v>3141</v>
      </c>
    </row>
    <row r="367" spans="1:36" x14ac:dyDescent="0.3">
      <c r="A367" t="s">
        <v>176</v>
      </c>
      <c r="B367">
        <v>175047</v>
      </c>
      <c r="C367" t="s">
        <v>560</v>
      </c>
      <c r="D367" t="s">
        <v>401</v>
      </c>
      <c r="E367">
        <v>5490</v>
      </c>
      <c r="F367" s="1">
        <v>0.20989999999999998</v>
      </c>
      <c r="G367">
        <v>5878</v>
      </c>
      <c r="H367" s="1">
        <v>0.20929999999999999</v>
      </c>
      <c r="I367">
        <v>-0.06</v>
      </c>
      <c r="J367">
        <v>388</v>
      </c>
      <c r="K367" s="1">
        <v>0.20120000000000002</v>
      </c>
      <c r="L367">
        <v>7422</v>
      </c>
      <c r="M367" s="1">
        <v>0.20237770627692644</v>
      </c>
      <c r="N367">
        <v>-0.75</v>
      </c>
      <c r="O367">
        <v>1544</v>
      </c>
      <c r="P367" s="1">
        <v>0.17982762636850688</v>
      </c>
      <c r="Q367">
        <v>8984</v>
      </c>
      <c r="R367" s="1">
        <v>0.21057566097881117</v>
      </c>
      <c r="S367">
        <v>7.0000000000000007E-2</v>
      </c>
      <c r="T367">
        <v>1562</v>
      </c>
      <c r="U367" s="1">
        <v>0.26076794657762936</v>
      </c>
      <c r="V367">
        <v>10391</v>
      </c>
      <c r="W367" s="1">
        <v>0.21276900710526855</v>
      </c>
      <c r="X367">
        <v>0.28999999999999998</v>
      </c>
      <c r="Y367">
        <v>1407</v>
      </c>
      <c r="Z367" s="1">
        <v>0.22792807387007938</v>
      </c>
      <c r="AA367">
        <v>10803</v>
      </c>
      <c r="AB367" s="1">
        <v>0.2140479492767981</v>
      </c>
      <c r="AC367">
        <v>0.41</v>
      </c>
      <c r="AD367">
        <v>412</v>
      </c>
      <c r="AE367" s="1">
        <v>0.25229638701775875</v>
      </c>
      <c r="AF367">
        <v>11779</v>
      </c>
      <c r="AG367" s="1">
        <v>0.21818619642129441</v>
      </c>
      <c r="AH367">
        <v>0.83</v>
      </c>
      <c r="AI367">
        <v>976</v>
      </c>
      <c r="AJ367" s="1">
        <v>0.27758816837315131</v>
      </c>
    </row>
    <row r="368" spans="1:36" x14ac:dyDescent="0.3">
      <c r="A368" t="s">
        <v>176</v>
      </c>
      <c r="B368">
        <v>175047</v>
      </c>
      <c r="C368" t="s">
        <v>561</v>
      </c>
      <c r="D368" t="s">
        <v>400</v>
      </c>
      <c r="E368">
        <v>1643</v>
      </c>
      <c r="F368" s="1">
        <v>6.2800000000000009E-2</v>
      </c>
      <c r="G368">
        <v>1774</v>
      </c>
      <c r="H368" s="1">
        <v>6.3200000000000006E-2</v>
      </c>
      <c r="I368">
        <v>0.04</v>
      </c>
      <c r="J368">
        <v>131</v>
      </c>
      <c r="K368" s="1">
        <v>6.7900000000000002E-2</v>
      </c>
      <c r="L368">
        <v>2264</v>
      </c>
      <c r="M368" s="1">
        <v>6.1733107923869775E-2</v>
      </c>
      <c r="N368">
        <v>-0.11</v>
      </c>
      <c r="O368">
        <v>490</v>
      </c>
      <c r="P368" s="1">
        <v>5.7069648264616815E-2</v>
      </c>
      <c r="Q368">
        <v>2742</v>
      </c>
      <c r="R368" s="1">
        <v>6.4269641852615786E-2</v>
      </c>
      <c r="S368">
        <v>0.15</v>
      </c>
      <c r="T368">
        <v>478</v>
      </c>
      <c r="U368" s="1">
        <v>7.9799666110183645E-2</v>
      </c>
      <c r="V368">
        <v>3259</v>
      </c>
      <c r="W368" s="1">
        <v>6.6732190757008009E-2</v>
      </c>
      <c r="X368">
        <v>0.39</v>
      </c>
      <c r="Y368">
        <v>517</v>
      </c>
      <c r="Z368" s="1">
        <v>8.3751822452616226E-2</v>
      </c>
      <c r="AA368">
        <v>3404</v>
      </c>
      <c r="AB368" s="1">
        <v>6.7446007529225277E-2</v>
      </c>
      <c r="AC368">
        <v>0.46</v>
      </c>
      <c r="AD368">
        <v>145</v>
      </c>
      <c r="AE368" s="1">
        <v>8.8793631353337413E-2</v>
      </c>
      <c r="AF368">
        <v>3643</v>
      </c>
      <c r="AG368" s="1">
        <v>6.748045789649168E-2</v>
      </c>
      <c r="AH368">
        <v>0.47</v>
      </c>
      <c r="AI368">
        <v>239</v>
      </c>
      <c r="AJ368" s="1">
        <v>6.7974971558589309E-2</v>
      </c>
    </row>
    <row r="369" spans="1:36" x14ac:dyDescent="0.3">
      <c r="A369" t="s">
        <v>176</v>
      </c>
      <c r="B369">
        <v>175047</v>
      </c>
      <c r="C369" t="s">
        <v>562</v>
      </c>
      <c r="D369" t="s">
        <v>399</v>
      </c>
      <c r="E369">
        <v>16443</v>
      </c>
      <c r="F369" s="1">
        <v>0.62860000000000005</v>
      </c>
      <c r="G369">
        <v>17595</v>
      </c>
      <c r="H369" s="1">
        <v>0.62639999999999996</v>
      </c>
      <c r="I369">
        <v>-0.22</v>
      </c>
      <c r="J369">
        <v>1152</v>
      </c>
      <c r="K369" s="1">
        <v>0.59750000000000003</v>
      </c>
      <c r="L369">
        <v>23388</v>
      </c>
      <c r="M369" s="1">
        <v>0.63772700005453453</v>
      </c>
      <c r="N369">
        <v>0.91</v>
      </c>
      <c r="O369">
        <v>5793</v>
      </c>
      <c r="P369" s="1">
        <v>0.67470300489168411</v>
      </c>
      <c r="Q369">
        <v>26501</v>
      </c>
      <c r="R369" s="1">
        <v>0.62115600975060936</v>
      </c>
      <c r="S369">
        <v>-0.74</v>
      </c>
      <c r="T369">
        <v>3113</v>
      </c>
      <c r="U369" s="1">
        <v>0.51969949916527547</v>
      </c>
      <c r="V369">
        <v>29965</v>
      </c>
      <c r="W369" s="1">
        <v>0.61357167721194994</v>
      </c>
      <c r="X369">
        <v>-1.5</v>
      </c>
      <c r="Y369">
        <v>3464</v>
      </c>
      <c r="Z369" s="1">
        <v>0.56115341001133967</v>
      </c>
      <c r="AA369">
        <v>30787</v>
      </c>
      <c r="AB369" s="1">
        <v>0.61000594412522291</v>
      </c>
      <c r="AC369">
        <v>-1.86</v>
      </c>
      <c r="AD369">
        <v>822</v>
      </c>
      <c r="AE369" s="1">
        <v>0.50336803429271282</v>
      </c>
      <c r="AF369">
        <v>32592</v>
      </c>
      <c r="AG369" s="1">
        <v>0.60371207350053713</v>
      </c>
      <c r="AH369">
        <v>-2.4900000000000002</v>
      </c>
      <c r="AI369">
        <v>1805</v>
      </c>
      <c r="AJ369" s="1">
        <v>0.51336746302616609</v>
      </c>
    </row>
    <row r="370" spans="1:36" x14ac:dyDescent="0.3">
      <c r="A370" t="s">
        <v>176</v>
      </c>
      <c r="B370">
        <v>175047</v>
      </c>
      <c r="C370" t="s">
        <v>563</v>
      </c>
      <c r="D370" t="s">
        <v>401</v>
      </c>
      <c r="E370">
        <v>2567</v>
      </c>
      <c r="F370" s="1">
        <v>9.8100000000000007E-2</v>
      </c>
      <c r="G370">
        <v>2823</v>
      </c>
      <c r="H370" s="1">
        <v>0.10050000000000001</v>
      </c>
      <c r="I370">
        <v>0.24</v>
      </c>
      <c r="J370">
        <v>256</v>
      </c>
      <c r="K370" s="1">
        <v>0.1328</v>
      </c>
      <c r="L370">
        <v>3573</v>
      </c>
      <c r="M370" s="1">
        <v>9.7425969351584235E-2</v>
      </c>
      <c r="N370">
        <v>-7.0000000000000007E-2</v>
      </c>
      <c r="O370">
        <v>750</v>
      </c>
      <c r="P370" s="1">
        <v>8.7351502445842069E-2</v>
      </c>
      <c r="Q370">
        <v>4408</v>
      </c>
      <c r="R370" s="1">
        <v>0.10331895743483968</v>
      </c>
      <c r="S370">
        <v>0.52</v>
      </c>
      <c r="T370">
        <v>835</v>
      </c>
      <c r="U370" s="1">
        <v>0.13939899833055092</v>
      </c>
      <c r="V370">
        <v>5191</v>
      </c>
      <c r="W370" s="1">
        <v>0.10629236030059176</v>
      </c>
      <c r="X370">
        <v>0.82</v>
      </c>
      <c r="Y370">
        <v>783</v>
      </c>
      <c r="Z370" s="1">
        <v>0.12684270208974566</v>
      </c>
      <c r="AA370">
        <v>5443</v>
      </c>
      <c r="AB370" s="1">
        <v>0.1078462452942342</v>
      </c>
      <c r="AC370">
        <v>0.97</v>
      </c>
      <c r="AD370">
        <v>252</v>
      </c>
      <c r="AE370" s="1">
        <v>0.15431720759338641</v>
      </c>
      <c r="AF370">
        <v>5930</v>
      </c>
      <c r="AG370" s="1">
        <v>0.10984329270551625</v>
      </c>
      <c r="AH370">
        <v>1.17</v>
      </c>
      <c r="AI370">
        <v>487</v>
      </c>
      <c r="AJ370" s="1">
        <v>0.13850967007963594</v>
      </c>
    </row>
    <row r="371" spans="1:36" x14ac:dyDescent="0.3">
      <c r="A371" t="s">
        <v>176</v>
      </c>
      <c r="B371">
        <v>175047</v>
      </c>
      <c r="C371" t="s">
        <v>402</v>
      </c>
      <c r="E371">
        <v>17</v>
      </c>
      <c r="F371" s="1">
        <v>5.9999999999999995E-4</v>
      </c>
      <c r="G371">
        <v>18</v>
      </c>
      <c r="H371" s="1">
        <v>5.9999999999999995E-4</v>
      </c>
      <c r="I371">
        <v>0</v>
      </c>
      <c r="J371">
        <v>1</v>
      </c>
      <c r="K371" s="1">
        <v>5.0000000000000001E-4</v>
      </c>
      <c r="L371">
        <v>27</v>
      </c>
      <c r="M371" s="1">
        <v>7.3621639308501933E-4</v>
      </c>
      <c r="N371">
        <v>0.01</v>
      </c>
      <c r="O371">
        <v>9</v>
      </c>
      <c r="P371" s="1">
        <v>1.0482180293501049E-3</v>
      </c>
      <c r="Q371">
        <v>29</v>
      </c>
      <c r="R371" s="1">
        <v>6.7972998312394522E-4</v>
      </c>
      <c r="S371">
        <v>0.01</v>
      </c>
      <c r="T371">
        <v>2</v>
      </c>
      <c r="U371" s="1">
        <v>3.33889816360601E-4</v>
      </c>
      <c r="V371">
        <v>31</v>
      </c>
      <c r="W371" s="1">
        <v>6.3476462518172693E-4</v>
      </c>
      <c r="X371">
        <v>0</v>
      </c>
      <c r="Y371">
        <v>2</v>
      </c>
      <c r="Z371" s="1">
        <v>3.2399157621901828E-4</v>
      </c>
      <c r="AA371">
        <v>33</v>
      </c>
      <c r="AB371" s="1">
        <v>6.5385377451951659E-4</v>
      </c>
      <c r="AC371">
        <v>0.01</v>
      </c>
      <c r="AD371">
        <v>2</v>
      </c>
      <c r="AE371" s="1">
        <v>1.224739742804654E-3</v>
      </c>
      <c r="AF371">
        <v>42</v>
      </c>
      <c r="AG371" s="1">
        <v>7.7797947616048608E-4</v>
      </c>
      <c r="AH371">
        <v>0.02</v>
      </c>
      <c r="AI371">
        <v>9</v>
      </c>
      <c r="AJ371" s="1">
        <v>2.5597269624573378E-3</v>
      </c>
    </row>
    <row r="372" spans="1:36" x14ac:dyDescent="0.3">
      <c r="A372" t="s">
        <v>176</v>
      </c>
      <c r="B372">
        <v>175047</v>
      </c>
      <c r="C372" t="s">
        <v>701</v>
      </c>
      <c r="E372">
        <v>11</v>
      </c>
      <c r="F372" s="1" t="s">
        <v>700</v>
      </c>
      <c r="G372">
        <v>13</v>
      </c>
      <c r="H372" s="1" t="s">
        <v>700</v>
      </c>
      <c r="I372" t="s">
        <v>700</v>
      </c>
      <c r="J372">
        <v>2</v>
      </c>
      <c r="K372" s="1" t="s">
        <v>700</v>
      </c>
      <c r="L372">
        <v>17</v>
      </c>
      <c r="M372" s="1" t="s">
        <v>700</v>
      </c>
      <c r="N372" t="s">
        <v>700</v>
      </c>
      <c r="O372">
        <v>4</v>
      </c>
      <c r="P372" s="1" t="s">
        <v>700</v>
      </c>
      <c r="Q372">
        <v>33</v>
      </c>
      <c r="R372" s="1" t="s">
        <v>700</v>
      </c>
      <c r="S372" t="s">
        <v>700</v>
      </c>
      <c r="T372">
        <v>16</v>
      </c>
      <c r="U372" s="1" t="s">
        <v>700</v>
      </c>
      <c r="V372">
        <v>43</v>
      </c>
      <c r="Y372">
        <v>10</v>
      </c>
      <c r="AA372">
        <v>43</v>
      </c>
      <c r="AD372">
        <v>0</v>
      </c>
      <c r="AF372">
        <v>30</v>
      </c>
      <c r="AI372">
        <v>-13</v>
      </c>
    </row>
    <row r="373" spans="1:36" x14ac:dyDescent="0.3">
      <c r="A373" t="s">
        <v>176</v>
      </c>
      <c r="B373">
        <v>175047</v>
      </c>
      <c r="C373" t="s">
        <v>702</v>
      </c>
      <c r="E373">
        <v>553</v>
      </c>
      <c r="F373" s="1" t="s">
        <v>700</v>
      </c>
      <c r="G373">
        <v>587</v>
      </c>
      <c r="H373" s="1" t="s">
        <v>700</v>
      </c>
      <c r="I373" t="s">
        <v>700</v>
      </c>
      <c r="J373">
        <v>34</v>
      </c>
      <c r="K373" s="1" t="s">
        <v>700</v>
      </c>
      <c r="L373">
        <v>794</v>
      </c>
      <c r="M373" s="1" t="s">
        <v>700</v>
      </c>
      <c r="N373" t="s">
        <v>700</v>
      </c>
      <c r="O373">
        <v>207</v>
      </c>
      <c r="P373" s="1" t="s">
        <v>700</v>
      </c>
      <c r="Q373">
        <v>936</v>
      </c>
      <c r="R373" s="1" t="s">
        <v>700</v>
      </c>
      <c r="S373" t="s">
        <v>700</v>
      </c>
      <c r="T373">
        <v>142</v>
      </c>
      <c r="U373" s="1" t="s">
        <v>700</v>
      </c>
      <c r="V373">
        <v>1051</v>
      </c>
      <c r="Y373">
        <v>115</v>
      </c>
      <c r="AA373">
        <v>1089</v>
      </c>
      <c r="AD373">
        <v>38</v>
      </c>
      <c r="AF373">
        <v>1210</v>
      </c>
      <c r="AI373">
        <v>121</v>
      </c>
    </row>
    <row r="374" spans="1:36" x14ac:dyDescent="0.3">
      <c r="A374" t="s">
        <v>177</v>
      </c>
      <c r="B374">
        <v>181877</v>
      </c>
      <c r="C374" t="s">
        <v>699</v>
      </c>
      <c r="E374">
        <v>17834</v>
      </c>
      <c r="F374" s="1" t="s">
        <v>700</v>
      </c>
      <c r="G374">
        <v>19798</v>
      </c>
      <c r="H374" s="1" t="s">
        <v>700</v>
      </c>
      <c r="I374" t="s">
        <v>700</v>
      </c>
      <c r="J374">
        <v>1964</v>
      </c>
      <c r="K374" s="1" t="s">
        <v>700</v>
      </c>
      <c r="L374">
        <v>23307</v>
      </c>
      <c r="M374" s="1" t="s">
        <v>700</v>
      </c>
      <c r="N374" t="s">
        <v>700</v>
      </c>
      <c r="O374">
        <v>3509</v>
      </c>
      <c r="P374" s="1" t="s">
        <v>700</v>
      </c>
      <c r="Q374">
        <v>29455</v>
      </c>
      <c r="R374" s="1" t="s">
        <v>700</v>
      </c>
      <c r="S374" t="s">
        <v>700</v>
      </c>
      <c r="T374">
        <v>6148</v>
      </c>
      <c r="U374" s="1" t="s">
        <v>700</v>
      </c>
      <c r="V374">
        <v>34505</v>
      </c>
      <c r="Y374">
        <v>5050</v>
      </c>
      <c r="AA374">
        <v>36176</v>
      </c>
      <c r="AD374">
        <v>1671</v>
      </c>
      <c r="AF374">
        <v>39317</v>
      </c>
      <c r="AI374">
        <v>3141</v>
      </c>
    </row>
    <row r="375" spans="1:36" x14ac:dyDescent="0.3">
      <c r="A375" t="s">
        <v>177</v>
      </c>
      <c r="B375">
        <v>181877</v>
      </c>
      <c r="C375" t="s">
        <v>564</v>
      </c>
      <c r="D375" t="s">
        <v>399</v>
      </c>
      <c r="E375">
        <v>1166</v>
      </c>
      <c r="F375" s="1">
        <v>4.5899999999999996E-2</v>
      </c>
      <c r="G375">
        <v>1239</v>
      </c>
      <c r="H375" s="1">
        <v>4.53E-2</v>
      </c>
      <c r="I375">
        <v>-0.06</v>
      </c>
      <c r="J375">
        <v>73</v>
      </c>
      <c r="K375" s="1">
        <v>3.8300000000000001E-2</v>
      </c>
      <c r="L375">
        <v>1595</v>
      </c>
      <c r="M375" s="1">
        <v>4.4704167717705093E-2</v>
      </c>
      <c r="N375">
        <v>-0.12</v>
      </c>
      <c r="O375">
        <v>356</v>
      </c>
      <c r="P375" s="1">
        <v>4.2599018786645924E-2</v>
      </c>
      <c r="Q375">
        <v>1837</v>
      </c>
      <c r="R375" s="1">
        <v>4.4298150425619139E-2</v>
      </c>
      <c r="S375">
        <v>-0.16</v>
      </c>
      <c r="T375">
        <v>242</v>
      </c>
      <c r="U375" s="1">
        <v>4.179620034542314E-2</v>
      </c>
      <c r="V375">
        <v>2097</v>
      </c>
      <c r="W375" s="1">
        <v>4.418085285690207E-2</v>
      </c>
      <c r="X375">
        <v>-0.17</v>
      </c>
      <c r="Y375">
        <v>260</v>
      </c>
      <c r="Z375" s="1">
        <v>4.3369474562135114E-2</v>
      </c>
      <c r="AA375">
        <v>2184</v>
      </c>
      <c r="AB375" s="1">
        <v>4.4515103338632747E-2</v>
      </c>
      <c r="AC375">
        <v>-0.14000000000000001</v>
      </c>
      <c r="AD375">
        <v>87</v>
      </c>
      <c r="AE375" s="1">
        <v>5.4443053817271589E-2</v>
      </c>
      <c r="AF375">
        <v>2374</v>
      </c>
      <c r="AG375" s="1">
        <v>4.5288057993132395E-2</v>
      </c>
      <c r="AH375">
        <v>-0.06</v>
      </c>
      <c r="AI375">
        <v>190</v>
      </c>
      <c r="AJ375" s="1">
        <v>5.6581298391899938E-2</v>
      </c>
    </row>
    <row r="376" spans="1:36" x14ac:dyDescent="0.3">
      <c r="A376" t="s">
        <v>177</v>
      </c>
      <c r="B376">
        <v>181877</v>
      </c>
      <c r="C376" t="s">
        <v>565</v>
      </c>
      <c r="D376" t="s">
        <v>399</v>
      </c>
      <c r="E376">
        <v>5646</v>
      </c>
      <c r="F376" s="1">
        <v>0.22219999999999998</v>
      </c>
      <c r="G376">
        <v>6113</v>
      </c>
      <c r="H376" s="1">
        <v>0.22370000000000001</v>
      </c>
      <c r="I376">
        <v>0.15</v>
      </c>
      <c r="J376">
        <v>467</v>
      </c>
      <c r="K376" s="1">
        <v>0.24489999999999998</v>
      </c>
      <c r="L376">
        <v>8795</v>
      </c>
      <c r="M376" s="1">
        <v>0.24650354550295692</v>
      </c>
      <c r="N376">
        <v>2.4300000000000002</v>
      </c>
      <c r="O376">
        <v>2682</v>
      </c>
      <c r="P376" s="1">
        <v>0.3209285628814168</v>
      </c>
      <c r="Q376">
        <v>10184</v>
      </c>
      <c r="R376" s="1">
        <v>0.24558103643685644</v>
      </c>
      <c r="S376">
        <v>2.34</v>
      </c>
      <c r="T376">
        <v>1389</v>
      </c>
      <c r="U376" s="1">
        <v>0.23989637305699482</v>
      </c>
      <c r="V376">
        <v>11634</v>
      </c>
      <c r="W376" s="1">
        <v>0.24511208494859263</v>
      </c>
      <c r="X376">
        <v>2.29</v>
      </c>
      <c r="Y376">
        <v>1450</v>
      </c>
      <c r="Z376" s="1">
        <v>0.24186822351959966</v>
      </c>
      <c r="AA376">
        <v>11962</v>
      </c>
      <c r="AB376" s="1">
        <v>0.24381394969630263</v>
      </c>
      <c r="AC376">
        <v>2.16</v>
      </c>
      <c r="AD376">
        <v>328</v>
      </c>
      <c r="AE376" s="1">
        <v>0.20525657071339173</v>
      </c>
      <c r="AF376">
        <v>12699</v>
      </c>
      <c r="AG376" s="1">
        <v>0.24225486455551315</v>
      </c>
      <c r="AH376">
        <v>2.0099999999999998</v>
      </c>
      <c r="AI376">
        <v>737</v>
      </c>
      <c r="AJ376" s="1">
        <v>0.2194758784991066</v>
      </c>
    </row>
    <row r="377" spans="1:36" x14ac:dyDescent="0.3">
      <c r="A377" t="s">
        <v>177</v>
      </c>
      <c r="B377">
        <v>181877</v>
      </c>
      <c r="C377" t="s">
        <v>566</v>
      </c>
      <c r="D377" t="s">
        <v>399</v>
      </c>
      <c r="E377">
        <v>7448</v>
      </c>
      <c r="F377" s="1">
        <v>0.29309999999999997</v>
      </c>
      <c r="G377">
        <v>7927</v>
      </c>
      <c r="H377" s="1">
        <v>0.29010000000000002</v>
      </c>
      <c r="I377">
        <v>-0.3</v>
      </c>
      <c r="J377">
        <v>479</v>
      </c>
      <c r="K377" s="1">
        <v>0.25120000000000003</v>
      </c>
      <c r="L377">
        <v>10004</v>
      </c>
      <c r="M377" s="1">
        <v>0.28038902435606378</v>
      </c>
      <c r="N377">
        <v>-1.27</v>
      </c>
      <c r="O377">
        <v>2077</v>
      </c>
      <c r="P377" s="1">
        <v>0.2485341629771449</v>
      </c>
      <c r="Q377">
        <v>11206</v>
      </c>
      <c r="R377" s="1">
        <v>0.270225951915889</v>
      </c>
      <c r="S377">
        <v>-2.29</v>
      </c>
      <c r="T377">
        <v>1202</v>
      </c>
      <c r="U377" s="1">
        <v>0.2075993091537133</v>
      </c>
      <c r="V377">
        <v>12530</v>
      </c>
      <c r="W377" s="1">
        <v>0.26398954997471769</v>
      </c>
      <c r="X377">
        <v>-2.91</v>
      </c>
      <c r="Y377">
        <v>1324</v>
      </c>
      <c r="Z377" s="1">
        <v>0.22085070892410341</v>
      </c>
      <c r="AA377">
        <v>12833</v>
      </c>
      <c r="AB377" s="1">
        <v>0.26156699686111451</v>
      </c>
      <c r="AC377">
        <v>-3.15</v>
      </c>
      <c r="AD377">
        <v>303</v>
      </c>
      <c r="AE377" s="1">
        <v>0.18961201501877348</v>
      </c>
      <c r="AF377">
        <v>13617</v>
      </c>
      <c r="AG377" s="1">
        <v>0.25976726440289966</v>
      </c>
      <c r="AH377">
        <v>-3.33</v>
      </c>
      <c r="AI377">
        <v>784</v>
      </c>
      <c r="AJ377" s="1">
        <v>0.2334723049434187</v>
      </c>
    </row>
    <row r="378" spans="1:36" x14ac:dyDescent="0.3">
      <c r="A378" t="s">
        <v>177</v>
      </c>
      <c r="B378">
        <v>181877</v>
      </c>
      <c r="C378" t="s">
        <v>567</v>
      </c>
      <c r="D378" t="s">
        <v>399</v>
      </c>
      <c r="E378">
        <v>1896</v>
      </c>
      <c r="F378" s="1">
        <v>7.46E-2</v>
      </c>
      <c r="G378">
        <v>2031</v>
      </c>
      <c r="H378" s="1">
        <v>7.4299999999999991E-2</v>
      </c>
      <c r="I378">
        <v>-0.03</v>
      </c>
      <c r="J378">
        <v>135</v>
      </c>
      <c r="K378" s="1">
        <v>7.0800000000000002E-2</v>
      </c>
      <c r="L378">
        <v>2522</v>
      </c>
      <c r="M378" s="1">
        <v>7.0685837607556271E-2</v>
      </c>
      <c r="N378">
        <v>-0.39</v>
      </c>
      <c r="O378">
        <v>491</v>
      </c>
      <c r="P378" s="1">
        <v>5.8753141079334686E-2</v>
      </c>
      <c r="Q378">
        <v>2907</v>
      </c>
      <c r="R378" s="1">
        <v>7.0100557042610145E-2</v>
      </c>
      <c r="S378">
        <v>-0.45</v>
      </c>
      <c r="T378">
        <v>385</v>
      </c>
      <c r="U378" s="1">
        <v>6.6493955094991369E-2</v>
      </c>
      <c r="V378">
        <v>3315</v>
      </c>
      <c r="W378" s="1">
        <v>6.984240687679083E-2</v>
      </c>
      <c r="X378">
        <v>-0.48</v>
      </c>
      <c r="Y378">
        <v>408</v>
      </c>
      <c r="Z378" s="1">
        <v>6.805671392827356E-2</v>
      </c>
      <c r="AA378">
        <v>3456</v>
      </c>
      <c r="AB378" s="1">
        <v>7.0441482206188094E-2</v>
      </c>
      <c r="AC378">
        <v>-0.42</v>
      </c>
      <c r="AD378">
        <v>141</v>
      </c>
      <c r="AE378" s="1">
        <v>8.8235294117647065E-2</v>
      </c>
      <c r="AF378">
        <v>3644</v>
      </c>
      <c r="AG378" s="1">
        <v>6.9515452117512394E-2</v>
      </c>
      <c r="AH378">
        <v>-0.51</v>
      </c>
      <c r="AI378">
        <v>188</v>
      </c>
      <c r="AJ378" s="1">
        <v>5.598570577724836E-2</v>
      </c>
    </row>
    <row r="379" spans="1:36" x14ac:dyDescent="0.3">
      <c r="A379" t="s">
        <v>177</v>
      </c>
      <c r="B379">
        <v>181877</v>
      </c>
      <c r="C379" t="s">
        <v>568</v>
      </c>
      <c r="D379" t="s">
        <v>405</v>
      </c>
      <c r="E379">
        <v>9133</v>
      </c>
      <c r="F379" s="1">
        <v>0.3594</v>
      </c>
      <c r="G379">
        <v>9883</v>
      </c>
      <c r="H379" s="1">
        <v>0.36170000000000002</v>
      </c>
      <c r="I379">
        <v>0.23</v>
      </c>
      <c r="J379">
        <v>750</v>
      </c>
      <c r="K379" s="1">
        <v>0.39329999999999998</v>
      </c>
      <c r="L379">
        <v>12595</v>
      </c>
      <c r="M379" s="1">
        <v>0.35300877266739539</v>
      </c>
      <c r="N379">
        <v>-0.64</v>
      </c>
      <c r="O379">
        <v>2712</v>
      </c>
      <c r="P379" s="1">
        <v>0.3245183678353476</v>
      </c>
      <c r="Q379">
        <v>15136</v>
      </c>
      <c r="R379" s="1">
        <v>0.36499553883623914</v>
      </c>
      <c r="S379">
        <v>0.56000000000000005</v>
      </c>
      <c r="T379">
        <v>2541</v>
      </c>
      <c r="U379" s="1">
        <v>0.438860103626943</v>
      </c>
      <c r="V379">
        <v>17668</v>
      </c>
      <c r="W379" s="1">
        <v>0.37224001348390356</v>
      </c>
      <c r="X379">
        <v>1.28</v>
      </c>
      <c r="Y379">
        <v>2532</v>
      </c>
      <c r="Z379" s="1">
        <v>0.42235195996663888</v>
      </c>
      <c r="AA379">
        <v>18393</v>
      </c>
      <c r="AB379" s="1">
        <v>0.37489299254005137</v>
      </c>
      <c r="AC379">
        <v>1.55</v>
      </c>
      <c r="AD379">
        <v>725</v>
      </c>
      <c r="AE379" s="1">
        <v>0.45369211514392993</v>
      </c>
      <c r="AF379">
        <v>19818</v>
      </c>
      <c r="AG379" s="1">
        <v>0.37806180847004961</v>
      </c>
      <c r="AH379">
        <v>1.87</v>
      </c>
      <c r="AI379">
        <v>1425</v>
      </c>
      <c r="AJ379" s="1">
        <v>0.42435973793924953</v>
      </c>
    </row>
    <row r="380" spans="1:36" x14ac:dyDescent="0.3">
      <c r="A380" t="s">
        <v>177</v>
      </c>
      <c r="B380">
        <v>181877</v>
      </c>
      <c r="C380" t="s">
        <v>402</v>
      </c>
      <c r="E380">
        <v>126</v>
      </c>
      <c r="F380" s="1">
        <v>5.0000000000000001E-3</v>
      </c>
      <c r="G380">
        <v>129</v>
      </c>
      <c r="H380" s="1">
        <v>4.6999999999999993E-3</v>
      </c>
      <c r="I380">
        <v>-0.03</v>
      </c>
      <c r="J380">
        <v>3</v>
      </c>
      <c r="K380" s="1">
        <v>1.6000000000000001E-3</v>
      </c>
      <c r="L380">
        <v>168</v>
      </c>
      <c r="M380" s="1">
        <v>4.7086521483225424E-3</v>
      </c>
      <c r="N380">
        <v>-0.03</v>
      </c>
      <c r="O380">
        <v>39</v>
      </c>
      <c r="P380" s="1">
        <v>4.6667464401100875E-3</v>
      </c>
      <c r="Q380">
        <v>199</v>
      </c>
      <c r="R380" s="1">
        <v>4.7987653427861779E-3</v>
      </c>
      <c r="S380">
        <v>-0.02</v>
      </c>
      <c r="T380">
        <v>31</v>
      </c>
      <c r="U380" s="1">
        <v>5.35405872193437E-3</v>
      </c>
      <c r="V380">
        <v>220</v>
      </c>
      <c r="W380" s="1">
        <v>4.6350918590932072E-3</v>
      </c>
      <c r="X380">
        <v>-0.04</v>
      </c>
      <c r="Y380">
        <v>21</v>
      </c>
      <c r="Z380" s="1">
        <v>3.5029190992493745E-3</v>
      </c>
      <c r="AA380">
        <v>234</v>
      </c>
      <c r="AB380" s="1">
        <v>4.7694753577106515E-3</v>
      </c>
      <c r="AC380">
        <v>-0.02</v>
      </c>
      <c r="AD380">
        <v>14</v>
      </c>
      <c r="AE380" s="1">
        <v>8.7609511889862324E-3</v>
      </c>
      <c r="AF380">
        <v>268</v>
      </c>
      <c r="AG380" s="1">
        <v>5.1125524608927886E-3</v>
      </c>
      <c r="AH380">
        <v>0.01</v>
      </c>
      <c r="AI380">
        <v>34</v>
      </c>
      <c r="AJ380" s="1">
        <v>1.0125074449076831E-2</v>
      </c>
    </row>
    <row r="381" spans="1:36" x14ac:dyDescent="0.3">
      <c r="A381" t="s">
        <v>177</v>
      </c>
      <c r="B381">
        <v>181877</v>
      </c>
      <c r="C381" t="s">
        <v>701</v>
      </c>
      <c r="E381">
        <v>5</v>
      </c>
      <c r="F381" s="1" t="s">
        <v>700</v>
      </c>
      <c r="G381">
        <v>7</v>
      </c>
      <c r="H381" s="1" t="s">
        <v>700</v>
      </c>
      <c r="I381" t="s">
        <v>700</v>
      </c>
      <c r="J381">
        <v>2</v>
      </c>
      <c r="K381" s="1" t="s">
        <v>700</v>
      </c>
      <c r="L381">
        <v>11</v>
      </c>
      <c r="M381" s="1" t="s">
        <v>700</v>
      </c>
      <c r="N381" t="s">
        <v>700</v>
      </c>
      <c r="O381">
        <v>4</v>
      </c>
      <c r="P381" s="1" t="s">
        <v>700</v>
      </c>
      <c r="Q381">
        <v>28</v>
      </c>
      <c r="R381" s="1" t="s">
        <v>700</v>
      </c>
      <c r="S381" t="s">
        <v>700</v>
      </c>
      <c r="T381">
        <v>17</v>
      </c>
      <c r="U381" s="1" t="s">
        <v>700</v>
      </c>
      <c r="V381">
        <v>44</v>
      </c>
      <c r="Y381">
        <v>16</v>
      </c>
      <c r="AA381">
        <v>44</v>
      </c>
      <c r="AD381">
        <v>0</v>
      </c>
      <c r="AF381">
        <v>29</v>
      </c>
      <c r="AI381">
        <v>-15</v>
      </c>
    </row>
    <row r="382" spans="1:36" x14ac:dyDescent="0.3">
      <c r="A382" t="s">
        <v>177</v>
      </c>
      <c r="B382">
        <v>181877</v>
      </c>
      <c r="C382" t="s">
        <v>702</v>
      </c>
      <c r="E382">
        <v>1304</v>
      </c>
      <c r="F382" s="1" t="s">
        <v>700</v>
      </c>
      <c r="G382">
        <v>1359</v>
      </c>
      <c r="H382" s="1" t="s">
        <v>700</v>
      </c>
      <c r="I382" t="s">
        <v>700</v>
      </c>
      <c r="J382">
        <v>55</v>
      </c>
      <c r="K382" s="1" t="s">
        <v>700</v>
      </c>
      <c r="L382">
        <v>1795</v>
      </c>
      <c r="M382" s="1" t="s">
        <v>700</v>
      </c>
      <c r="N382" t="s">
        <v>700</v>
      </c>
      <c r="O382">
        <v>436</v>
      </c>
      <c r="P382" s="1" t="s">
        <v>700</v>
      </c>
      <c r="Q382">
        <v>2136</v>
      </c>
      <c r="R382" s="1" t="s">
        <v>700</v>
      </c>
      <c r="S382" t="s">
        <v>700</v>
      </c>
      <c r="T382">
        <v>341</v>
      </c>
      <c r="U382" s="1" t="s">
        <v>700</v>
      </c>
      <c r="V382">
        <v>2423</v>
      </c>
      <c r="Y382">
        <v>287</v>
      </c>
      <c r="AA382">
        <v>2496</v>
      </c>
      <c r="AD382">
        <v>73</v>
      </c>
      <c r="AF382">
        <v>2777</v>
      </c>
      <c r="AI382">
        <v>281</v>
      </c>
    </row>
    <row r="383" spans="1:36" x14ac:dyDescent="0.3">
      <c r="A383" t="s">
        <v>70</v>
      </c>
      <c r="B383">
        <v>184857</v>
      </c>
      <c r="C383" t="s">
        <v>699</v>
      </c>
      <c r="E383">
        <v>31627</v>
      </c>
      <c r="F383" s="1" t="s">
        <v>700</v>
      </c>
      <c r="G383">
        <v>37791</v>
      </c>
      <c r="H383" s="1" t="s">
        <v>700</v>
      </c>
      <c r="I383" t="s">
        <v>700</v>
      </c>
      <c r="J383">
        <v>6164</v>
      </c>
      <c r="K383" s="1" t="s">
        <v>700</v>
      </c>
      <c r="L383">
        <v>43245</v>
      </c>
      <c r="M383" s="1" t="s">
        <v>700</v>
      </c>
      <c r="N383" t="s">
        <v>700</v>
      </c>
      <c r="O383">
        <v>5454</v>
      </c>
      <c r="P383" s="1" t="s">
        <v>700</v>
      </c>
      <c r="Q383">
        <v>46583</v>
      </c>
      <c r="R383" s="1" t="s">
        <v>700</v>
      </c>
      <c r="S383" t="s">
        <v>700</v>
      </c>
      <c r="T383">
        <v>3338</v>
      </c>
      <c r="U383" s="1" t="s">
        <v>700</v>
      </c>
      <c r="V383">
        <v>49418</v>
      </c>
      <c r="Y383">
        <v>2835</v>
      </c>
      <c r="AA383">
        <v>51036</v>
      </c>
      <c r="AD383">
        <v>1618</v>
      </c>
      <c r="AF383">
        <v>51386</v>
      </c>
      <c r="AI383">
        <v>350</v>
      </c>
    </row>
    <row r="384" spans="1:36" x14ac:dyDescent="0.3">
      <c r="A384" t="s">
        <v>70</v>
      </c>
      <c r="B384">
        <v>184857</v>
      </c>
      <c r="C384" t="s">
        <v>421</v>
      </c>
      <c r="D384" t="s">
        <v>399</v>
      </c>
      <c r="E384">
        <v>17773</v>
      </c>
      <c r="F384" s="1">
        <v>0.5665</v>
      </c>
      <c r="G384">
        <v>21224</v>
      </c>
      <c r="H384" s="1">
        <v>0.56619999999999993</v>
      </c>
      <c r="I384">
        <v>-0.03</v>
      </c>
      <c r="J384">
        <v>3451</v>
      </c>
      <c r="K384" s="1">
        <v>0.5645</v>
      </c>
      <c r="L384">
        <v>24364</v>
      </c>
      <c r="M384" s="1">
        <v>0.56804457811662123</v>
      </c>
      <c r="N384">
        <v>0.15</v>
      </c>
      <c r="O384">
        <v>3140</v>
      </c>
      <c r="P384" s="1">
        <v>0.58115861558393489</v>
      </c>
      <c r="Q384">
        <v>26480</v>
      </c>
      <c r="R384" s="1">
        <v>0.57320980171443414</v>
      </c>
      <c r="S384">
        <v>0.67</v>
      </c>
      <c r="T384">
        <v>2116</v>
      </c>
      <c r="U384" s="1">
        <v>0.64024205748865359</v>
      </c>
      <c r="V384">
        <v>27780</v>
      </c>
      <c r="W384" s="1">
        <v>0.56681153210503765</v>
      </c>
      <c r="X384">
        <v>0.03</v>
      </c>
      <c r="Y384">
        <v>1300</v>
      </c>
      <c r="Z384" s="1">
        <v>0.46181172291296624</v>
      </c>
      <c r="AA384">
        <v>28382</v>
      </c>
      <c r="AB384" s="1">
        <v>0.56097560975609762</v>
      </c>
      <c r="AC384">
        <v>-0.55000000000000004</v>
      </c>
      <c r="AD384">
        <v>602</v>
      </c>
      <c r="AE384" s="1">
        <v>0.38029058749210359</v>
      </c>
      <c r="AF384">
        <v>28575</v>
      </c>
      <c r="AG384" s="1">
        <v>0.56091001884422109</v>
      </c>
      <c r="AH384">
        <v>-0.56000000000000005</v>
      </c>
      <c r="AI384">
        <v>193</v>
      </c>
      <c r="AJ384" s="1">
        <v>0.55142857142857138</v>
      </c>
    </row>
    <row r="385" spans="1:36" x14ac:dyDescent="0.3">
      <c r="A385" t="s">
        <v>70</v>
      </c>
      <c r="B385">
        <v>184857</v>
      </c>
      <c r="C385" t="s">
        <v>422</v>
      </c>
      <c r="D385" t="s">
        <v>401</v>
      </c>
      <c r="E385">
        <v>13581</v>
      </c>
      <c r="F385" s="1">
        <v>0.43290000000000001</v>
      </c>
      <c r="G385">
        <v>16239</v>
      </c>
      <c r="H385" s="1">
        <v>0.43320000000000003</v>
      </c>
      <c r="I385">
        <v>0.03</v>
      </c>
      <c r="J385">
        <v>2658</v>
      </c>
      <c r="K385" s="1">
        <v>0.43479999999999996</v>
      </c>
      <c r="L385">
        <v>18499</v>
      </c>
      <c r="M385" s="1">
        <v>0.43130260427595535</v>
      </c>
      <c r="N385">
        <v>-0.16</v>
      </c>
      <c r="O385">
        <v>2260</v>
      </c>
      <c r="P385" s="1">
        <v>0.41828613733111236</v>
      </c>
      <c r="Q385">
        <v>19688</v>
      </c>
      <c r="R385" s="1">
        <v>0.42618408520218198</v>
      </c>
      <c r="S385">
        <v>-0.67</v>
      </c>
      <c r="T385">
        <v>1189</v>
      </c>
      <c r="U385" s="1">
        <v>0.35975794251134646</v>
      </c>
      <c r="V385">
        <v>21198</v>
      </c>
      <c r="W385" s="1">
        <v>0.43251514966028032</v>
      </c>
      <c r="X385">
        <v>-0.04</v>
      </c>
      <c r="Y385">
        <v>1510</v>
      </c>
      <c r="Z385" s="1">
        <v>0.53641207815275316</v>
      </c>
      <c r="AA385">
        <v>22179</v>
      </c>
      <c r="AB385" s="1">
        <v>0.43837213898881289</v>
      </c>
      <c r="AC385">
        <v>0.55000000000000004</v>
      </c>
      <c r="AD385">
        <v>981</v>
      </c>
      <c r="AE385" s="1">
        <v>0.61970941250789635</v>
      </c>
      <c r="AF385">
        <v>22328</v>
      </c>
      <c r="AG385" s="1">
        <v>0.43828517587939697</v>
      </c>
      <c r="AH385">
        <v>0.54</v>
      </c>
      <c r="AI385">
        <v>149</v>
      </c>
      <c r="AJ385" s="1">
        <v>0.42571428571428571</v>
      </c>
    </row>
    <row r="386" spans="1:36" x14ac:dyDescent="0.3">
      <c r="A386" t="s">
        <v>70</v>
      </c>
      <c r="B386">
        <v>184857</v>
      </c>
      <c r="C386" t="s">
        <v>402</v>
      </c>
      <c r="E386">
        <v>21</v>
      </c>
      <c r="F386" s="1">
        <v>7.000000000000001E-4</v>
      </c>
      <c r="G386">
        <v>25</v>
      </c>
      <c r="H386" s="1">
        <v>7.000000000000001E-4</v>
      </c>
      <c r="I386">
        <v>0</v>
      </c>
      <c r="J386">
        <v>4</v>
      </c>
      <c r="K386" s="1">
        <v>7.000000000000001E-4</v>
      </c>
      <c r="L386">
        <v>28</v>
      </c>
      <c r="M386" s="1">
        <v>6.5281760742346882E-4</v>
      </c>
      <c r="N386">
        <v>0</v>
      </c>
      <c r="O386">
        <v>3</v>
      </c>
      <c r="P386" s="1">
        <v>5.5524708495280405E-4</v>
      </c>
      <c r="Q386">
        <v>28</v>
      </c>
      <c r="R386" s="1">
        <v>6.0611308338384272E-4</v>
      </c>
      <c r="S386">
        <v>-0.01</v>
      </c>
      <c r="T386">
        <v>0</v>
      </c>
      <c r="U386" s="1">
        <v>0</v>
      </c>
      <c r="V386">
        <v>33</v>
      </c>
      <c r="W386" s="1">
        <v>6.7331823468201016E-4</v>
      </c>
      <c r="X386">
        <v>0</v>
      </c>
      <c r="Y386">
        <v>5</v>
      </c>
      <c r="Z386" s="1">
        <v>1.7761989342806395E-3</v>
      </c>
      <c r="AA386">
        <v>33</v>
      </c>
      <c r="AB386" s="1">
        <v>6.5225125508953626E-4</v>
      </c>
      <c r="AC386">
        <v>0</v>
      </c>
      <c r="AD386">
        <v>0</v>
      </c>
      <c r="AE386" s="1">
        <v>0</v>
      </c>
      <c r="AF386">
        <v>41</v>
      </c>
      <c r="AG386" s="1">
        <v>8.0480527638190956E-4</v>
      </c>
      <c r="AH386">
        <v>0.01</v>
      </c>
      <c r="AI386">
        <v>8</v>
      </c>
      <c r="AJ386" s="1">
        <v>2.2857142857142857E-2</v>
      </c>
    </row>
    <row r="387" spans="1:36" x14ac:dyDescent="0.3">
      <c r="A387" t="s">
        <v>70</v>
      </c>
      <c r="B387">
        <v>184857</v>
      </c>
      <c r="C387" t="s">
        <v>701</v>
      </c>
      <c r="E387">
        <v>0</v>
      </c>
      <c r="F387" s="1" t="s">
        <v>700</v>
      </c>
      <c r="G387">
        <v>6</v>
      </c>
      <c r="H387" s="1" t="s">
        <v>700</v>
      </c>
      <c r="I387" t="s">
        <v>700</v>
      </c>
      <c r="J387" t="s">
        <v>700</v>
      </c>
      <c r="K387" s="1" t="s">
        <v>700</v>
      </c>
      <c r="L387">
        <v>10</v>
      </c>
      <c r="M387" s="1" t="s">
        <v>700</v>
      </c>
      <c r="N387" t="s">
        <v>700</v>
      </c>
      <c r="O387">
        <v>4</v>
      </c>
      <c r="P387" s="1" t="s">
        <v>700</v>
      </c>
      <c r="Q387">
        <v>10</v>
      </c>
      <c r="R387" s="1" t="s">
        <v>700</v>
      </c>
      <c r="S387" t="s">
        <v>700</v>
      </c>
      <c r="T387">
        <v>0</v>
      </c>
      <c r="U387" s="1" t="s">
        <v>700</v>
      </c>
      <c r="V387">
        <v>1</v>
      </c>
      <c r="Y387">
        <v>-9</v>
      </c>
      <c r="AA387">
        <v>1</v>
      </c>
      <c r="AD387">
        <v>0</v>
      </c>
      <c r="AF387">
        <v>1</v>
      </c>
      <c r="AI387">
        <v>0</v>
      </c>
    </row>
    <row r="388" spans="1:36" x14ac:dyDescent="0.3">
      <c r="A388" t="s">
        <v>70</v>
      </c>
      <c r="B388">
        <v>184857</v>
      </c>
      <c r="C388" t="s">
        <v>702</v>
      </c>
      <c r="E388">
        <v>252</v>
      </c>
      <c r="F388" s="1" t="s">
        <v>700</v>
      </c>
      <c r="G388">
        <v>297</v>
      </c>
      <c r="H388" s="1" t="s">
        <v>700</v>
      </c>
      <c r="I388" t="s">
        <v>700</v>
      </c>
      <c r="J388">
        <v>45</v>
      </c>
      <c r="K388" s="1" t="s">
        <v>700</v>
      </c>
      <c r="L388">
        <v>344</v>
      </c>
      <c r="M388" s="1" t="s">
        <v>700</v>
      </c>
      <c r="N388" t="s">
        <v>700</v>
      </c>
      <c r="O388">
        <v>47</v>
      </c>
      <c r="P388" s="1" t="s">
        <v>700</v>
      </c>
      <c r="Q388">
        <v>377</v>
      </c>
      <c r="R388" s="1" t="s">
        <v>700</v>
      </c>
      <c r="S388" t="s">
        <v>700</v>
      </c>
      <c r="T388">
        <v>33</v>
      </c>
      <c r="U388" s="1" t="s">
        <v>700</v>
      </c>
      <c r="V388">
        <v>406</v>
      </c>
      <c r="Y388">
        <v>29</v>
      </c>
      <c r="AA388">
        <v>434</v>
      </c>
      <c r="AD388">
        <v>28</v>
      </c>
      <c r="AF388">
        <v>441</v>
      </c>
      <c r="AI388">
        <v>7</v>
      </c>
    </row>
    <row r="389" spans="1:36" x14ac:dyDescent="0.3">
      <c r="A389" t="s">
        <v>72</v>
      </c>
      <c r="B389">
        <v>180744</v>
      </c>
      <c r="C389" t="s">
        <v>699</v>
      </c>
      <c r="E389">
        <v>31627</v>
      </c>
      <c r="F389" s="1" t="s">
        <v>700</v>
      </c>
      <c r="G389">
        <v>37791</v>
      </c>
      <c r="H389" s="1" t="s">
        <v>700</v>
      </c>
      <c r="I389" t="s">
        <v>700</v>
      </c>
      <c r="J389">
        <v>6164</v>
      </c>
      <c r="K389" s="1" t="s">
        <v>700</v>
      </c>
      <c r="L389">
        <v>43245</v>
      </c>
      <c r="M389" s="1" t="s">
        <v>700</v>
      </c>
      <c r="N389" t="s">
        <v>700</v>
      </c>
      <c r="O389">
        <v>5454</v>
      </c>
      <c r="P389" s="1" t="s">
        <v>700</v>
      </c>
      <c r="Q389">
        <v>46583</v>
      </c>
      <c r="R389" s="1" t="s">
        <v>700</v>
      </c>
      <c r="S389" t="s">
        <v>700</v>
      </c>
      <c r="T389">
        <v>3338</v>
      </c>
      <c r="U389" s="1" t="s">
        <v>700</v>
      </c>
      <c r="V389">
        <v>49418</v>
      </c>
      <c r="Y389">
        <v>2835</v>
      </c>
      <c r="AA389">
        <v>51036</v>
      </c>
      <c r="AD389">
        <v>1618</v>
      </c>
      <c r="AF389">
        <v>51386</v>
      </c>
      <c r="AI389">
        <v>350</v>
      </c>
    </row>
    <row r="390" spans="1:36" x14ac:dyDescent="0.3">
      <c r="A390" t="s">
        <v>72</v>
      </c>
      <c r="B390">
        <v>180744</v>
      </c>
      <c r="C390" t="s">
        <v>575</v>
      </c>
      <c r="D390" t="s">
        <v>401</v>
      </c>
      <c r="E390">
        <v>13577</v>
      </c>
      <c r="F390" s="1">
        <v>0.43439999999999995</v>
      </c>
      <c r="G390">
        <v>16226</v>
      </c>
      <c r="H390" s="1">
        <v>0.43430000000000002</v>
      </c>
      <c r="I390">
        <v>-0.01</v>
      </c>
      <c r="J390">
        <v>2649</v>
      </c>
      <c r="K390" s="1">
        <v>0.434</v>
      </c>
      <c r="L390">
        <v>18456</v>
      </c>
      <c r="M390" s="1">
        <v>0.43203258503242115</v>
      </c>
      <c r="N390">
        <v>-0.24</v>
      </c>
      <c r="O390">
        <v>2230</v>
      </c>
      <c r="P390" s="1">
        <v>0.41588959343528537</v>
      </c>
      <c r="Q390">
        <v>19649</v>
      </c>
      <c r="R390" s="1">
        <v>0.42704077197252893</v>
      </c>
      <c r="S390">
        <v>-0.74</v>
      </c>
      <c r="T390">
        <v>1193</v>
      </c>
      <c r="U390" s="1">
        <v>0.36228363194655328</v>
      </c>
      <c r="V390">
        <v>21139</v>
      </c>
      <c r="W390" s="1">
        <v>0.43280373449080711</v>
      </c>
      <c r="X390">
        <v>-0.16</v>
      </c>
      <c r="Y390">
        <v>1490</v>
      </c>
      <c r="Z390" s="1">
        <v>0.52650176678445226</v>
      </c>
      <c r="AA390">
        <v>22110</v>
      </c>
      <c r="AB390" s="1">
        <v>0.43851646172153907</v>
      </c>
      <c r="AC390">
        <v>0.41</v>
      </c>
      <c r="AD390">
        <v>971</v>
      </c>
      <c r="AE390" s="1">
        <v>0.61533586818757924</v>
      </c>
      <c r="AF390">
        <v>22256</v>
      </c>
      <c r="AG390" s="1">
        <v>0.43844683910876459</v>
      </c>
      <c r="AH390">
        <v>0.4</v>
      </c>
      <c r="AI390">
        <v>146</v>
      </c>
      <c r="AJ390" s="1">
        <v>0.42815249266862171</v>
      </c>
    </row>
    <row r="391" spans="1:36" x14ac:dyDescent="0.3">
      <c r="A391" t="s">
        <v>72</v>
      </c>
      <c r="B391">
        <v>180744</v>
      </c>
      <c r="C391" t="s">
        <v>576</v>
      </c>
      <c r="D391" t="s">
        <v>399</v>
      </c>
      <c r="E391">
        <v>6657</v>
      </c>
      <c r="F391" s="1">
        <v>0.21299999999999999</v>
      </c>
      <c r="G391">
        <v>8024</v>
      </c>
      <c r="H391" s="1">
        <v>0.21479999999999999</v>
      </c>
      <c r="I391">
        <v>0.18</v>
      </c>
      <c r="J391">
        <v>1367</v>
      </c>
      <c r="K391" s="1">
        <v>0.22399999999999998</v>
      </c>
      <c r="L391">
        <v>9364</v>
      </c>
      <c r="M391" s="1">
        <v>0.21919988763781922</v>
      </c>
      <c r="N391">
        <v>0.62</v>
      </c>
      <c r="O391">
        <v>1340</v>
      </c>
      <c r="P391" s="1">
        <v>0.24990675121223424</v>
      </c>
      <c r="Q391">
        <v>10417</v>
      </c>
      <c r="R391" s="1">
        <v>0.22639746153177431</v>
      </c>
      <c r="S391">
        <v>1.34</v>
      </c>
      <c r="T391">
        <v>1053</v>
      </c>
      <c r="U391" s="1">
        <v>0.31976920740965686</v>
      </c>
      <c r="V391">
        <v>11060</v>
      </c>
      <c r="W391" s="1">
        <v>0.22644445354408091</v>
      </c>
      <c r="X391">
        <v>1.34</v>
      </c>
      <c r="Y391">
        <v>643</v>
      </c>
      <c r="Z391" s="1">
        <v>0.22720848056537102</v>
      </c>
      <c r="AA391">
        <v>11368</v>
      </c>
      <c r="AB391" s="1">
        <v>0.22546608488694964</v>
      </c>
      <c r="AC391">
        <v>1.25</v>
      </c>
      <c r="AD391">
        <v>308</v>
      </c>
      <c r="AE391" s="1">
        <v>0.19518377693282637</v>
      </c>
      <c r="AF391">
        <v>11467</v>
      </c>
      <c r="AG391" s="1">
        <v>0.22590177498473238</v>
      </c>
      <c r="AH391">
        <v>1.29</v>
      </c>
      <c r="AI391">
        <v>99</v>
      </c>
      <c r="AJ391" s="1">
        <v>0.29032258064516131</v>
      </c>
    </row>
    <row r="392" spans="1:36" x14ac:dyDescent="0.3">
      <c r="A392" t="s">
        <v>72</v>
      </c>
      <c r="B392">
        <v>180744</v>
      </c>
      <c r="C392" t="s">
        <v>577</v>
      </c>
      <c r="D392" t="s">
        <v>399</v>
      </c>
      <c r="E392">
        <v>11009</v>
      </c>
      <c r="F392" s="1">
        <v>0.35220000000000001</v>
      </c>
      <c r="G392">
        <v>13091</v>
      </c>
      <c r="H392" s="1">
        <v>0.35039999999999999</v>
      </c>
      <c r="I392">
        <v>-0.18</v>
      </c>
      <c r="J392">
        <v>2082</v>
      </c>
      <c r="K392" s="1">
        <v>0.34110000000000001</v>
      </c>
      <c r="L392">
        <v>14882</v>
      </c>
      <c r="M392" s="1">
        <v>0.34836957793955853</v>
      </c>
      <c r="N392">
        <v>-0.38</v>
      </c>
      <c r="O392">
        <v>1791</v>
      </c>
      <c r="P392" s="1">
        <v>0.3340171577769489</v>
      </c>
      <c r="Q392">
        <v>15929</v>
      </c>
      <c r="R392" s="1">
        <v>0.34619229766147963</v>
      </c>
      <c r="S392">
        <v>-0.6</v>
      </c>
      <c r="T392">
        <v>1047</v>
      </c>
      <c r="U392" s="1">
        <v>0.31794716064378986</v>
      </c>
      <c r="V392">
        <v>16622</v>
      </c>
      <c r="W392" s="1">
        <v>0.340321854141927</v>
      </c>
      <c r="X392">
        <v>-1.19</v>
      </c>
      <c r="Y392">
        <v>693</v>
      </c>
      <c r="Z392" s="1">
        <v>0.24487632508833923</v>
      </c>
      <c r="AA392">
        <v>16921</v>
      </c>
      <c r="AB392" s="1">
        <v>0.33560095200317336</v>
      </c>
      <c r="AC392">
        <v>-1.66</v>
      </c>
      <c r="AD392">
        <v>299</v>
      </c>
      <c r="AE392" s="1">
        <v>0.18948035487959441</v>
      </c>
      <c r="AF392">
        <v>17012</v>
      </c>
      <c r="AG392" s="1">
        <v>0.33513918165520773</v>
      </c>
      <c r="AH392">
        <v>-1.71</v>
      </c>
      <c r="AI392">
        <v>91</v>
      </c>
      <c r="AJ392" s="1">
        <v>0.26686217008797652</v>
      </c>
    </row>
    <row r="393" spans="1:36" x14ac:dyDescent="0.3">
      <c r="A393" t="s">
        <v>72</v>
      </c>
      <c r="B393">
        <v>180744</v>
      </c>
      <c r="C393" t="s">
        <v>402</v>
      </c>
      <c r="E393">
        <v>11</v>
      </c>
      <c r="F393" s="1">
        <v>4.0000000000000002E-4</v>
      </c>
      <c r="G393">
        <v>16</v>
      </c>
      <c r="H393" s="1">
        <v>4.0000000000000002E-4</v>
      </c>
      <c r="I393">
        <v>0</v>
      </c>
      <c r="J393">
        <v>5</v>
      </c>
      <c r="K393" s="1">
        <v>8.0000000000000004E-4</v>
      </c>
      <c r="L393">
        <v>17</v>
      </c>
      <c r="M393" s="1">
        <v>3.979493902010815E-4</v>
      </c>
      <c r="N393">
        <v>0</v>
      </c>
      <c r="O393">
        <v>1</v>
      </c>
      <c r="P393" s="1">
        <v>1.864975755315181E-4</v>
      </c>
      <c r="Q393">
        <v>17</v>
      </c>
      <c r="R393" s="1">
        <v>3.6946883421716076E-4</v>
      </c>
      <c r="S393">
        <v>0</v>
      </c>
      <c r="T393">
        <v>0</v>
      </c>
      <c r="U393" s="1">
        <v>0</v>
      </c>
      <c r="V393">
        <v>21</v>
      </c>
      <c r="W393" s="1">
        <v>4.2995782318496379E-4</v>
      </c>
      <c r="X393">
        <v>0</v>
      </c>
      <c r="Y393">
        <v>4</v>
      </c>
      <c r="Z393" s="1">
        <v>1.4134275618374558E-3</v>
      </c>
      <c r="AA393">
        <v>21</v>
      </c>
      <c r="AB393" s="1">
        <v>4.1650138833796113E-4</v>
      </c>
      <c r="AC393">
        <v>0</v>
      </c>
      <c r="AD393">
        <v>0</v>
      </c>
      <c r="AE393" s="1">
        <v>0</v>
      </c>
      <c r="AF393">
        <v>26</v>
      </c>
      <c r="AG393" s="1">
        <v>5.1220425129528573E-4</v>
      </c>
      <c r="AH393">
        <v>0.01</v>
      </c>
      <c r="AI393">
        <v>5</v>
      </c>
      <c r="AJ393" s="1">
        <v>1.466275659824047E-2</v>
      </c>
    </row>
    <row r="394" spans="1:36" x14ac:dyDescent="0.3">
      <c r="A394" t="s">
        <v>72</v>
      </c>
      <c r="B394">
        <v>180744</v>
      </c>
      <c r="C394" t="s">
        <v>701</v>
      </c>
      <c r="E394">
        <v>16</v>
      </c>
      <c r="F394" s="1" t="s">
        <v>700</v>
      </c>
      <c r="G394">
        <v>12</v>
      </c>
      <c r="H394" s="1" t="s">
        <v>700</v>
      </c>
      <c r="I394" t="s">
        <v>700</v>
      </c>
      <c r="J394">
        <v>-4</v>
      </c>
      <c r="K394" s="1" t="s">
        <v>700</v>
      </c>
      <c r="L394">
        <v>35</v>
      </c>
      <c r="M394" s="1" t="s">
        <v>700</v>
      </c>
      <c r="N394" t="s">
        <v>700</v>
      </c>
      <c r="O394">
        <v>23</v>
      </c>
      <c r="P394" s="1" t="s">
        <v>700</v>
      </c>
      <c r="Q394">
        <v>35</v>
      </c>
      <c r="R394" s="1" t="s">
        <v>700</v>
      </c>
      <c r="S394" t="s">
        <v>700</v>
      </c>
      <c r="T394">
        <v>0</v>
      </c>
      <c r="U394" s="1" t="s">
        <v>700</v>
      </c>
      <c r="V394">
        <v>3</v>
      </c>
      <c r="Y394">
        <v>-32</v>
      </c>
      <c r="AA394">
        <v>4</v>
      </c>
      <c r="AD394">
        <v>1</v>
      </c>
      <c r="AF394">
        <v>6</v>
      </c>
      <c r="AI394">
        <v>2</v>
      </c>
    </row>
    <row r="395" spans="1:36" x14ac:dyDescent="0.3">
      <c r="A395" t="s">
        <v>72</v>
      </c>
      <c r="B395">
        <v>180744</v>
      </c>
      <c r="C395" t="s">
        <v>702</v>
      </c>
      <c r="E395">
        <v>357</v>
      </c>
      <c r="F395" s="1" t="s">
        <v>700</v>
      </c>
      <c r="G395">
        <v>422</v>
      </c>
      <c r="H395" s="1" t="s">
        <v>700</v>
      </c>
      <c r="I395" t="s">
        <v>700</v>
      </c>
      <c r="J395">
        <v>65</v>
      </c>
      <c r="K395" s="1" t="s">
        <v>700</v>
      </c>
      <c r="L395">
        <v>491</v>
      </c>
      <c r="M395" s="1" t="s">
        <v>700</v>
      </c>
      <c r="N395" t="s">
        <v>700</v>
      </c>
      <c r="O395">
        <v>69</v>
      </c>
      <c r="P395" s="1" t="s">
        <v>700</v>
      </c>
      <c r="Q395">
        <v>536</v>
      </c>
      <c r="R395" s="1" t="s">
        <v>700</v>
      </c>
      <c r="S395" t="s">
        <v>700</v>
      </c>
      <c r="T395">
        <v>45</v>
      </c>
      <c r="U395" s="1" t="s">
        <v>700</v>
      </c>
      <c r="V395">
        <v>573</v>
      </c>
      <c r="Y395">
        <v>37</v>
      </c>
      <c r="AA395">
        <v>609</v>
      </c>
      <c r="AD395">
        <v>36</v>
      </c>
      <c r="AF395">
        <v>619</v>
      </c>
      <c r="AI395">
        <v>10</v>
      </c>
    </row>
    <row r="396" spans="1:36" x14ac:dyDescent="0.3">
      <c r="A396" t="s">
        <v>74</v>
      </c>
      <c r="B396">
        <v>175305</v>
      </c>
      <c r="C396" t="s">
        <v>699</v>
      </c>
      <c r="E396">
        <v>31627</v>
      </c>
      <c r="F396" s="1" t="s">
        <v>700</v>
      </c>
      <c r="G396">
        <v>37791</v>
      </c>
      <c r="H396" s="1" t="s">
        <v>700</v>
      </c>
      <c r="I396" t="s">
        <v>700</v>
      </c>
      <c r="J396">
        <v>6164</v>
      </c>
      <c r="K396" s="1" t="s">
        <v>700</v>
      </c>
      <c r="L396">
        <v>43245</v>
      </c>
      <c r="M396" s="1" t="s">
        <v>700</v>
      </c>
      <c r="N396" t="s">
        <v>700</v>
      </c>
      <c r="O396">
        <v>5454</v>
      </c>
      <c r="P396" s="1" t="s">
        <v>700</v>
      </c>
      <c r="Q396">
        <v>46583</v>
      </c>
      <c r="R396" s="1" t="s">
        <v>700</v>
      </c>
      <c r="S396" t="s">
        <v>700</v>
      </c>
      <c r="T396">
        <v>3338</v>
      </c>
      <c r="U396" s="1" t="s">
        <v>700</v>
      </c>
      <c r="V396">
        <v>49418</v>
      </c>
      <c r="Y396">
        <v>2835</v>
      </c>
      <c r="AA396">
        <v>51036</v>
      </c>
      <c r="AD396">
        <v>1618</v>
      </c>
      <c r="AF396">
        <v>51386</v>
      </c>
      <c r="AI396">
        <v>350</v>
      </c>
    </row>
    <row r="397" spans="1:36" x14ac:dyDescent="0.3">
      <c r="A397" t="s">
        <v>74</v>
      </c>
      <c r="B397">
        <v>175305</v>
      </c>
      <c r="C397" t="s">
        <v>578</v>
      </c>
      <c r="D397" t="s">
        <v>405</v>
      </c>
      <c r="E397">
        <v>754</v>
      </c>
      <c r="F397" s="1">
        <v>2.4199999999999999E-2</v>
      </c>
      <c r="G397">
        <v>877</v>
      </c>
      <c r="H397" s="1">
        <v>2.3599999999999999E-2</v>
      </c>
      <c r="I397">
        <v>-0.06</v>
      </c>
      <c r="J397">
        <v>123</v>
      </c>
      <c r="K397" s="1">
        <v>2.0299999999999999E-2</v>
      </c>
      <c r="L397">
        <v>998</v>
      </c>
      <c r="M397" s="1">
        <v>2.3432180507618982E-2</v>
      </c>
      <c r="N397">
        <v>-0.08</v>
      </c>
      <c r="O397">
        <v>121</v>
      </c>
      <c r="P397" s="1">
        <v>2.2566206639313691E-2</v>
      </c>
      <c r="Q397">
        <v>1082</v>
      </c>
      <c r="R397" s="1">
        <v>2.3579663085405454E-2</v>
      </c>
      <c r="S397">
        <v>-0.06</v>
      </c>
      <c r="T397">
        <v>84</v>
      </c>
      <c r="U397" s="1">
        <v>2.5485436893203883E-2</v>
      </c>
      <c r="V397">
        <v>1148</v>
      </c>
      <c r="W397" s="1">
        <v>2.3578220953398097E-2</v>
      </c>
      <c r="X397">
        <v>-0.06</v>
      </c>
      <c r="Y397">
        <v>66</v>
      </c>
      <c r="Z397" s="1">
        <v>2.3554603854389723E-2</v>
      </c>
      <c r="AA397">
        <v>1205</v>
      </c>
      <c r="AB397" s="1">
        <v>2.3968175037294877E-2</v>
      </c>
      <c r="AC397">
        <v>-0.02</v>
      </c>
      <c r="AD397">
        <v>57</v>
      </c>
      <c r="AE397" s="1">
        <v>3.5939470365699874E-2</v>
      </c>
      <c r="AF397">
        <v>1213</v>
      </c>
      <c r="AG397" s="1">
        <v>2.3963333925996168E-2</v>
      </c>
      <c r="AH397">
        <v>-0.02</v>
      </c>
      <c r="AI397">
        <v>8</v>
      </c>
      <c r="AJ397" s="1">
        <v>2.3255813953488372E-2</v>
      </c>
    </row>
    <row r="398" spans="1:36" x14ac:dyDescent="0.3">
      <c r="A398" t="s">
        <v>74</v>
      </c>
      <c r="B398">
        <v>175305</v>
      </c>
      <c r="C398" t="s">
        <v>579</v>
      </c>
      <c r="D398" t="s">
        <v>399</v>
      </c>
      <c r="E398">
        <v>4154</v>
      </c>
      <c r="F398" s="1">
        <v>0.1333</v>
      </c>
      <c r="G398">
        <v>5019</v>
      </c>
      <c r="H398" s="1">
        <v>0.1348</v>
      </c>
      <c r="I398">
        <v>0.15</v>
      </c>
      <c r="J398">
        <v>865</v>
      </c>
      <c r="K398" s="1">
        <v>0.1426</v>
      </c>
      <c r="L398">
        <v>5846</v>
      </c>
      <c r="M398" s="1">
        <v>0.13725904533821701</v>
      </c>
      <c r="N398">
        <v>0.4</v>
      </c>
      <c r="O398">
        <v>827</v>
      </c>
      <c r="P398" s="1">
        <v>0.15423349496456545</v>
      </c>
      <c r="Q398">
        <v>6286</v>
      </c>
      <c r="R398" s="1">
        <v>0.13698868960707825</v>
      </c>
      <c r="S398">
        <v>0.37</v>
      </c>
      <c r="T398">
        <v>440</v>
      </c>
      <c r="U398" s="1">
        <v>0.13349514563106796</v>
      </c>
      <c r="V398">
        <v>6546</v>
      </c>
      <c r="W398" s="1">
        <v>0.13444515188235537</v>
      </c>
      <c r="X398">
        <v>0.11</v>
      </c>
      <c r="Y398">
        <v>260</v>
      </c>
      <c r="Z398" s="1">
        <v>9.2790863668807996E-2</v>
      </c>
      <c r="AA398">
        <v>6680</v>
      </c>
      <c r="AB398" s="1">
        <v>0.13286921929388365</v>
      </c>
      <c r="AC398">
        <v>-0.04</v>
      </c>
      <c r="AD398">
        <v>134</v>
      </c>
      <c r="AE398" s="1">
        <v>8.4489281210592682E-2</v>
      </c>
      <c r="AF398">
        <v>6720</v>
      </c>
      <c r="AG398" s="1">
        <v>0.13275647484146269</v>
      </c>
      <c r="AH398">
        <v>-0.05</v>
      </c>
      <c r="AI398">
        <v>40</v>
      </c>
      <c r="AJ398" s="1">
        <v>0.11627906976744186</v>
      </c>
    </row>
    <row r="399" spans="1:36" x14ac:dyDescent="0.3">
      <c r="A399" t="s">
        <v>74</v>
      </c>
      <c r="B399">
        <v>175305</v>
      </c>
      <c r="C399" t="s">
        <v>580</v>
      </c>
      <c r="D399" t="s">
        <v>399</v>
      </c>
      <c r="E399">
        <v>12430</v>
      </c>
      <c r="F399" s="1">
        <v>0.39890000000000003</v>
      </c>
      <c r="G399">
        <v>14803</v>
      </c>
      <c r="H399" s="1">
        <v>0.39759999999999995</v>
      </c>
      <c r="I399">
        <v>-0.13</v>
      </c>
      <c r="J399">
        <v>2373</v>
      </c>
      <c r="K399" s="1">
        <v>0.39119999999999999</v>
      </c>
      <c r="L399">
        <v>16947</v>
      </c>
      <c r="M399" s="1">
        <v>0.39790096499260408</v>
      </c>
      <c r="N399">
        <v>-0.1</v>
      </c>
      <c r="O399">
        <v>2144</v>
      </c>
      <c r="P399" s="1">
        <v>0.39985080193957478</v>
      </c>
      <c r="Q399">
        <v>18497</v>
      </c>
      <c r="R399" s="1">
        <v>0.40309891690456995</v>
      </c>
      <c r="S399">
        <v>0.42</v>
      </c>
      <c r="T399">
        <v>1550</v>
      </c>
      <c r="U399" s="1">
        <v>0.47026699029126212</v>
      </c>
      <c r="V399">
        <v>19459</v>
      </c>
      <c r="W399" s="1">
        <v>0.39965906056809547</v>
      </c>
      <c r="X399">
        <v>0.08</v>
      </c>
      <c r="Y399">
        <v>962</v>
      </c>
      <c r="Z399" s="1">
        <v>0.3433261955745896</v>
      </c>
      <c r="AA399">
        <v>19889</v>
      </c>
      <c r="AB399" s="1">
        <v>0.39560417702635503</v>
      </c>
      <c r="AC399">
        <v>-0.33</v>
      </c>
      <c r="AD399">
        <v>430</v>
      </c>
      <c r="AE399" s="1">
        <v>0.27112232030264816</v>
      </c>
      <c r="AF399">
        <v>20023</v>
      </c>
      <c r="AG399" s="1">
        <v>0.39556293091526895</v>
      </c>
      <c r="AH399">
        <v>-0.33</v>
      </c>
      <c r="AI399">
        <v>134</v>
      </c>
      <c r="AJ399" s="1">
        <v>0.38953488372093026</v>
      </c>
    </row>
    <row r="400" spans="1:36" x14ac:dyDescent="0.3">
      <c r="A400" t="s">
        <v>74</v>
      </c>
      <c r="B400">
        <v>175305</v>
      </c>
      <c r="C400" t="s">
        <v>581</v>
      </c>
      <c r="D400" t="s">
        <v>401</v>
      </c>
      <c r="E400">
        <v>13813</v>
      </c>
      <c r="F400" s="1">
        <v>0.44329999999999997</v>
      </c>
      <c r="G400">
        <v>16511</v>
      </c>
      <c r="H400" s="1">
        <v>0.44350000000000001</v>
      </c>
      <c r="I400">
        <v>0.02</v>
      </c>
      <c r="J400">
        <v>2698</v>
      </c>
      <c r="K400" s="1">
        <v>0.44479999999999997</v>
      </c>
      <c r="L400">
        <v>18778</v>
      </c>
      <c r="M400" s="1">
        <v>0.44089126810828577</v>
      </c>
      <c r="N400">
        <v>-0.24</v>
      </c>
      <c r="O400">
        <v>2267</v>
      </c>
      <c r="P400" s="1">
        <v>0.42279000372995151</v>
      </c>
      <c r="Q400">
        <v>20000</v>
      </c>
      <c r="R400" s="1">
        <v>0.43585329178198617</v>
      </c>
      <c r="S400">
        <v>-0.74</v>
      </c>
      <c r="T400">
        <v>1222</v>
      </c>
      <c r="U400" s="1">
        <v>0.37075242718446599</v>
      </c>
      <c r="V400">
        <v>21516</v>
      </c>
      <c r="W400" s="1">
        <v>0.44190679619626611</v>
      </c>
      <c r="X400">
        <v>-0.14000000000000001</v>
      </c>
      <c r="Y400">
        <v>1516</v>
      </c>
      <c r="Z400" s="1">
        <v>0.5410421127765882</v>
      </c>
      <c r="AA400">
        <v>22481</v>
      </c>
      <c r="AB400" s="1">
        <v>0.44716061660865242</v>
      </c>
      <c r="AC400">
        <v>0.39</v>
      </c>
      <c r="AD400">
        <v>965</v>
      </c>
      <c r="AE400" s="1">
        <v>0.60844892812105922</v>
      </c>
      <c r="AF400">
        <v>22635</v>
      </c>
      <c r="AG400" s="1">
        <v>0.44716410833876608</v>
      </c>
      <c r="AH400">
        <v>0.39</v>
      </c>
      <c r="AI400">
        <v>154</v>
      </c>
      <c r="AJ400" s="1">
        <v>0.44767441860465118</v>
      </c>
    </row>
    <row r="401" spans="1:36" x14ac:dyDescent="0.3">
      <c r="A401" t="s">
        <v>74</v>
      </c>
      <c r="B401">
        <v>175305</v>
      </c>
      <c r="C401" t="s">
        <v>402</v>
      </c>
      <c r="E401">
        <v>12</v>
      </c>
      <c r="F401" s="1">
        <v>4.0000000000000002E-4</v>
      </c>
      <c r="G401">
        <v>19</v>
      </c>
      <c r="H401" s="1">
        <v>5.0000000000000001E-4</v>
      </c>
      <c r="I401">
        <v>0.01</v>
      </c>
      <c r="J401">
        <v>7</v>
      </c>
      <c r="K401" s="1">
        <v>1.1999999999999999E-3</v>
      </c>
      <c r="L401">
        <v>22</v>
      </c>
      <c r="M401" s="1">
        <v>5.1654105327416592E-4</v>
      </c>
      <c r="N401">
        <v>0.01</v>
      </c>
      <c r="O401">
        <v>3</v>
      </c>
      <c r="P401" s="1">
        <v>5.5949272659455425E-4</v>
      </c>
      <c r="Q401">
        <v>22</v>
      </c>
      <c r="R401" s="1">
        <v>4.794386209601848E-4</v>
      </c>
      <c r="S401">
        <v>0.01</v>
      </c>
      <c r="T401">
        <v>0</v>
      </c>
      <c r="U401" s="1">
        <v>0</v>
      </c>
      <c r="V401">
        <v>20</v>
      </c>
      <c r="W401" s="1">
        <v>4.1077039988498431E-4</v>
      </c>
      <c r="X401">
        <v>0</v>
      </c>
      <c r="Y401">
        <v>-2</v>
      </c>
      <c r="Z401" s="1">
        <v>-7.1377587437544611E-4</v>
      </c>
      <c r="AA401">
        <v>20</v>
      </c>
      <c r="AB401" s="1">
        <v>3.9781203381402286E-4</v>
      </c>
      <c r="AC401">
        <v>0</v>
      </c>
      <c r="AD401">
        <v>0</v>
      </c>
      <c r="AE401" s="1">
        <v>0</v>
      </c>
      <c r="AF401">
        <v>28</v>
      </c>
      <c r="AG401" s="1">
        <v>5.531519785060945E-4</v>
      </c>
      <c r="AH401">
        <v>0.02</v>
      </c>
      <c r="AI401">
        <v>8</v>
      </c>
      <c r="AJ401" s="1">
        <v>2.3255813953488372E-2</v>
      </c>
    </row>
    <row r="402" spans="1:36" x14ac:dyDescent="0.3">
      <c r="A402" t="s">
        <v>74</v>
      </c>
      <c r="B402">
        <v>175305</v>
      </c>
      <c r="C402" t="s">
        <v>701</v>
      </c>
      <c r="E402">
        <v>16</v>
      </c>
      <c r="F402" s="1" t="s">
        <v>700</v>
      </c>
      <c r="G402">
        <v>11</v>
      </c>
      <c r="H402" s="1" t="s">
        <v>700</v>
      </c>
      <c r="I402" t="s">
        <v>700</v>
      </c>
      <c r="J402">
        <v>-5</v>
      </c>
      <c r="K402" s="1" t="s">
        <v>700</v>
      </c>
      <c r="L402">
        <v>21</v>
      </c>
      <c r="M402" s="1" t="s">
        <v>700</v>
      </c>
      <c r="N402" t="s">
        <v>700</v>
      </c>
      <c r="O402">
        <v>10</v>
      </c>
      <c r="P402" s="1" t="s">
        <v>700</v>
      </c>
      <c r="Q402">
        <v>21</v>
      </c>
      <c r="R402" s="1" t="s">
        <v>700</v>
      </c>
      <c r="S402" t="s">
        <v>700</v>
      </c>
      <c r="T402">
        <v>0</v>
      </c>
      <c r="U402" s="1" t="s">
        <v>700</v>
      </c>
      <c r="V402">
        <v>8</v>
      </c>
      <c r="Y402">
        <v>-13</v>
      </c>
      <c r="AA402">
        <v>9</v>
      </c>
      <c r="AD402">
        <v>1</v>
      </c>
      <c r="AF402">
        <v>10</v>
      </c>
      <c r="AI402">
        <v>1</v>
      </c>
    </row>
    <row r="403" spans="1:36" x14ac:dyDescent="0.3">
      <c r="A403" t="s">
        <v>74</v>
      </c>
      <c r="B403">
        <v>175305</v>
      </c>
      <c r="C403" t="s">
        <v>702</v>
      </c>
      <c r="E403">
        <v>448</v>
      </c>
      <c r="F403" s="1" t="s">
        <v>700</v>
      </c>
      <c r="G403">
        <v>551</v>
      </c>
      <c r="H403" s="1" t="s">
        <v>700</v>
      </c>
      <c r="I403" t="s">
        <v>700</v>
      </c>
      <c r="J403">
        <v>103</v>
      </c>
      <c r="K403" s="1" t="s">
        <v>700</v>
      </c>
      <c r="L403">
        <v>633</v>
      </c>
      <c r="M403" s="1" t="s">
        <v>700</v>
      </c>
      <c r="N403" t="s">
        <v>700</v>
      </c>
      <c r="O403">
        <v>82</v>
      </c>
      <c r="P403" s="1" t="s">
        <v>700</v>
      </c>
      <c r="Q403">
        <v>675</v>
      </c>
      <c r="R403" s="1" t="s">
        <v>700</v>
      </c>
      <c r="S403" t="s">
        <v>700</v>
      </c>
      <c r="T403">
        <v>42</v>
      </c>
      <c r="U403" s="1" t="s">
        <v>700</v>
      </c>
      <c r="V403">
        <v>721</v>
      </c>
      <c r="Y403">
        <v>46</v>
      </c>
      <c r="AA403">
        <v>747</v>
      </c>
      <c r="AD403">
        <v>26</v>
      </c>
      <c r="AF403">
        <v>757</v>
      </c>
      <c r="AI403">
        <v>10</v>
      </c>
    </row>
    <row r="404" spans="1:36" x14ac:dyDescent="0.3">
      <c r="A404" t="s">
        <v>233</v>
      </c>
      <c r="B404" t="s">
        <v>714</v>
      </c>
      <c r="C404" t="s">
        <v>699</v>
      </c>
      <c r="D404" t="s">
        <v>700</v>
      </c>
      <c r="E404">
        <v>12328</v>
      </c>
      <c r="F404" s="1" t="s">
        <v>700</v>
      </c>
      <c r="G404">
        <v>16449</v>
      </c>
      <c r="H404" s="1" t="s">
        <v>700</v>
      </c>
      <c r="I404" t="s">
        <v>700</v>
      </c>
      <c r="J404">
        <v>4121</v>
      </c>
      <c r="K404" s="1" t="s">
        <v>700</v>
      </c>
      <c r="L404">
        <v>19034</v>
      </c>
      <c r="M404" s="1" t="s">
        <v>700</v>
      </c>
      <c r="N404" t="s">
        <v>700</v>
      </c>
      <c r="O404">
        <v>2585</v>
      </c>
      <c r="P404" s="1" t="s">
        <v>700</v>
      </c>
      <c r="Q404">
        <v>21908</v>
      </c>
      <c r="R404" s="1" t="s">
        <v>700</v>
      </c>
      <c r="S404" t="s">
        <v>700</v>
      </c>
      <c r="T404">
        <v>2874</v>
      </c>
      <c r="U404" s="1" t="s">
        <v>700</v>
      </c>
      <c r="V404">
        <v>23441</v>
      </c>
      <c r="Y404">
        <v>1533</v>
      </c>
      <c r="AA404">
        <v>23590</v>
      </c>
      <c r="AD404">
        <v>149</v>
      </c>
      <c r="AF404">
        <v>23755</v>
      </c>
      <c r="AI404">
        <v>165</v>
      </c>
    </row>
    <row r="405" spans="1:36" x14ac:dyDescent="0.3">
      <c r="A405" t="s">
        <v>233</v>
      </c>
      <c r="B405" t="s">
        <v>714</v>
      </c>
      <c r="C405" t="s">
        <v>425</v>
      </c>
      <c r="D405" t="s">
        <v>700</v>
      </c>
      <c r="E405">
        <v>7476</v>
      </c>
      <c r="F405" s="1">
        <v>0.61429999999999996</v>
      </c>
      <c r="G405">
        <v>10007</v>
      </c>
      <c r="H405" s="1">
        <v>0.61640000000000006</v>
      </c>
      <c r="I405">
        <v>0.21</v>
      </c>
      <c r="J405">
        <v>2531</v>
      </c>
      <c r="K405" s="1">
        <v>0.62250000000000005</v>
      </c>
      <c r="L405">
        <v>11592</v>
      </c>
      <c r="M405" s="1">
        <v>0.61689106487148104</v>
      </c>
      <c r="N405">
        <v>0.26</v>
      </c>
      <c r="O405">
        <v>1585</v>
      </c>
      <c r="P405" s="1">
        <v>0.62010954616588421</v>
      </c>
      <c r="Q405">
        <v>13373</v>
      </c>
      <c r="R405" s="1">
        <v>0.6186048663151078</v>
      </c>
      <c r="S405">
        <v>0.43</v>
      </c>
      <c r="T405">
        <v>1781</v>
      </c>
      <c r="U405" s="1">
        <v>0.62999646268128762</v>
      </c>
      <c r="V405">
        <v>14365</v>
      </c>
      <c r="W405" s="1">
        <v>0.62086700955180019</v>
      </c>
      <c r="X405">
        <v>0.66</v>
      </c>
      <c r="Y405">
        <v>992</v>
      </c>
      <c r="Z405" s="1">
        <v>0.65306122448979587</v>
      </c>
      <c r="AA405">
        <v>14456</v>
      </c>
      <c r="AB405" s="1">
        <v>0.6206955775010734</v>
      </c>
      <c r="AC405">
        <v>0.64</v>
      </c>
      <c r="AD405">
        <v>91</v>
      </c>
      <c r="AE405" s="1">
        <v>0.59477124183006536</v>
      </c>
      <c r="AF405">
        <v>14561</v>
      </c>
      <c r="AG405" s="1">
        <v>0.62117657096540246</v>
      </c>
      <c r="AH405">
        <v>0.69</v>
      </c>
      <c r="AI405">
        <v>105</v>
      </c>
      <c r="AJ405" s="1">
        <v>0.69536423841059603</v>
      </c>
    </row>
    <row r="406" spans="1:36" x14ac:dyDescent="0.3">
      <c r="A406" t="s">
        <v>233</v>
      </c>
      <c r="B406" t="s">
        <v>714</v>
      </c>
      <c r="C406" t="s">
        <v>426</v>
      </c>
      <c r="D406" t="s">
        <v>700</v>
      </c>
      <c r="E406">
        <v>4681</v>
      </c>
      <c r="F406" s="1">
        <v>0.38469999999999999</v>
      </c>
      <c r="G406">
        <v>6215</v>
      </c>
      <c r="H406" s="1">
        <v>0.38280000000000003</v>
      </c>
      <c r="I406">
        <v>-0.19</v>
      </c>
      <c r="J406">
        <v>1534</v>
      </c>
      <c r="K406" s="1">
        <v>0.37729999999999997</v>
      </c>
      <c r="L406">
        <v>7184</v>
      </c>
      <c r="M406" s="1">
        <v>0.38231068064498963</v>
      </c>
      <c r="N406">
        <v>-0.24</v>
      </c>
      <c r="O406">
        <v>969</v>
      </c>
      <c r="P406" s="1">
        <v>0.37910798122065725</v>
      </c>
      <c r="Q406">
        <v>8234</v>
      </c>
      <c r="R406" s="1">
        <v>0.38088629845499122</v>
      </c>
      <c r="S406">
        <v>-0.38</v>
      </c>
      <c r="T406">
        <v>1050</v>
      </c>
      <c r="U406" s="1">
        <v>0.37141846480367879</v>
      </c>
      <c r="V406">
        <v>8759</v>
      </c>
      <c r="W406" s="1">
        <v>0.37857111985132041</v>
      </c>
      <c r="X406">
        <v>-0.61</v>
      </c>
      <c r="Y406">
        <v>525</v>
      </c>
      <c r="Z406" s="1">
        <v>0.34562211981566821</v>
      </c>
      <c r="AA406">
        <v>8820</v>
      </c>
      <c r="AB406" s="1">
        <v>0.37870330613997422</v>
      </c>
      <c r="AC406">
        <v>-0.6</v>
      </c>
      <c r="AD406">
        <v>61</v>
      </c>
      <c r="AE406" s="1">
        <v>0.39869281045751637</v>
      </c>
      <c r="AF406">
        <v>8865</v>
      </c>
      <c r="AG406" s="1">
        <v>0.37818352459366067</v>
      </c>
      <c r="AH406">
        <v>-0.65</v>
      </c>
      <c r="AI406">
        <v>45</v>
      </c>
      <c r="AJ406" s="1">
        <v>0.29801324503311261</v>
      </c>
    </row>
    <row r="407" spans="1:36" x14ac:dyDescent="0.3">
      <c r="A407" t="s">
        <v>233</v>
      </c>
      <c r="B407" t="s">
        <v>714</v>
      </c>
      <c r="C407" t="s">
        <v>404</v>
      </c>
      <c r="D407" t="s">
        <v>700</v>
      </c>
      <c r="E407">
        <v>12</v>
      </c>
      <c r="F407" s="1">
        <v>1E-3</v>
      </c>
      <c r="G407">
        <v>13</v>
      </c>
      <c r="H407" s="1">
        <v>8.0000000000000004E-4</v>
      </c>
      <c r="I407">
        <v>-0.02</v>
      </c>
      <c r="J407">
        <v>1</v>
      </c>
      <c r="K407" s="1">
        <v>2.0000000000000001E-4</v>
      </c>
      <c r="L407">
        <v>15</v>
      </c>
      <c r="M407" s="1">
        <v>7.9825448352934913E-4</v>
      </c>
      <c r="N407">
        <v>-0.02</v>
      </c>
      <c r="O407">
        <v>2</v>
      </c>
      <c r="P407" s="1">
        <v>7.8247261345852897E-4</v>
      </c>
      <c r="Q407">
        <v>11</v>
      </c>
      <c r="R407" s="1">
        <v>5.088352299010084E-4</v>
      </c>
      <c r="S407">
        <v>-0.05</v>
      </c>
      <c r="T407">
        <v>-4</v>
      </c>
      <c r="U407" s="1">
        <v>-1.4149274849663955E-3</v>
      </c>
      <c r="V407">
        <v>13</v>
      </c>
      <c r="W407" s="1">
        <v>5.6187059687945711E-4</v>
      </c>
      <c r="X407">
        <v>-0.04</v>
      </c>
      <c r="Y407">
        <v>2</v>
      </c>
      <c r="Z407" s="1">
        <v>1.3166556945358788E-3</v>
      </c>
      <c r="AA407">
        <v>14</v>
      </c>
      <c r="AB407" s="1">
        <v>6.0111635895234003E-4</v>
      </c>
      <c r="AC407">
        <v>-0.04</v>
      </c>
      <c r="AD407">
        <v>1</v>
      </c>
      <c r="AE407" s="1">
        <v>6.5359477124183009E-3</v>
      </c>
      <c r="AF407">
        <v>15</v>
      </c>
      <c r="AG407" s="1">
        <v>6.399044409368201E-4</v>
      </c>
      <c r="AH407">
        <v>-0.04</v>
      </c>
      <c r="AI407">
        <v>1</v>
      </c>
      <c r="AJ407" s="1">
        <v>6.6225165562913907E-3</v>
      </c>
    </row>
    <row r="408" spans="1:36" x14ac:dyDescent="0.3">
      <c r="A408" t="s">
        <v>234</v>
      </c>
      <c r="B408" t="s">
        <v>715</v>
      </c>
      <c r="C408" t="s">
        <v>699</v>
      </c>
      <c r="D408" t="s">
        <v>700</v>
      </c>
      <c r="E408">
        <v>12328</v>
      </c>
      <c r="F408" s="1" t="s">
        <v>700</v>
      </c>
      <c r="G408">
        <v>16449</v>
      </c>
      <c r="H408" s="1" t="s">
        <v>700</v>
      </c>
      <c r="I408" t="s">
        <v>700</v>
      </c>
      <c r="J408">
        <v>4121</v>
      </c>
      <c r="K408" s="1" t="s">
        <v>700</v>
      </c>
      <c r="L408">
        <v>19034</v>
      </c>
      <c r="M408" s="1" t="s">
        <v>700</v>
      </c>
      <c r="N408" t="s">
        <v>700</v>
      </c>
      <c r="O408">
        <v>2585</v>
      </c>
      <c r="P408" s="1" t="s">
        <v>700</v>
      </c>
      <c r="Q408">
        <v>21908</v>
      </c>
      <c r="R408" s="1" t="s">
        <v>700</v>
      </c>
      <c r="S408" t="s">
        <v>700</v>
      </c>
      <c r="T408">
        <v>2874</v>
      </c>
      <c r="U408" s="1" t="s">
        <v>700</v>
      </c>
      <c r="V408">
        <v>23441</v>
      </c>
      <c r="Y408">
        <v>1533</v>
      </c>
      <c r="AA408">
        <v>23590</v>
      </c>
      <c r="AD408">
        <v>149</v>
      </c>
      <c r="AF408">
        <v>23755</v>
      </c>
      <c r="AI408">
        <v>165</v>
      </c>
    </row>
    <row r="409" spans="1:36" x14ac:dyDescent="0.3">
      <c r="A409" t="s">
        <v>234</v>
      </c>
      <c r="B409" t="s">
        <v>715</v>
      </c>
      <c r="C409" t="s">
        <v>596</v>
      </c>
      <c r="D409" t="s">
        <v>700</v>
      </c>
      <c r="E409">
        <v>7677</v>
      </c>
      <c r="F409" s="1">
        <v>0.63159999999999994</v>
      </c>
      <c r="G409">
        <v>10279</v>
      </c>
      <c r="H409" s="1">
        <v>0.63380000000000003</v>
      </c>
      <c r="I409">
        <v>0.22</v>
      </c>
      <c r="J409">
        <v>2602</v>
      </c>
      <c r="K409" s="1">
        <v>0.64029999999999998</v>
      </c>
      <c r="L409">
        <v>11907</v>
      </c>
      <c r="M409" s="1">
        <v>0.63473532704301938</v>
      </c>
      <c r="N409">
        <v>0.31</v>
      </c>
      <c r="O409">
        <v>1628</v>
      </c>
      <c r="P409" s="1">
        <v>0.64094488188976373</v>
      </c>
      <c r="Q409">
        <v>13753</v>
      </c>
      <c r="R409" s="1">
        <v>0.63730305838739576</v>
      </c>
      <c r="S409">
        <v>0.56999999999999995</v>
      </c>
      <c r="T409">
        <v>1846</v>
      </c>
      <c r="U409" s="1">
        <v>0.65437788018433185</v>
      </c>
      <c r="V409">
        <v>14757</v>
      </c>
      <c r="W409" s="1">
        <v>0.63919088664616452</v>
      </c>
      <c r="X409">
        <v>0.76</v>
      </c>
      <c r="Y409">
        <v>1004</v>
      </c>
      <c r="Z409" s="1">
        <v>0.66622428666224287</v>
      </c>
      <c r="AA409">
        <v>14849</v>
      </c>
      <c r="AB409" s="1">
        <v>0.63899647129701354</v>
      </c>
      <c r="AC409">
        <v>0.74</v>
      </c>
      <c r="AD409">
        <v>92</v>
      </c>
      <c r="AE409" s="1">
        <v>0.60927152317880795</v>
      </c>
      <c r="AF409">
        <v>14957</v>
      </c>
      <c r="AG409" s="1">
        <v>0.63946130825138947</v>
      </c>
      <c r="AH409">
        <v>0.79</v>
      </c>
      <c r="AI409">
        <v>108</v>
      </c>
      <c r="AJ409" s="1">
        <v>0.71052631578947367</v>
      </c>
    </row>
    <row r="410" spans="1:36" x14ac:dyDescent="0.3">
      <c r="A410" t="s">
        <v>234</v>
      </c>
      <c r="B410" t="s">
        <v>715</v>
      </c>
      <c r="C410" t="s">
        <v>597</v>
      </c>
      <c r="D410" t="s">
        <v>700</v>
      </c>
      <c r="E410">
        <v>4456</v>
      </c>
      <c r="F410" s="1">
        <v>0.36659999999999998</v>
      </c>
      <c r="G410">
        <v>5914</v>
      </c>
      <c r="H410" s="1">
        <v>0.36460000000000004</v>
      </c>
      <c r="I410">
        <v>-0.2</v>
      </c>
      <c r="J410">
        <v>1458</v>
      </c>
      <c r="K410" s="1">
        <v>0.35880000000000001</v>
      </c>
      <c r="L410">
        <v>6823</v>
      </c>
      <c r="M410" s="1">
        <v>0.36371874833413292</v>
      </c>
      <c r="N410">
        <v>-0.28999999999999998</v>
      </c>
      <c r="O410">
        <v>909</v>
      </c>
      <c r="P410" s="1">
        <v>0.35787401574803152</v>
      </c>
      <c r="Q410">
        <v>7805</v>
      </c>
      <c r="R410" s="1">
        <v>0.36167747914735865</v>
      </c>
      <c r="S410">
        <v>-0.49</v>
      </c>
      <c r="T410">
        <v>982</v>
      </c>
      <c r="U410" s="1">
        <v>0.348103509393832</v>
      </c>
      <c r="V410">
        <v>8304</v>
      </c>
      <c r="W410" s="1">
        <v>0.3596829384502101</v>
      </c>
      <c r="X410">
        <v>-0.69</v>
      </c>
      <c r="Y410">
        <v>499</v>
      </c>
      <c r="Z410" s="1">
        <v>0.33112143331121435</v>
      </c>
      <c r="AA410">
        <v>8363</v>
      </c>
      <c r="AB410" s="1">
        <v>0.35988467165849042</v>
      </c>
      <c r="AC410">
        <v>-0.67</v>
      </c>
      <c r="AD410">
        <v>59</v>
      </c>
      <c r="AE410" s="1">
        <v>0.39072847682119205</v>
      </c>
      <c r="AF410">
        <v>8404</v>
      </c>
      <c r="AG410" s="1">
        <v>0.35929884566053871</v>
      </c>
      <c r="AH410">
        <v>-0.73</v>
      </c>
      <c r="AI410">
        <v>41</v>
      </c>
      <c r="AJ410" s="1">
        <v>0.26973684210526316</v>
      </c>
    </row>
    <row r="411" spans="1:36" x14ac:dyDescent="0.3">
      <c r="A411" t="s">
        <v>234</v>
      </c>
      <c r="B411" t="s">
        <v>715</v>
      </c>
      <c r="C411" t="s">
        <v>404</v>
      </c>
      <c r="D411" t="s">
        <v>700</v>
      </c>
      <c r="E411">
        <v>22</v>
      </c>
      <c r="F411" s="1">
        <v>1.8E-3</v>
      </c>
      <c r="G411">
        <v>26</v>
      </c>
      <c r="H411" s="1">
        <v>1.6000000000000001E-3</v>
      </c>
      <c r="I411">
        <v>-0.02</v>
      </c>
      <c r="J411">
        <v>4</v>
      </c>
      <c r="K411" s="1">
        <v>1E-3</v>
      </c>
      <c r="L411">
        <v>29</v>
      </c>
      <c r="M411" s="1">
        <v>1.5459246228476998E-3</v>
      </c>
      <c r="N411">
        <v>-0.03</v>
      </c>
      <c r="O411">
        <v>3</v>
      </c>
      <c r="P411" s="1">
        <v>1.1811023622047244E-3</v>
      </c>
      <c r="Q411">
        <v>22</v>
      </c>
      <c r="R411" s="1">
        <v>1.0194624652455977E-3</v>
      </c>
      <c r="S411">
        <v>-0.08</v>
      </c>
      <c r="T411">
        <v>-7</v>
      </c>
      <c r="U411" s="1">
        <v>-2.4813895781637717E-3</v>
      </c>
      <c r="V411">
        <v>26</v>
      </c>
      <c r="W411" s="1">
        <v>1.1261749036254169E-3</v>
      </c>
      <c r="X411">
        <v>-7.0000000000000007E-2</v>
      </c>
      <c r="Y411">
        <v>4</v>
      </c>
      <c r="Z411" s="1">
        <v>2.6542800265428003E-3</v>
      </c>
      <c r="AA411">
        <v>26</v>
      </c>
      <c r="AB411" s="1">
        <v>1.1188570444960839E-3</v>
      </c>
      <c r="AC411">
        <v>-7.0000000000000007E-2</v>
      </c>
      <c r="AD411">
        <v>0</v>
      </c>
      <c r="AE411" s="1">
        <v>0</v>
      </c>
      <c r="AF411">
        <v>29</v>
      </c>
      <c r="AG411" s="1">
        <v>1.2398460880718256E-3</v>
      </c>
      <c r="AH411">
        <v>-0.06</v>
      </c>
      <c r="AI411">
        <v>3</v>
      </c>
      <c r="AJ411" s="1">
        <v>1.9736842105263157E-2</v>
      </c>
    </row>
    <row r="412" spans="1:36" x14ac:dyDescent="0.3">
      <c r="A412" t="s">
        <v>235</v>
      </c>
      <c r="B412" t="s">
        <v>716</v>
      </c>
      <c r="C412" t="s">
        <v>699</v>
      </c>
      <c r="D412" t="s">
        <v>700</v>
      </c>
      <c r="E412">
        <v>12328</v>
      </c>
      <c r="F412" s="1" t="s">
        <v>700</v>
      </c>
      <c r="G412">
        <v>16449</v>
      </c>
      <c r="H412" s="1" t="s">
        <v>700</v>
      </c>
      <c r="I412" t="s">
        <v>700</v>
      </c>
      <c r="J412">
        <v>4121</v>
      </c>
      <c r="K412" s="1" t="s">
        <v>700</v>
      </c>
      <c r="L412">
        <v>19034</v>
      </c>
      <c r="M412" s="1" t="s">
        <v>700</v>
      </c>
      <c r="N412" t="s">
        <v>700</v>
      </c>
      <c r="O412">
        <v>2585</v>
      </c>
      <c r="P412" s="1" t="s">
        <v>700</v>
      </c>
      <c r="Q412">
        <v>21908</v>
      </c>
      <c r="R412" s="1" t="s">
        <v>700</v>
      </c>
      <c r="S412" t="s">
        <v>700</v>
      </c>
      <c r="T412">
        <v>2874</v>
      </c>
      <c r="U412" s="1" t="s">
        <v>700</v>
      </c>
      <c r="V412">
        <v>23441</v>
      </c>
      <c r="Y412">
        <v>1533</v>
      </c>
      <c r="AA412">
        <v>23590</v>
      </c>
      <c r="AD412">
        <v>149</v>
      </c>
      <c r="AF412">
        <v>23755</v>
      </c>
      <c r="AI412">
        <v>165</v>
      </c>
    </row>
    <row r="413" spans="1:36" x14ac:dyDescent="0.3">
      <c r="A413" t="s">
        <v>235</v>
      </c>
      <c r="B413" t="s">
        <v>716</v>
      </c>
      <c r="C413" t="s">
        <v>598</v>
      </c>
      <c r="D413" t="s">
        <v>700</v>
      </c>
      <c r="E413">
        <v>7598</v>
      </c>
      <c r="F413" s="1">
        <v>0.63329999999999997</v>
      </c>
      <c r="G413">
        <v>10134</v>
      </c>
      <c r="H413" s="1">
        <v>0.63329999999999997</v>
      </c>
      <c r="I413">
        <v>0</v>
      </c>
      <c r="J413">
        <v>2536</v>
      </c>
      <c r="K413" s="1">
        <v>0.63319999999999999</v>
      </c>
      <c r="L413">
        <v>11711</v>
      </c>
      <c r="M413" s="1">
        <v>0.63271921767788641</v>
      </c>
      <c r="N413">
        <v>-0.06</v>
      </c>
      <c r="O413">
        <v>1577</v>
      </c>
      <c r="P413" s="1">
        <v>0.62903869166334259</v>
      </c>
      <c r="Q413">
        <v>13531</v>
      </c>
      <c r="R413" s="1">
        <v>0.63531787022255615</v>
      </c>
      <c r="S413">
        <v>0.2</v>
      </c>
      <c r="T413">
        <v>1820</v>
      </c>
      <c r="U413" s="1">
        <v>0.6525636428827537</v>
      </c>
      <c r="V413">
        <v>14513</v>
      </c>
      <c r="W413" s="1">
        <v>0.63673057517658926</v>
      </c>
      <c r="X413">
        <v>0.34</v>
      </c>
      <c r="Y413">
        <v>982</v>
      </c>
      <c r="Z413" s="1">
        <v>0.65685618729096995</v>
      </c>
      <c r="AA413">
        <v>14608</v>
      </c>
      <c r="AB413" s="1">
        <v>0.63670836420694765</v>
      </c>
      <c r="AC413">
        <v>0.34</v>
      </c>
      <c r="AD413">
        <v>95</v>
      </c>
      <c r="AE413" s="1">
        <v>0.6333333333333333</v>
      </c>
      <c r="AF413">
        <v>14714</v>
      </c>
      <c r="AG413" s="1">
        <v>0.63719036895894687</v>
      </c>
      <c r="AH413">
        <v>0.39</v>
      </c>
      <c r="AI413">
        <v>106</v>
      </c>
      <c r="AJ413" s="1">
        <v>0.71140939597315433</v>
      </c>
    </row>
    <row r="414" spans="1:36" x14ac:dyDescent="0.3">
      <c r="A414" t="s">
        <v>235</v>
      </c>
      <c r="B414" t="s">
        <v>716</v>
      </c>
      <c r="C414" t="s">
        <v>599</v>
      </c>
      <c r="D414" t="s">
        <v>700</v>
      </c>
      <c r="E414">
        <v>4328</v>
      </c>
      <c r="F414" s="1">
        <v>0.36080000000000001</v>
      </c>
      <c r="G414">
        <v>5778</v>
      </c>
      <c r="H414" s="1">
        <v>0.36109999999999998</v>
      </c>
      <c r="I414">
        <v>0.03</v>
      </c>
      <c r="J414">
        <v>1450</v>
      </c>
      <c r="K414" s="1">
        <v>0.36200000000000004</v>
      </c>
      <c r="L414">
        <v>6696</v>
      </c>
      <c r="M414" s="1">
        <v>0.36176994975417365</v>
      </c>
      <c r="N414">
        <v>0.1</v>
      </c>
      <c r="O414">
        <v>918</v>
      </c>
      <c r="P414" s="1">
        <v>0.36617471080973274</v>
      </c>
      <c r="Q414">
        <v>7676</v>
      </c>
      <c r="R414" s="1">
        <v>0.36040942811531601</v>
      </c>
      <c r="S414">
        <v>-0.04</v>
      </c>
      <c r="T414">
        <v>980</v>
      </c>
      <c r="U414" s="1">
        <v>0.35138042309071355</v>
      </c>
      <c r="V414">
        <v>8184</v>
      </c>
      <c r="W414" s="1">
        <v>0.35905760540516823</v>
      </c>
      <c r="X414">
        <v>-0.17</v>
      </c>
      <c r="Y414">
        <v>508</v>
      </c>
      <c r="Z414" s="1">
        <v>0.33979933110367894</v>
      </c>
      <c r="AA414">
        <v>8235</v>
      </c>
      <c r="AB414" s="1">
        <v>0.35893300788911653</v>
      </c>
      <c r="AC414">
        <v>-0.19</v>
      </c>
      <c r="AD414">
        <v>51</v>
      </c>
      <c r="AE414" s="1">
        <v>0.34</v>
      </c>
      <c r="AF414">
        <v>8275</v>
      </c>
      <c r="AG414" s="1">
        <v>0.35834921184825913</v>
      </c>
      <c r="AH414">
        <v>-0.25</v>
      </c>
      <c r="AI414">
        <v>40</v>
      </c>
      <c r="AJ414" s="1">
        <v>0.26845637583892618</v>
      </c>
    </row>
    <row r="415" spans="1:36" x14ac:dyDescent="0.3">
      <c r="A415" t="s">
        <v>235</v>
      </c>
      <c r="B415" t="s">
        <v>716</v>
      </c>
      <c r="C415" t="s">
        <v>404</v>
      </c>
      <c r="D415" t="s">
        <v>700</v>
      </c>
      <c r="E415">
        <v>71</v>
      </c>
      <c r="F415" s="1">
        <v>5.8999999999999999E-3</v>
      </c>
      <c r="G415">
        <v>90</v>
      </c>
      <c r="H415" s="1">
        <v>5.6000000000000008E-3</v>
      </c>
      <c r="I415">
        <v>-0.03</v>
      </c>
      <c r="J415">
        <v>19</v>
      </c>
      <c r="K415" s="1">
        <v>4.6999999999999993E-3</v>
      </c>
      <c r="L415">
        <v>102</v>
      </c>
      <c r="M415" s="1">
        <v>5.510832567939921E-3</v>
      </c>
      <c r="N415">
        <v>-0.04</v>
      </c>
      <c r="O415">
        <v>12</v>
      </c>
      <c r="P415" s="1">
        <v>4.7865975269246108E-3</v>
      </c>
      <c r="Q415">
        <v>91</v>
      </c>
      <c r="R415" s="1">
        <v>4.2727016621278997E-3</v>
      </c>
      <c r="S415">
        <v>-0.16</v>
      </c>
      <c r="T415">
        <v>-11</v>
      </c>
      <c r="U415" s="1">
        <v>-3.9440659734671923E-3</v>
      </c>
      <c r="V415">
        <v>96</v>
      </c>
      <c r="W415" s="1">
        <v>4.2118194182424427E-3</v>
      </c>
      <c r="X415">
        <v>-0.17</v>
      </c>
      <c r="Y415">
        <v>5</v>
      </c>
      <c r="Z415" s="1">
        <v>3.3444816053511705E-3</v>
      </c>
      <c r="AA415">
        <v>100</v>
      </c>
      <c r="AB415" s="1">
        <v>4.3586279039358406E-3</v>
      </c>
      <c r="AC415">
        <v>-0.15</v>
      </c>
      <c r="AD415">
        <v>4</v>
      </c>
      <c r="AE415" s="1">
        <v>2.6666666666666668E-2</v>
      </c>
      <c r="AF415">
        <v>103</v>
      </c>
      <c r="AG415" s="1">
        <v>4.4604191927940413E-3</v>
      </c>
      <c r="AH415">
        <v>-0.14000000000000001</v>
      </c>
      <c r="AI415">
        <v>3</v>
      </c>
      <c r="AJ415" s="1">
        <v>2.0134228187919462E-2</v>
      </c>
    </row>
    <row r="416" spans="1:36" x14ac:dyDescent="0.3">
      <c r="A416" t="s">
        <v>199</v>
      </c>
      <c r="B416">
        <v>176340</v>
      </c>
      <c r="C416" t="s">
        <v>699</v>
      </c>
      <c r="E416">
        <v>21083</v>
      </c>
      <c r="F416" s="1" t="s">
        <v>700</v>
      </c>
      <c r="G416">
        <v>28385</v>
      </c>
      <c r="H416" s="1" t="s">
        <v>700</v>
      </c>
      <c r="I416" t="s">
        <v>700</v>
      </c>
      <c r="J416">
        <v>7302</v>
      </c>
      <c r="K416" s="1" t="s">
        <v>700</v>
      </c>
      <c r="L416">
        <v>33211</v>
      </c>
      <c r="M416" s="1" t="s">
        <v>700</v>
      </c>
      <c r="N416" t="s">
        <v>700</v>
      </c>
      <c r="O416">
        <v>4826</v>
      </c>
      <c r="P416" s="1" t="s">
        <v>700</v>
      </c>
      <c r="Q416">
        <v>33868</v>
      </c>
      <c r="R416" s="1" t="s">
        <v>700</v>
      </c>
      <c r="S416" t="s">
        <v>700</v>
      </c>
      <c r="T416">
        <v>657</v>
      </c>
      <c r="U416" s="1" t="s">
        <v>700</v>
      </c>
      <c r="V416">
        <v>34156</v>
      </c>
      <c r="Y416">
        <v>288</v>
      </c>
      <c r="AA416">
        <v>34241</v>
      </c>
      <c r="AD416">
        <v>85</v>
      </c>
      <c r="AF416">
        <v>34514</v>
      </c>
      <c r="AI416">
        <v>273</v>
      </c>
    </row>
    <row r="417" spans="1:36" x14ac:dyDescent="0.3">
      <c r="A417" t="s">
        <v>199</v>
      </c>
      <c r="B417">
        <v>176340</v>
      </c>
      <c r="C417" t="s">
        <v>427</v>
      </c>
      <c r="D417" t="s">
        <v>399</v>
      </c>
      <c r="E417">
        <v>9622</v>
      </c>
      <c r="F417" s="1">
        <v>0.46020000000000005</v>
      </c>
      <c r="G417">
        <v>12830</v>
      </c>
      <c r="H417" s="1">
        <v>0.45539999999999997</v>
      </c>
      <c r="I417">
        <v>-0.48</v>
      </c>
      <c r="J417">
        <v>3208</v>
      </c>
      <c r="K417" s="1">
        <v>0.44140000000000001</v>
      </c>
      <c r="L417">
        <v>14992</v>
      </c>
      <c r="M417" s="1">
        <v>0.45488197099338551</v>
      </c>
      <c r="N417">
        <v>-0.53</v>
      </c>
      <c r="O417">
        <v>2162</v>
      </c>
      <c r="P417" s="1">
        <v>0.45211208699289002</v>
      </c>
      <c r="Q417">
        <v>15319</v>
      </c>
      <c r="R417" s="1">
        <v>0.45578696816423686</v>
      </c>
      <c r="S417">
        <v>-0.44</v>
      </c>
      <c r="T417">
        <v>327</v>
      </c>
      <c r="U417" s="1">
        <v>0.50153374233128833</v>
      </c>
      <c r="V417">
        <v>15454</v>
      </c>
      <c r="W417" s="1">
        <v>0.45585675938762871</v>
      </c>
      <c r="X417">
        <v>-0.43</v>
      </c>
      <c r="Y417">
        <v>135</v>
      </c>
      <c r="Z417" s="1">
        <v>0.46391752577319589</v>
      </c>
      <c r="AA417">
        <v>15498</v>
      </c>
      <c r="AB417" s="1">
        <v>0.45602471678681772</v>
      </c>
      <c r="AC417">
        <v>-0.42</v>
      </c>
      <c r="AD417">
        <v>44</v>
      </c>
      <c r="AE417" s="1">
        <v>0.52380952380952384</v>
      </c>
      <c r="AF417">
        <v>15638</v>
      </c>
      <c r="AG417" s="1">
        <v>0.45662393786317051</v>
      </c>
      <c r="AH417">
        <v>-0.36</v>
      </c>
      <c r="AI417">
        <v>140</v>
      </c>
      <c r="AJ417" s="1">
        <v>0.53435114503816794</v>
      </c>
    </row>
    <row r="418" spans="1:36" x14ac:dyDescent="0.3">
      <c r="A418" t="s">
        <v>199</v>
      </c>
      <c r="B418">
        <v>176340</v>
      </c>
      <c r="C418" t="s">
        <v>428</v>
      </c>
      <c r="D418" t="s">
        <v>401</v>
      </c>
      <c r="E418">
        <v>11262</v>
      </c>
      <c r="F418" s="1">
        <v>0.53859999999999997</v>
      </c>
      <c r="G418">
        <v>15317</v>
      </c>
      <c r="H418" s="1">
        <v>0.54359999999999997</v>
      </c>
      <c r="I418">
        <v>0.5</v>
      </c>
      <c r="J418">
        <v>4055</v>
      </c>
      <c r="K418" s="1">
        <v>0.55789999999999995</v>
      </c>
      <c r="L418">
        <v>17932</v>
      </c>
      <c r="M418" s="1">
        <v>0.5440864130104982</v>
      </c>
      <c r="N418">
        <v>0.55000000000000004</v>
      </c>
      <c r="O418">
        <v>2615</v>
      </c>
      <c r="P418" s="1">
        <v>0.54684232538686739</v>
      </c>
      <c r="Q418">
        <v>18260</v>
      </c>
      <c r="R418" s="1">
        <v>0.54329068729544783</v>
      </c>
      <c r="S418">
        <v>0.47</v>
      </c>
      <c r="T418">
        <v>328</v>
      </c>
      <c r="U418" s="1">
        <v>0.50306748466257667</v>
      </c>
      <c r="V418">
        <v>18421</v>
      </c>
      <c r="W418" s="1">
        <v>0.54337630158402406</v>
      </c>
      <c r="X418">
        <v>0.48</v>
      </c>
      <c r="Y418">
        <v>161</v>
      </c>
      <c r="Z418" s="1">
        <v>0.5532646048109966</v>
      </c>
      <c r="AA418">
        <v>18461</v>
      </c>
      <c r="AB418" s="1">
        <v>0.54321023981168159</v>
      </c>
      <c r="AC418">
        <v>0.46</v>
      </c>
      <c r="AD418">
        <v>40</v>
      </c>
      <c r="AE418" s="1">
        <v>0.47619047619047616</v>
      </c>
      <c r="AF418">
        <v>18583</v>
      </c>
      <c r="AG418" s="1">
        <v>0.54261687155079275</v>
      </c>
      <c r="AH418">
        <v>0.4</v>
      </c>
      <c r="AI418">
        <v>122</v>
      </c>
      <c r="AJ418" s="1">
        <v>0.46564885496183206</v>
      </c>
    </row>
    <row r="419" spans="1:36" x14ac:dyDescent="0.3">
      <c r="A419" t="s">
        <v>199</v>
      </c>
      <c r="B419">
        <v>176340</v>
      </c>
      <c r="C419" t="s">
        <v>402</v>
      </c>
      <c r="E419">
        <v>24</v>
      </c>
      <c r="F419" s="1">
        <v>1.1000000000000001E-3</v>
      </c>
      <c r="G419">
        <v>29</v>
      </c>
      <c r="H419" s="1">
        <v>1E-3</v>
      </c>
      <c r="I419">
        <v>-0.01</v>
      </c>
      <c r="J419">
        <v>5</v>
      </c>
      <c r="K419" s="1">
        <v>7.000000000000001E-4</v>
      </c>
      <c r="L419">
        <v>34</v>
      </c>
      <c r="M419" s="1">
        <v>1.0316159961162692E-3</v>
      </c>
      <c r="N419">
        <v>-0.01</v>
      </c>
      <c r="O419">
        <v>5</v>
      </c>
      <c r="P419" s="1">
        <v>1.0455876202425764E-3</v>
      </c>
      <c r="Q419">
        <v>31</v>
      </c>
      <c r="R419" s="1">
        <v>9.2234454031538235E-4</v>
      </c>
      <c r="S419">
        <v>-0.02</v>
      </c>
      <c r="T419">
        <v>-3</v>
      </c>
      <c r="U419" s="1">
        <v>-4.601226993865031E-3</v>
      </c>
      <c r="V419">
        <v>26</v>
      </c>
      <c r="W419" s="1">
        <v>7.6693902834724644E-4</v>
      </c>
      <c r="X419">
        <v>-0.03</v>
      </c>
      <c r="Y419">
        <v>-5</v>
      </c>
      <c r="Z419" s="1">
        <v>-1.7182130584192441E-2</v>
      </c>
      <c r="AA419">
        <v>26</v>
      </c>
      <c r="AB419" s="1">
        <v>7.6504340150066201E-4</v>
      </c>
      <c r="AC419">
        <v>-0.03</v>
      </c>
      <c r="AD419">
        <v>0</v>
      </c>
      <c r="AE419" s="1">
        <v>0</v>
      </c>
      <c r="AF419">
        <v>26</v>
      </c>
      <c r="AG419" s="1">
        <v>7.5919058603673311E-4</v>
      </c>
      <c r="AH419">
        <v>-0.03</v>
      </c>
      <c r="AI419">
        <v>0</v>
      </c>
      <c r="AJ419" s="1">
        <v>0</v>
      </c>
    </row>
    <row r="420" spans="1:36" x14ac:dyDescent="0.3">
      <c r="A420" t="s">
        <v>199</v>
      </c>
      <c r="B420">
        <v>176340</v>
      </c>
      <c r="C420" t="s">
        <v>701</v>
      </c>
      <c r="E420">
        <v>21</v>
      </c>
      <c r="F420" s="1" t="s">
        <v>700</v>
      </c>
      <c r="G420">
        <v>8</v>
      </c>
      <c r="H420" s="1" t="s">
        <v>700</v>
      </c>
      <c r="I420" t="s">
        <v>700</v>
      </c>
      <c r="J420">
        <v>-13</v>
      </c>
      <c r="K420" s="1" t="s">
        <v>700</v>
      </c>
      <c r="L420">
        <v>12</v>
      </c>
      <c r="M420" s="1" t="s">
        <v>700</v>
      </c>
      <c r="N420" t="s">
        <v>700</v>
      </c>
      <c r="O420">
        <v>4</v>
      </c>
      <c r="P420" s="1" t="s">
        <v>700</v>
      </c>
      <c r="Q420">
        <v>12</v>
      </c>
      <c r="R420" s="1" t="s">
        <v>700</v>
      </c>
      <c r="S420" t="s">
        <v>700</v>
      </c>
      <c r="T420">
        <v>0</v>
      </c>
      <c r="U420" s="1" t="s">
        <v>700</v>
      </c>
      <c r="V420">
        <v>0</v>
      </c>
      <c r="Y420">
        <v>-12</v>
      </c>
      <c r="AA420">
        <v>0</v>
      </c>
      <c r="AF420">
        <v>0</v>
      </c>
    </row>
    <row r="421" spans="1:36" x14ac:dyDescent="0.3">
      <c r="A421" t="s">
        <v>199</v>
      </c>
      <c r="B421">
        <v>176340</v>
      </c>
      <c r="C421" t="s">
        <v>702</v>
      </c>
      <c r="E421">
        <v>129</v>
      </c>
      <c r="F421" s="1" t="s">
        <v>700</v>
      </c>
      <c r="G421">
        <v>173</v>
      </c>
      <c r="H421" s="1" t="s">
        <v>700</v>
      </c>
      <c r="I421" t="s">
        <v>700</v>
      </c>
      <c r="J421">
        <v>44</v>
      </c>
      <c r="K421" s="1" t="s">
        <v>700</v>
      </c>
      <c r="L421">
        <v>210</v>
      </c>
      <c r="M421" s="1" t="s">
        <v>700</v>
      </c>
      <c r="N421" t="s">
        <v>700</v>
      </c>
      <c r="O421">
        <v>37</v>
      </c>
      <c r="P421" s="1" t="s">
        <v>700</v>
      </c>
      <c r="Q421">
        <v>210</v>
      </c>
      <c r="R421" s="1" t="s">
        <v>700</v>
      </c>
      <c r="S421" t="s">
        <v>700</v>
      </c>
      <c r="T421">
        <v>0</v>
      </c>
      <c r="U421" s="1" t="s">
        <v>700</v>
      </c>
      <c r="V421">
        <v>218</v>
      </c>
      <c r="Y421">
        <v>8</v>
      </c>
      <c r="AA421">
        <v>218</v>
      </c>
      <c r="AD421">
        <v>0</v>
      </c>
      <c r="AF421">
        <v>227</v>
      </c>
      <c r="AI421">
        <v>9</v>
      </c>
    </row>
    <row r="422" spans="1:36" x14ac:dyDescent="0.3">
      <c r="A422" t="s">
        <v>200</v>
      </c>
      <c r="B422">
        <v>182451</v>
      </c>
      <c r="C422" t="s">
        <v>699</v>
      </c>
      <c r="E422">
        <v>21083</v>
      </c>
      <c r="F422" s="1" t="s">
        <v>700</v>
      </c>
      <c r="G422">
        <v>28385</v>
      </c>
      <c r="H422" s="1" t="s">
        <v>700</v>
      </c>
      <c r="I422" t="s">
        <v>700</v>
      </c>
      <c r="J422">
        <v>7302</v>
      </c>
      <c r="K422" s="1" t="s">
        <v>700</v>
      </c>
      <c r="L422">
        <v>33211</v>
      </c>
      <c r="M422" s="1" t="s">
        <v>700</v>
      </c>
      <c r="N422" t="s">
        <v>700</v>
      </c>
      <c r="O422">
        <v>4826</v>
      </c>
      <c r="P422" s="1" t="s">
        <v>700</v>
      </c>
      <c r="Q422">
        <v>33868</v>
      </c>
      <c r="R422" s="1" t="s">
        <v>700</v>
      </c>
      <c r="S422" t="s">
        <v>700</v>
      </c>
      <c r="T422">
        <v>657</v>
      </c>
      <c r="U422" s="1" t="s">
        <v>700</v>
      </c>
      <c r="V422">
        <v>34156</v>
      </c>
      <c r="Y422">
        <v>288</v>
      </c>
      <c r="AA422">
        <v>34241</v>
      </c>
      <c r="AD422">
        <v>85</v>
      </c>
      <c r="AF422">
        <v>34514</v>
      </c>
      <c r="AI422">
        <v>273</v>
      </c>
    </row>
    <row r="423" spans="1:36" x14ac:dyDescent="0.3">
      <c r="A423" t="s">
        <v>200</v>
      </c>
      <c r="B423">
        <v>182451</v>
      </c>
      <c r="C423" t="s">
        <v>600</v>
      </c>
      <c r="D423" t="s">
        <v>401</v>
      </c>
      <c r="E423">
        <v>12019</v>
      </c>
      <c r="F423" s="1">
        <v>0.57879999999999998</v>
      </c>
      <c r="G423">
        <v>16265</v>
      </c>
      <c r="H423" s="1">
        <v>0.58119999999999994</v>
      </c>
      <c r="I423">
        <v>0.24</v>
      </c>
      <c r="J423">
        <v>4246</v>
      </c>
      <c r="K423" s="1">
        <v>0.58829999999999993</v>
      </c>
      <c r="L423">
        <v>19002</v>
      </c>
      <c r="M423" s="1">
        <v>0.58072797286146516</v>
      </c>
      <c r="N423">
        <v>0.19</v>
      </c>
      <c r="O423">
        <v>2737</v>
      </c>
      <c r="P423" s="1">
        <v>0.57766990291262132</v>
      </c>
      <c r="Q423">
        <v>19335</v>
      </c>
      <c r="R423" s="1">
        <v>0.57949947549827663</v>
      </c>
      <c r="S423">
        <v>7.0000000000000007E-2</v>
      </c>
      <c r="T423">
        <v>333</v>
      </c>
      <c r="U423" s="1">
        <v>0.51708074534161486</v>
      </c>
      <c r="V423">
        <v>19503</v>
      </c>
      <c r="W423" s="1">
        <v>0.57954950671579697</v>
      </c>
      <c r="X423">
        <v>7.0000000000000007E-2</v>
      </c>
      <c r="Y423">
        <v>168</v>
      </c>
      <c r="Z423" s="1">
        <v>0.58536585365853655</v>
      </c>
      <c r="AA423">
        <v>19546</v>
      </c>
      <c r="AB423" s="1">
        <v>0.57939825107455167</v>
      </c>
      <c r="AC423">
        <v>0.06</v>
      </c>
      <c r="AD423">
        <v>43</v>
      </c>
      <c r="AE423" s="1">
        <v>0.51807228915662651</v>
      </c>
      <c r="AF423">
        <v>19674</v>
      </c>
      <c r="AG423" s="1">
        <v>0.57871514295799509</v>
      </c>
      <c r="AH423">
        <v>-0.01</v>
      </c>
      <c r="AI423">
        <v>128</v>
      </c>
      <c r="AJ423" s="1">
        <v>0.49042145593869729</v>
      </c>
    </row>
    <row r="424" spans="1:36" x14ac:dyDescent="0.3">
      <c r="A424" t="s">
        <v>200</v>
      </c>
      <c r="B424">
        <v>182451</v>
      </c>
      <c r="C424" t="s">
        <v>601</v>
      </c>
      <c r="D424" t="s">
        <v>399</v>
      </c>
      <c r="E424">
        <v>8721</v>
      </c>
      <c r="F424" s="1">
        <v>0.42</v>
      </c>
      <c r="G424">
        <v>11689</v>
      </c>
      <c r="H424" s="1">
        <v>0.41770000000000002</v>
      </c>
      <c r="I424">
        <v>-0.23</v>
      </c>
      <c r="J424">
        <v>2968</v>
      </c>
      <c r="K424" s="1">
        <v>0.4113</v>
      </c>
      <c r="L424">
        <v>13684</v>
      </c>
      <c r="M424" s="1">
        <v>0.41820237767794383</v>
      </c>
      <c r="N424">
        <v>-0.18</v>
      </c>
      <c r="O424">
        <v>1995</v>
      </c>
      <c r="P424" s="1">
        <v>0.42106373997467283</v>
      </c>
      <c r="Q424">
        <v>13996</v>
      </c>
      <c r="R424" s="1">
        <v>0.41948149258204703</v>
      </c>
      <c r="S424">
        <v>-0.05</v>
      </c>
      <c r="T424">
        <v>312</v>
      </c>
      <c r="U424" s="1">
        <v>0.48447204968944102</v>
      </c>
      <c r="V424">
        <v>14126</v>
      </c>
      <c r="W424" s="1">
        <v>0.41976702721977893</v>
      </c>
      <c r="X424">
        <v>-0.02</v>
      </c>
      <c r="Y424">
        <v>130</v>
      </c>
      <c r="Z424" s="1">
        <v>0.45296167247386759</v>
      </c>
      <c r="AA424">
        <v>14166</v>
      </c>
      <c r="AB424" s="1">
        <v>0.41991996442863494</v>
      </c>
      <c r="AC424">
        <v>-0.01</v>
      </c>
      <c r="AD424">
        <v>40</v>
      </c>
      <c r="AE424" s="1">
        <v>0.48192771084337349</v>
      </c>
      <c r="AF424">
        <v>14299</v>
      </c>
      <c r="AG424" s="1">
        <v>0.42060830685963052</v>
      </c>
      <c r="AH424">
        <v>0.06</v>
      </c>
      <c r="AI424">
        <v>133</v>
      </c>
      <c r="AJ424" s="1">
        <v>0.50957854406130265</v>
      </c>
    </row>
    <row r="425" spans="1:36" x14ac:dyDescent="0.3">
      <c r="A425" t="s">
        <v>200</v>
      </c>
      <c r="B425">
        <v>182451</v>
      </c>
      <c r="C425" t="s">
        <v>402</v>
      </c>
      <c r="E425">
        <v>26</v>
      </c>
      <c r="F425" s="1">
        <v>1.2999999999999999E-3</v>
      </c>
      <c r="G425">
        <v>29</v>
      </c>
      <c r="H425" s="1">
        <v>1E-3</v>
      </c>
      <c r="I425">
        <v>-0.03</v>
      </c>
      <c r="J425">
        <v>3</v>
      </c>
      <c r="K425" s="1">
        <v>4.0000000000000002E-4</v>
      </c>
      <c r="L425">
        <v>35</v>
      </c>
      <c r="M425" s="1">
        <v>1.0696494605910577E-3</v>
      </c>
      <c r="N425">
        <v>-0.02</v>
      </c>
      <c r="O425">
        <v>6</v>
      </c>
      <c r="P425" s="1">
        <v>1.2663571127057829E-3</v>
      </c>
      <c r="Q425">
        <v>34</v>
      </c>
      <c r="R425" s="1">
        <v>1.0190319196763074E-3</v>
      </c>
      <c r="S425">
        <v>-0.03</v>
      </c>
      <c r="T425">
        <v>-1</v>
      </c>
      <c r="U425" s="1">
        <v>-1.5527950310559005E-3</v>
      </c>
      <c r="V425">
        <v>23</v>
      </c>
      <c r="W425" s="1">
        <v>6.8346606442410557E-4</v>
      </c>
      <c r="X425">
        <v>-0.06</v>
      </c>
      <c r="Y425">
        <v>-11</v>
      </c>
      <c r="Z425" s="1">
        <v>-3.8327526132404179E-2</v>
      </c>
      <c r="AA425">
        <v>23</v>
      </c>
      <c r="AB425" s="1">
        <v>6.8178449681339853E-4</v>
      </c>
      <c r="AC425">
        <v>-0.06</v>
      </c>
      <c r="AD425">
        <v>0</v>
      </c>
      <c r="AE425" s="1">
        <v>0</v>
      </c>
      <c r="AF425">
        <v>23</v>
      </c>
      <c r="AG425" s="1">
        <v>6.7655018237439699E-4</v>
      </c>
      <c r="AH425">
        <v>-0.06</v>
      </c>
      <c r="AI425">
        <v>0</v>
      </c>
      <c r="AJ425" s="1">
        <v>0</v>
      </c>
    </row>
    <row r="426" spans="1:36" x14ac:dyDescent="0.3">
      <c r="A426" t="s">
        <v>200</v>
      </c>
      <c r="B426">
        <v>182451</v>
      </c>
      <c r="C426" t="s">
        <v>701</v>
      </c>
      <c r="E426">
        <v>36</v>
      </c>
      <c r="F426" s="1" t="s">
        <v>700</v>
      </c>
      <c r="G426">
        <v>9</v>
      </c>
      <c r="H426" s="1" t="s">
        <v>700</v>
      </c>
      <c r="I426" t="s">
        <v>700</v>
      </c>
      <c r="J426">
        <v>-27</v>
      </c>
      <c r="K426" s="1" t="s">
        <v>700</v>
      </c>
      <c r="L426">
        <v>19</v>
      </c>
      <c r="M426" s="1" t="s">
        <v>700</v>
      </c>
      <c r="N426" t="s">
        <v>700</v>
      </c>
      <c r="O426">
        <v>10</v>
      </c>
      <c r="P426" s="1" t="s">
        <v>700</v>
      </c>
      <c r="Q426">
        <v>19</v>
      </c>
      <c r="R426" s="1" t="s">
        <v>700</v>
      </c>
      <c r="S426" t="s">
        <v>700</v>
      </c>
      <c r="T426">
        <v>0</v>
      </c>
      <c r="U426" s="1" t="s">
        <v>700</v>
      </c>
      <c r="V426">
        <v>1</v>
      </c>
      <c r="Y426">
        <v>-18</v>
      </c>
      <c r="AA426">
        <v>1</v>
      </c>
      <c r="AD426">
        <v>0</v>
      </c>
      <c r="AF426">
        <v>1</v>
      </c>
      <c r="AI426">
        <v>0</v>
      </c>
    </row>
    <row r="427" spans="1:36" x14ac:dyDescent="0.3">
      <c r="A427" t="s">
        <v>200</v>
      </c>
      <c r="B427">
        <v>182451</v>
      </c>
      <c r="C427" t="s">
        <v>702</v>
      </c>
      <c r="E427">
        <v>230</v>
      </c>
      <c r="F427" s="1" t="s">
        <v>700</v>
      </c>
      <c r="G427">
        <v>335</v>
      </c>
      <c r="H427" s="1" t="s">
        <v>700</v>
      </c>
      <c r="I427" t="s">
        <v>700</v>
      </c>
      <c r="J427">
        <v>105</v>
      </c>
      <c r="K427" s="1" t="s">
        <v>700</v>
      </c>
      <c r="L427">
        <v>404</v>
      </c>
      <c r="M427" s="1" t="s">
        <v>700</v>
      </c>
      <c r="N427" t="s">
        <v>700</v>
      </c>
      <c r="O427">
        <v>69</v>
      </c>
      <c r="P427" s="1" t="s">
        <v>700</v>
      </c>
      <c r="Q427">
        <v>404</v>
      </c>
      <c r="R427" s="1" t="s">
        <v>700</v>
      </c>
      <c r="S427" t="s">
        <v>700</v>
      </c>
      <c r="T427">
        <v>0</v>
      </c>
      <c r="U427" s="1" t="s">
        <v>700</v>
      </c>
      <c r="V427">
        <v>418</v>
      </c>
      <c r="Y427">
        <v>14</v>
      </c>
      <c r="AA427">
        <v>418</v>
      </c>
      <c r="AD427">
        <v>0</v>
      </c>
      <c r="AF427">
        <v>430</v>
      </c>
      <c r="AI427">
        <v>12</v>
      </c>
    </row>
    <row r="428" spans="1:36" x14ac:dyDescent="0.3">
      <c r="A428" t="s">
        <v>201</v>
      </c>
      <c r="B428">
        <v>175221</v>
      </c>
      <c r="C428" t="s">
        <v>699</v>
      </c>
      <c r="E428">
        <v>21083</v>
      </c>
      <c r="F428" s="1" t="s">
        <v>700</v>
      </c>
      <c r="G428">
        <v>28385</v>
      </c>
      <c r="H428" s="1" t="s">
        <v>700</v>
      </c>
      <c r="I428" t="s">
        <v>700</v>
      </c>
      <c r="J428">
        <v>7302</v>
      </c>
      <c r="K428" s="1" t="s">
        <v>700</v>
      </c>
      <c r="L428">
        <v>33211</v>
      </c>
      <c r="M428" s="1" t="s">
        <v>700</v>
      </c>
      <c r="N428" t="s">
        <v>700</v>
      </c>
      <c r="O428">
        <v>4826</v>
      </c>
      <c r="P428" s="1" t="s">
        <v>700</v>
      </c>
      <c r="Q428">
        <v>33868</v>
      </c>
      <c r="R428" s="1" t="s">
        <v>700</v>
      </c>
      <c r="S428" t="s">
        <v>700</v>
      </c>
      <c r="T428">
        <v>657</v>
      </c>
      <c r="U428" s="1" t="s">
        <v>700</v>
      </c>
      <c r="V428">
        <v>34156</v>
      </c>
      <c r="Y428">
        <v>288</v>
      </c>
      <c r="AA428">
        <v>34241</v>
      </c>
      <c r="AD428">
        <v>85</v>
      </c>
      <c r="AF428">
        <v>34514</v>
      </c>
      <c r="AI428">
        <v>273</v>
      </c>
    </row>
    <row r="429" spans="1:36" x14ac:dyDescent="0.3">
      <c r="A429" t="s">
        <v>201</v>
      </c>
      <c r="B429">
        <v>175221</v>
      </c>
      <c r="C429" t="s">
        <v>602</v>
      </c>
      <c r="D429" t="s">
        <v>468</v>
      </c>
      <c r="E429">
        <v>9171</v>
      </c>
      <c r="F429" s="1">
        <v>0.44179999999999997</v>
      </c>
      <c r="G429">
        <v>12240</v>
      </c>
      <c r="H429" s="1">
        <v>0.43759999999999999</v>
      </c>
      <c r="I429">
        <v>-0.42</v>
      </c>
      <c r="J429">
        <v>3069</v>
      </c>
      <c r="K429" s="1">
        <v>0.42579999999999996</v>
      </c>
      <c r="L429">
        <v>14274</v>
      </c>
      <c r="M429" s="1">
        <v>0.43635363169479091</v>
      </c>
      <c r="N429">
        <v>-0.54</v>
      </c>
      <c r="O429">
        <v>2034</v>
      </c>
      <c r="P429" s="1">
        <v>0.42875210792580098</v>
      </c>
      <c r="Q429">
        <v>14592</v>
      </c>
      <c r="R429" s="1">
        <v>0.43747564083345825</v>
      </c>
      <c r="S429">
        <v>-0.43</v>
      </c>
      <c r="T429">
        <v>318</v>
      </c>
      <c r="U429" s="1">
        <v>0.49455676516329705</v>
      </c>
      <c r="V429">
        <v>14729</v>
      </c>
      <c r="W429" s="1">
        <v>0.43785487083444813</v>
      </c>
      <c r="X429">
        <v>-0.39</v>
      </c>
      <c r="Y429">
        <v>137</v>
      </c>
      <c r="Z429" s="1">
        <v>0.48239436619718312</v>
      </c>
      <c r="AA429">
        <v>14773</v>
      </c>
      <c r="AB429" s="1">
        <v>0.43806897369747649</v>
      </c>
      <c r="AC429">
        <v>-0.37</v>
      </c>
      <c r="AD429">
        <v>44</v>
      </c>
      <c r="AE429" s="1">
        <v>0.52380952380952384</v>
      </c>
      <c r="AF429">
        <v>14915</v>
      </c>
      <c r="AG429" s="1">
        <v>0.43885717648443479</v>
      </c>
      <c r="AH429">
        <v>-0.28999999999999998</v>
      </c>
      <c r="AI429">
        <v>142</v>
      </c>
      <c r="AJ429" s="1">
        <v>0.53992395437262353</v>
      </c>
    </row>
    <row r="430" spans="1:36" x14ac:dyDescent="0.3">
      <c r="A430" t="s">
        <v>201</v>
      </c>
      <c r="B430">
        <v>175221</v>
      </c>
      <c r="C430" t="s">
        <v>603</v>
      </c>
      <c r="D430" t="s">
        <v>401</v>
      </c>
      <c r="E430">
        <v>11555</v>
      </c>
      <c r="F430" s="1">
        <v>0.55659999999999998</v>
      </c>
      <c r="G430">
        <v>15686</v>
      </c>
      <c r="H430" s="1">
        <v>0.56090000000000007</v>
      </c>
      <c r="I430">
        <v>0.43</v>
      </c>
      <c r="J430">
        <v>4131</v>
      </c>
      <c r="K430" s="1">
        <v>0.57310000000000005</v>
      </c>
      <c r="L430">
        <v>18389</v>
      </c>
      <c r="M430" s="1">
        <v>0.56214844705306921</v>
      </c>
      <c r="N430">
        <v>0.55000000000000004</v>
      </c>
      <c r="O430">
        <v>2703</v>
      </c>
      <c r="P430" s="1">
        <v>0.56977234401349075</v>
      </c>
      <c r="Q430">
        <v>18716</v>
      </c>
      <c r="R430" s="1">
        <v>0.56111527507120373</v>
      </c>
      <c r="S430">
        <v>0.45</v>
      </c>
      <c r="T430">
        <v>327</v>
      </c>
      <c r="U430" s="1">
        <v>0.50855365474339032</v>
      </c>
      <c r="V430">
        <v>18878</v>
      </c>
      <c r="W430" s="1">
        <v>0.56119385237373287</v>
      </c>
      <c r="X430">
        <v>0.46</v>
      </c>
      <c r="Y430">
        <v>162</v>
      </c>
      <c r="Z430" s="1">
        <v>0.57042253521126762</v>
      </c>
      <c r="AA430">
        <v>18918</v>
      </c>
      <c r="AB430" s="1">
        <v>0.56098211902855621</v>
      </c>
      <c r="AC430">
        <v>0.44</v>
      </c>
      <c r="AD430">
        <v>40</v>
      </c>
      <c r="AE430" s="1">
        <v>0.47619047619047616</v>
      </c>
      <c r="AF430">
        <v>19039</v>
      </c>
      <c r="AG430" s="1">
        <v>0.56020125934208198</v>
      </c>
      <c r="AH430">
        <v>0.36</v>
      </c>
      <c r="AI430">
        <v>121</v>
      </c>
      <c r="AJ430" s="1">
        <v>0.46007604562737642</v>
      </c>
    </row>
    <row r="431" spans="1:36" x14ac:dyDescent="0.3">
      <c r="A431" t="s">
        <v>201</v>
      </c>
      <c r="B431">
        <v>175221</v>
      </c>
      <c r="C431" t="s">
        <v>402</v>
      </c>
      <c r="E431">
        <v>34</v>
      </c>
      <c r="F431" s="1">
        <v>1.6000000000000001E-3</v>
      </c>
      <c r="G431">
        <v>42</v>
      </c>
      <c r="H431" s="1">
        <v>1.5E-3</v>
      </c>
      <c r="I431">
        <v>-0.01</v>
      </c>
      <c r="J431">
        <v>8</v>
      </c>
      <c r="K431" s="1">
        <v>1.1000000000000001E-3</v>
      </c>
      <c r="L431">
        <v>49</v>
      </c>
      <c r="M431" s="1">
        <v>1.4979212521398875E-3</v>
      </c>
      <c r="N431">
        <v>-0.01</v>
      </c>
      <c r="O431">
        <v>7</v>
      </c>
      <c r="P431" s="1">
        <v>1.475548060708263E-3</v>
      </c>
      <c r="Q431">
        <v>47</v>
      </c>
      <c r="R431" s="1">
        <v>1.4090840953380303E-3</v>
      </c>
      <c r="S431">
        <v>-0.02</v>
      </c>
      <c r="T431">
        <v>-2</v>
      </c>
      <c r="U431" s="1">
        <v>-3.1104199066874028E-3</v>
      </c>
      <c r="V431">
        <v>32</v>
      </c>
      <c r="W431" s="1">
        <v>9.5127679181901956E-4</v>
      </c>
      <c r="X431">
        <v>-0.06</v>
      </c>
      <c r="Y431">
        <v>-15</v>
      </c>
      <c r="Z431" s="1">
        <v>-5.2816901408450703E-2</v>
      </c>
      <c r="AA431">
        <v>32</v>
      </c>
      <c r="AB431" s="1">
        <v>9.4890727396732205E-4</v>
      </c>
      <c r="AC431">
        <v>-7.0000000000000007E-2</v>
      </c>
      <c r="AD431">
        <v>0</v>
      </c>
      <c r="AE431" s="1">
        <v>0</v>
      </c>
      <c r="AF431">
        <v>32</v>
      </c>
      <c r="AG431" s="1">
        <v>9.4156417348319893E-4</v>
      </c>
      <c r="AH431">
        <v>-7.0000000000000007E-2</v>
      </c>
      <c r="AI431">
        <v>0</v>
      </c>
      <c r="AJ431" s="1">
        <v>0</v>
      </c>
    </row>
    <row r="432" spans="1:36" x14ac:dyDescent="0.3">
      <c r="A432" t="s">
        <v>201</v>
      </c>
      <c r="B432">
        <v>175221</v>
      </c>
      <c r="C432" t="s">
        <v>701</v>
      </c>
      <c r="E432">
        <v>24</v>
      </c>
      <c r="F432" s="1" t="s">
        <v>700</v>
      </c>
      <c r="G432">
        <v>9</v>
      </c>
      <c r="H432" s="1" t="s">
        <v>700</v>
      </c>
      <c r="I432" t="s">
        <v>700</v>
      </c>
      <c r="J432">
        <v>-15</v>
      </c>
      <c r="K432" s="1" t="s">
        <v>700</v>
      </c>
      <c r="L432">
        <v>18</v>
      </c>
      <c r="M432" s="1" t="s">
        <v>700</v>
      </c>
      <c r="N432" t="s">
        <v>700</v>
      </c>
      <c r="O432">
        <v>9</v>
      </c>
      <c r="P432" s="1" t="s">
        <v>700</v>
      </c>
      <c r="Q432">
        <v>18</v>
      </c>
      <c r="R432" s="1" t="s">
        <v>700</v>
      </c>
      <c r="S432" t="s">
        <v>700</v>
      </c>
      <c r="T432">
        <v>0</v>
      </c>
      <c r="U432" s="1" t="s">
        <v>700</v>
      </c>
      <c r="V432">
        <v>2</v>
      </c>
      <c r="Y432">
        <v>-16</v>
      </c>
      <c r="AA432">
        <v>2</v>
      </c>
      <c r="AD432">
        <v>0</v>
      </c>
      <c r="AF432">
        <v>1</v>
      </c>
      <c r="AI432">
        <v>-1</v>
      </c>
    </row>
    <row r="433" spans="1:36" x14ac:dyDescent="0.3">
      <c r="A433" t="s">
        <v>201</v>
      </c>
      <c r="B433">
        <v>175221</v>
      </c>
      <c r="C433" t="s">
        <v>702</v>
      </c>
      <c r="E433">
        <v>257</v>
      </c>
      <c r="F433" s="1" t="s">
        <v>700</v>
      </c>
      <c r="G433">
        <v>358</v>
      </c>
      <c r="H433" s="1" t="s">
        <v>700</v>
      </c>
      <c r="I433" t="s">
        <v>700</v>
      </c>
      <c r="J433">
        <v>101</v>
      </c>
      <c r="K433" s="1" t="s">
        <v>700</v>
      </c>
      <c r="L433">
        <v>423</v>
      </c>
      <c r="M433" s="1" t="s">
        <v>700</v>
      </c>
      <c r="N433" t="s">
        <v>700</v>
      </c>
      <c r="O433">
        <v>65</v>
      </c>
      <c r="P433" s="1" t="s">
        <v>700</v>
      </c>
      <c r="Q433">
        <v>423</v>
      </c>
      <c r="R433" s="1" t="s">
        <v>700</v>
      </c>
      <c r="S433" t="s">
        <v>700</v>
      </c>
      <c r="T433">
        <v>0</v>
      </c>
      <c r="U433" s="1" t="s">
        <v>700</v>
      </c>
      <c r="V433">
        <v>439</v>
      </c>
      <c r="Y433">
        <v>16</v>
      </c>
      <c r="AA433">
        <v>439</v>
      </c>
      <c r="AD433">
        <v>0</v>
      </c>
      <c r="AF433">
        <v>449</v>
      </c>
      <c r="AI433">
        <v>10</v>
      </c>
    </row>
    <row r="434" spans="1:36" x14ac:dyDescent="0.3">
      <c r="A434" t="s">
        <v>164</v>
      </c>
      <c r="B434">
        <v>184903</v>
      </c>
      <c r="C434" t="s">
        <v>699</v>
      </c>
      <c r="E434">
        <v>23384</v>
      </c>
      <c r="F434" s="1" t="s">
        <v>700</v>
      </c>
      <c r="G434">
        <v>27132</v>
      </c>
      <c r="H434" s="1" t="s">
        <v>700</v>
      </c>
      <c r="I434" t="s">
        <v>700</v>
      </c>
      <c r="J434">
        <v>3748</v>
      </c>
      <c r="K434" s="1" t="s">
        <v>700</v>
      </c>
      <c r="L434">
        <v>36687</v>
      </c>
      <c r="M434" s="1" t="s">
        <v>700</v>
      </c>
      <c r="N434" t="s">
        <v>700</v>
      </c>
      <c r="O434">
        <v>9555</v>
      </c>
      <c r="P434" s="1" t="s">
        <v>700</v>
      </c>
      <c r="Q434">
        <v>39592</v>
      </c>
      <c r="R434" s="1" t="s">
        <v>700</v>
      </c>
      <c r="S434" t="s">
        <v>700</v>
      </c>
      <c r="T434">
        <v>2905</v>
      </c>
      <c r="U434" s="1" t="s">
        <v>700</v>
      </c>
      <c r="V434">
        <v>40917</v>
      </c>
      <c r="Y434">
        <v>1325</v>
      </c>
      <c r="AA434">
        <v>40992</v>
      </c>
      <c r="AD434">
        <v>75</v>
      </c>
      <c r="AF434">
        <v>41245</v>
      </c>
      <c r="AI434">
        <v>253</v>
      </c>
    </row>
    <row r="435" spans="1:36" x14ac:dyDescent="0.3">
      <c r="A435" t="s">
        <v>164</v>
      </c>
      <c r="B435">
        <v>184903</v>
      </c>
      <c r="C435" t="s">
        <v>429</v>
      </c>
      <c r="D435" t="s">
        <v>399</v>
      </c>
      <c r="E435">
        <v>9361</v>
      </c>
      <c r="F435" s="1">
        <v>0.40909999999999996</v>
      </c>
      <c r="G435">
        <v>11024</v>
      </c>
      <c r="H435" s="1">
        <v>0.41560000000000002</v>
      </c>
      <c r="I435">
        <v>0.65</v>
      </c>
      <c r="J435">
        <v>1663</v>
      </c>
      <c r="K435" s="1">
        <v>0.45610000000000001</v>
      </c>
      <c r="L435">
        <v>15458</v>
      </c>
      <c r="M435" s="1">
        <v>0.43117346796463141</v>
      </c>
      <c r="N435">
        <v>2.21</v>
      </c>
      <c r="O435">
        <v>4434</v>
      </c>
      <c r="P435" s="1">
        <v>0.47549597855227882</v>
      </c>
      <c r="Q435">
        <v>17013</v>
      </c>
      <c r="R435" s="1">
        <v>0.4391584925141972</v>
      </c>
      <c r="S435">
        <v>3.01</v>
      </c>
      <c r="T435">
        <v>1555</v>
      </c>
      <c r="U435" s="1">
        <v>0.53824852890273456</v>
      </c>
      <c r="V435">
        <v>17682</v>
      </c>
      <c r="W435" s="1">
        <v>0.44123371762239855</v>
      </c>
      <c r="X435">
        <v>3.21</v>
      </c>
      <c r="Y435">
        <v>669</v>
      </c>
      <c r="Z435" s="1">
        <v>0.50149925037481258</v>
      </c>
      <c r="AA435">
        <v>17737</v>
      </c>
      <c r="AB435" s="1">
        <v>0.44131770794456471</v>
      </c>
      <c r="AC435">
        <v>3.22</v>
      </c>
      <c r="AD435">
        <v>55</v>
      </c>
      <c r="AE435" s="1">
        <v>0.47008547008547008</v>
      </c>
      <c r="AF435">
        <v>17876</v>
      </c>
      <c r="AG435" s="1">
        <v>0.44184092144940434</v>
      </c>
      <c r="AH435">
        <v>3.27</v>
      </c>
      <c r="AI435">
        <v>139</v>
      </c>
      <c r="AJ435" s="1">
        <v>0.52059925093632964</v>
      </c>
    </row>
    <row r="436" spans="1:36" x14ac:dyDescent="0.3">
      <c r="A436" t="s">
        <v>164</v>
      </c>
      <c r="B436">
        <v>184903</v>
      </c>
      <c r="C436" t="s">
        <v>430</v>
      </c>
      <c r="D436" t="s">
        <v>401</v>
      </c>
      <c r="E436">
        <v>4635</v>
      </c>
      <c r="F436" s="1">
        <v>0.2026</v>
      </c>
      <c r="G436">
        <v>5239</v>
      </c>
      <c r="H436" s="1">
        <v>0.19750000000000001</v>
      </c>
      <c r="I436">
        <v>-0.51</v>
      </c>
      <c r="J436">
        <v>604</v>
      </c>
      <c r="K436" s="1">
        <v>0.16570000000000001</v>
      </c>
      <c r="L436">
        <v>6729</v>
      </c>
      <c r="M436" s="1">
        <v>0.187693509246604</v>
      </c>
      <c r="N436">
        <v>-1.49</v>
      </c>
      <c r="O436">
        <v>1490</v>
      </c>
      <c r="P436" s="1">
        <v>0.15978552278820377</v>
      </c>
      <c r="Q436">
        <v>7077</v>
      </c>
      <c r="R436" s="1">
        <v>0.18267940113577696</v>
      </c>
      <c r="S436">
        <v>-1.99</v>
      </c>
      <c r="T436">
        <v>348</v>
      </c>
      <c r="U436" s="1">
        <v>0.12045690550363447</v>
      </c>
      <c r="V436">
        <v>7262</v>
      </c>
      <c r="W436" s="1">
        <v>0.18121475270749113</v>
      </c>
      <c r="X436">
        <v>-2.14</v>
      </c>
      <c r="Y436">
        <v>185</v>
      </c>
      <c r="Z436" s="1">
        <v>0.13868065967016491</v>
      </c>
      <c r="AA436">
        <v>7276</v>
      </c>
      <c r="AB436" s="1">
        <v>0.18103555522380632</v>
      </c>
      <c r="AC436">
        <v>-2.16</v>
      </c>
      <c r="AD436">
        <v>14</v>
      </c>
      <c r="AE436" s="1">
        <v>0.11965811965811966</v>
      </c>
      <c r="AF436">
        <v>7312</v>
      </c>
      <c r="AG436" s="1">
        <v>0.1807306342379752</v>
      </c>
      <c r="AH436">
        <v>-2.19</v>
      </c>
      <c r="AI436">
        <v>36</v>
      </c>
      <c r="AJ436" s="1">
        <v>0.1348314606741573</v>
      </c>
    </row>
    <row r="437" spans="1:36" x14ac:dyDescent="0.3">
      <c r="A437" t="s">
        <v>164</v>
      </c>
      <c r="B437">
        <v>184903</v>
      </c>
      <c r="C437" t="s">
        <v>431</v>
      </c>
      <c r="D437" t="s">
        <v>399</v>
      </c>
      <c r="E437">
        <v>8848</v>
      </c>
      <c r="F437" s="1">
        <v>0.38670000000000004</v>
      </c>
      <c r="G437">
        <v>10224</v>
      </c>
      <c r="H437" s="1">
        <v>0.38539999999999996</v>
      </c>
      <c r="I437">
        <v>-0.13</v>
      </c>
      <c r="J437">
        <v>1376</v>
      </c>
      <c r="K437" s="1">
        <v>0.37740000000000001</v>
      </c>
      <c r="L437">
        <v>13614</v>
      </c>
      <c r="M437" s="1">
        <v>0.37973836155197904</v>
      </c>
      <c r="N437">
        <v>-0.7</v>
      </c>
      <c r="O437">
        <v>3390</v>
      </c>
      <c r="P437" s="1">
        <v>0.36353887399463808</v>
      </c>
      <c r="Q437">
        <v>14600</v>
      </c>
      <c r="R437" s="1">
        <v>0.37687145069695405</v>
      </c>
      <c r="S437">
        <v>-0.98</v>
      </c>
      <c r="T437">
        <v>986</v>
      </c>
      <c r="U437" s="1">
        <v>0.34129456559363103</v>
      </c>
      <c r="V437">
        <v>15081</v>
      </c>
      <c r="W437" s="1">
        <v>0.37632879173528971</v>
      </c>
      <c r="X437">
        <v>-1.04</v>
      </c>
      <c r="Y437">
        <v>481</v>
      </c>
      <c r="Z437" s="1">
        <v>0.3605697151424288</v>
      </c>
      <c r="AA437">
        <v>15129</v>
      </c>
      <c r="AB437" s="1">
        <v>0.37642755840859893</v>
      </c>
      <c r="AC437">
        <v>-1.03</v>
      </c>
      <c r="AD437">
        <v>48</v>
      </c>
      <c r="AE437" s="1">
        <v>0.41025641025641024</v>
      </c>
      <c r="AF437">
        <v>15221</v>
      </c>
      <c r="AG437" s="1">
        <v>0.37621731178011764</v>
      </c>
      <c r="AH437">
        <v>-1.05</v>
      </c>
      <c r="AI437">
        <v>92</v>
      </c>
      <c r="AJ437" s="1">
        <v>0.34456928838951312</v>
      </c>
    </row>
    <row r="438" spans="1:36" x14ac:dyDescent="0.3">
      <c r="A438" t="s">
        <v>164</v>
      </c>
      <c r="B438">
        <v>184903</v>
      </c>
      <c r="C438" t="s">
        <v>402</v>
      </c>
      <c r="E438">
        <v>36</v>
      </c>
      <c r="F438" s="1">
        <v>1.6000000000000001E-3</v>
      </c>
      <c r="G438">
        <v>39</v>
      </c>
      <c r="H438" s="1">
        <v>1.5E-3</v>
      </c>
      <c r="I438">
        <v>-0.01</v>
      </c>
      <c r="J438">
        <v>3</v>
      </c>
      <c r="K438" s="1">
        <v>8.0000000000000004E-4</v>
      </c>
      <c r="L438">
        <v>50</v>
      </c>
      <c r="M438" s="1">
        <v>1.3946612367855848E-3</v>
      </c>
      <c r="N438">
        <v>-0.02</v>
      </c>
      <c r="O438">
        <v>11</v>
      </c>
      <c r="P438" s="1">
        <v>1.1796246648793566E-3</v>
      </c>
      <c r="Q438">
        <v>50</v>
      </c>
      <c r="R438" s="1">
        <v>1.2906556530717604E-3</v>
      </c>
      <c r="S438">
        <v>-0.03</v>
      </c>
      <c r="T438">
        <v>0</v>
      </c>
      <c r="U438" s="1">
        <v>0</v>
      </c>
      <c r="V438">
        <v>49</v>
      </c>
      <c r="W438" s="1">
        <v>1.2227379348205818E-3</v>
      </c>
      <c r="X438">
        <v>-0.04</v>
      </c>
      <c r="Y438">
        <v>-1</v>
      </c>
      <c r="Z438" s="1">
        <v>-7.4962518740629683E-4</v>
      </c>
      <c r="AA438">
        <v>49</v>
      </c>
      <c r="AB438" s="1">
        <v>1.2191784230300316E-3</v>
      </c>
      <c r="AC438">
        <v>-0.04</v>
      </c>
      <c r="AD438">
        <v>0</v>
      </c>
      <c r="AE438" s="1">
        <v>0</v>
      </c>
      <c r="AF438">
        <v>49</v>
      </c>
      <c r="AG438" s="1">
        <v>1.2111325325028423E-3</v>
      </c>
      <c r="AH438">
        <v>-0.04</v>
      </c>
      <c r="AI438">
        <v>0</v>
      </c>
      <c r="AJ438" s="1">
        <v>0</v>
      </c>
    </row>
    <row r="439" spans="1:36" x14ac:dyDescent="0.3">
      <c r="A439" t="s">
        <v>164</v>
      </c>
      <c r="B439">
        <v>184903</v>
      </c>
      <c r="C439" t="s">
        <v>701</v>
      </c>
      <c r="E439">
        <v>33</v>
      </c>
      <c r="F439" s="1" t="s">
        <v>700</v>
      </c>
      <c r="G439">
        <v>32</v>
      </c>
      <c r="H439" s="1" t="s">
        <v>700</v>
      </c>
      <c r="I439" t="s">
        <v>700</v>
      </c>
      <c r="J439">
        <v>-1</v>
      </c>
      <c r="K439" s="1" t="s">
        <v>700</v>
      </c>
      <c r="L439">
        <v>40</v>
      </c>
      <c r="M439" s="1" t="s">
        <v>700</v>
      </c>
      <c r="N439" t="s">
        <v>700</v>
      </c>
      <c r="O439">
        <v>8</v>
      </c>
      <c r="P439" s="1" t="s">
        <v>700</v>
      </c>
      <c r="Q439">
        <v>9</v>
      </c>
      <c r="R439" s="1" t="s">
        <v>700</v>
      </c>
      <c r="S439" t="s">
        <v>700</v>
      </c>
      <c r="T439">
        <v>-31</v>
      </c>
      <c r="U439" s="1" t="s">
        <v>700</v>
      </c>
      <c r="V439">
        <v>9</v>
      </c>
      <c r="Y439">
        <v>0</v>
      </c>
      <c r="AA439">
        <v>5</v>
      </c>
      <c r="AD439">
        <v>-4</v>
      </c>
      <c r="AF439">
        <v>4</v>
      </c>
      <c r="AI439">
        <v>-1</v>
      </c>
    </row>
    <row r="440" spans="1:36" x14ac:dyDescent="0.3">
      <c r="A440" t="s">
        <v>164</v>
      </c>
      <c r="B440">
        <v>184903</v>
      </c>
      <c r="C440" t="s">
        <v>702</v>
      </c>
      <c r="E440">
        <v>219</v>
      </c>
      <c r="F440" s="1" t="s">
        <v>700</v>
      </c>
      <c r="G440">
        <v>272</v>
      </c>
      <c r="H440" s="1" t="s">
        <v>700</v>
      </c>
      <c r="I440" t="s">
        <v>700</v>
      </c>
      <c r="J440">
        <v>53</v>
      </c>
      <c r="K440" s="1" t="s">
        <v>700</v>
      </c>
      <c r="L440">
        <v>376</v>
      </c>
      <c r="M440" s="1" t="s">
        <v>700</v>
      </c>
      <c r="N440" t="s">
        <v>700</v>
      </c>
      <c r="O440">
        <v>104</v>
      </c>
      <c r="P440" s="1" t="s">
        <v>700</v>
      </c>
      <c r="Q440">
        <v>381</v>
      </c>
      <c r="R440" s="1" t="s">
        <v>700</v>
      </c>
      <c r="S440" t="s">
        <v>700</v>
      </c>
      <c r="T440">
        <v>5</v>
      </c>
      <c r="U440" s="1" t="s">
        <v>700</v>
      </c>
      <c r="V440">
        <v>381</v>
      </c>
      <c r="Y440">
        <v>0</v>
      </c>
      <c r="AA440">
        <v>382</v>
      </c>
      <c r="AD440">
        <v>1</v>
      </c>
      <c r="AF440">
        <v>391</v>
      </c>
      <c r="AI440">
        <v>9</v>
      </c>
    </row>
    <row r="441" spans="1:36" x14ac:dyDescent="0.3">
      <c r="A441" t="s">
        <v>166</v>
      </c>
      <c r="B441">
        <v>174799</v>
      </c>
      <c r="C441" t="s">
        <v>699</v>
      </c>
      <c r="E441">
        <v>23384</v>
      </c>
      <c r="F441" s="1" t="s">
        <v>700</v>
      </c>
      <c r="G441">
        <v>27132</v>
      </c>
      <c r="H441" s="1" t="s">
        <v>700</v>
      </c>
      <c r="I441" t="s">
        <v>700</v>
      </c>
      <c r="J441">
        <v>3748</v>
      </c>
      <c r="K441" s="1" t="s">
        <v>700</v>
      </c>
      <c r="L441">
        <v>36687</v>
      </c>
      <c r="M441" s="1" t="s">
        <v>700</v>
      </c>
      <c r="N441" t="s">
        <v>700</v>
      </c>
      <c r="O441">
        <v>9555</v>
      </c>
      <c r="P441" s="1" t="s">
        <v>700</v>
      </c>
      <c r="Q441">
        <v>39592</v>
      </c>
      <c r="R441" s="1" t="s">
        <v>700</v>
      </c>
      <c r="S441" t="s">
        <v>700</v>
      </c>
      <c r="T441">
        <v>2905</v>
      </c>
      <c r="U441" s="1" t="s">
        <v>700</v>
      </c>
      <c r="V441">
        <v>40917</v>
      </c>
      <c r="Y441">
        <v>1325</v>
      </c>
      <c r="AA441">
        <v>40992</v>
      </c>
      <c r="AD441">
        <v>75</v>
      </c>
      <c r="AF441">
        <v>41245</v>
      </c>
      <c r="AI441">
        <v>253</v>
      </c>
    </row>
    <row r="442" spans="1:36" x14ac:dyDescent="0.3">
      <c r="A442" t="s">
        <v>166</v>
      </c>
      <c r="B442">
        <v>174799</v>
      </c>
      <c r="C442" t="s">
        <v>604</v>
      </c>
      <c r="D442" t="s">
        <v>399</v>
      </c>
      <c r="E442">
        <v>2113</v>
      </c>
      <c r="F442" s="1">
        <v>9.2699999999999991E-2</v>
      </c>
      <c r="G442">
        <v>2420</v>
      </c>
      <c r="H442" s="1">
        <v>9.1600000000000001E-2</v>
      </c>
      <c r="I442">
        <v>-0.11</v>
      </c>
      <c r="J442">
        <v>307</v>
      </c>
      <c r="K442" s="1">
        <v>8.4199999999999997E-2</v>
      </c>
      <c r="L442">
        <v>3321</v>
      </c>
      <c r="M442" s="1">
        <v>9.3006973422578201E-2</v>
      </c>
      <c r="N442">
        <v>0.03</v>
      </c>
      <c r="O442">
        <v>901</v>
      </c>
      <c r="P442" s="1">
        <v>9.7142857142857142E-2</v>
      </c>
      <c r="Q442">
        <v>3543</v>
      </c>
      <c r="R442" s="1">
        <v>9.1808971003601872E-2</v>
      </c>
      <c r="S442">
        <v>-0.09</v>
      </c>
      <c r="T442">
        <v>222</v>
      </c>
      <c r="U442" s="1">
        <v>7.6976421636615805E-2</v>
      </c>
      <c r="V442">
        <v>3666</v>
      </c>
      <c r="W442" s="1">
        <v>9.1898124937330794E-2</v>
      </c>
      <c r="X442">
        <v>-0.08</v>
      </c>
      <c r="Y442">
        <v>123</v>
      </c>
      <c r="Z442" s="1">
        <v>9.4542659492697925E-2</v>
      </c>
      <c r="AA442">
        <v>3674</v>
      </c>
      <c r="AB442" s="1">
        <v>9.1877563268980694E-2</v>
      </c>
      <c r="AC442">
        <v>-0.08</v>
      </c>
      <c r="AD442">
        <v>8</v>
      </c>
      <c r="AE442" s="1">
        <v>8.3333333333333329E-2</v>
      </c>
      <c r="AF442">
        <v>3697</v>
      </c>
      <c r="AG442" s="1">
        <v>9.188745836854402E-2</v>
      </c>
      <c r="AH442">
        <v>-0.08</v>
      </c>
      <c r="AI442">
        <v>23</v>
      </c>
      <c r="AJ442" s="1">
        <v>9.3495934959349589E-2</v>
      </c>
    </row>
    <row r="443" spans="1:36" x14ac:dyDescent="0.3">
      <c r="A443" t="s">
        <v>166</v>
      </c>
      <c r="B443">
        <v>174799</v>
      </c>
      <c r="C443" t="s">
        <v>605</v>
      </c>
      <c r="D443" t="s">
        <v>399</v>
      </c>
      <c r="E443">
        <v>2732</v>
      </c>
      <c r="F443" s="1">
        <v>0.11990000000000001</v>
      </c>
      <c r="G443">
        <v>3073</v>
      </c>
      <c r="H443" s="1">
        <v>0.11630000000000001</v>
      </c>
      <c r="I443">
        <v>-0.36</v>
      </c>
      <c r="J443">
        <v>341</v>
      </c>
      <c r="K443" s="1">
        <v>9.35E-2</v>
      </c>
      <c r="L443">
        <v>4058</v>
      </c>
      <c r="M443" s="1">
        <v>0.11364718402554121</v>
      </c>
      <c r="N443">
        <v>-0.63</v>
      </c>
      <c r="O443">
        <v>985</v>
      </c>
      <c r="P443" s="1">
        <v>0.10619946091644204</v>
      </c>
      <c r="Q443">
        <v>4277</v>
      </c>
      <c r="R443" s="1">
        <v>0.11082894975512425</v>
      </c>
      <c r="S443">
        <v>-0.91</v>
      </c>
      <c r="T443">
        <v>219</v>
      </c>
      <c r="U443" s="1">
        <v>7.5936199722607484E-2</v>
      </c>
      <c r="V443">
        <v>4385</v>
      </c>
      <c r="W443" s="1">
        <v>0.10992178882984056</v>
      </c>
      <c r="X443">
        <v>-1</v>
      </c>
      <c r="Y443">
        <v>108</v>
      </c>
      <c r="Z443" s="1">
        <v>8.3013066871637203E-2</v>
      </c>
      <c r="AA443">
        <v>4387</v>
      </c>
      <c r="AB443" s="1">
        <v>0.10970791237371211</v>
      </c>
      <c r="AC443">
        <v>-1.02</v>
      </c>
      <c r="AD443">
        <v>2</v>
      </c>
      <c r="AE443" s="1">
        <v>2.0833333333333332E-2</v>
      </c>
      <c r="AF443">
        <v>4415</v>
      </c>
      <c r="AG443" s="1">
        <v>0.10973306158970025</v>
      </c>
      <c r="AH443">
        <v>-1.02</v>
      </c>
      <c r="AI443">
        <v>28</v>
      </c>
      <c r="AJ443" s="1">
        <v>0.11382113821138211</v>
      </c>
    </row>
    <row r="444" spans="1:36" x14ac:dyDescent="0.3">
      <c r="A444" t="s">
        <v>166</v>
      </c>
      <c r="B444">
        <v>174799</v>
      </c>
      <c r="C444" t="s">
        <v>606</v>
      </c>
      <c r="D444" t="s">
        <v>399</v>
      </c>
      <c r="E444">
        <v>5654</v>
      </c>
      <c r="F444" s="1">
        <v>0.2482</v>
      </c>
      <c r="G444">
        <v>6691</v>
      </c>
      <c r="H444" s="1">
        <v>0.25309999999999999</v>
      </c>
      <c r="I444">
        <v>0.49</v>
      </c>
      <c r="J444">
        <v>1037</v>
      </c>
      <c r="K444" s="1">
        <v>0.2843</v>
      </c>
      <c r="L444">
        <v>9239</v>
      </c>
      <c r="M444" s="1">
        <v>0.25874478393592293</v>
      </c>
      <c r="N444">
        <v>1.05</v>
      </c>
      <c r="O444">
        <v>2548</v>
      </c>
      <c r="P444" s="1">
        <v>0.27471698113207549</v>
      </c>
      <c r="Q444">
        <v>10166</v>
      </c>
      <c r="R444" s="1">
        <v>0.26342929698634399</v>
      </c>
      <c r="S444">
        <v>1.52</v>
      </c>
      <c r="T444">
        <v>927</v>
      </c>
      <c r="U444" s="1">
        <v>0.32142857142857145</v>
      </c>
      <c r="V444">
        <v>10594</v>
      </c>
      <c r="W444" s="1">
        <v>0.26556703098365586</v>
      </c>
      <c r="X444">
        <v>1.74</v>
      </c>
      <c r="Y444">
        <v>428</v>
      </c>
      <c r="Z444" s="1">
        <v>0.32897770945426597</v>
      </c>
      <c r="AA444">
        <v>10622</v>
      </c>
      <c r="AB444" s="1">
        <v>0.26562968890667199</v>
      </c>
      <c r="AC444">
        <v>1.74</v>
      </c>
      <c r="AD444">
        <v>28</v>
      </c>
      <c r="AE444" s="1">
        <v>0.29166666666666669</v>
      </c>
      <c r="AF444">
        <v>10698</v>
      </c>
      <c r="AG444" s="1">
        <v>0.26589451707511058</v>
      </c>
      <c r="AH444">
        <v>1.77</v>
      </c>
      <c r="AI444">
        <v>76</v>
      </c>
      <c r="AJ444" s="1">
        <v>0.30894308943089432</v>
      </c>
    </row>
    <row r="445" spans="1:36" x14ac:dyDescent="0.3">
      <c r="A445" t="s">
        <v>166</v>
      </c>
      <c r="B445">
        <v>174799</v>
      </c>
      <c r="C445" t="s">
        <v>607</v>
      </c>
      <c r="D445" t="s">
        <v>399</v>
      </c>
      <c r="E445">
        <v>5205</v>
      </c>
      <c r="F445" s="1">
        <v>0.22839999999999999</v>
      </c>
      <c r="G445">
        <v>6104</v>
      </c>
      <c r="H445" s="1">
        <v>0.23089999999999999</v>
      </c>
      <c r="I445">
        <v>0.25</v>
      </c>
      <c r="J445">
        <v>899</v>
      </c>
      <c r="K445" s="1">
        <v>0.24640000000000001</v>
      </c>
      <c r="L445">
        <v>8499</v>
      </c>
      <c r="M445" s="1">
        <v>0.23802055619346346</v>
      </c>
      <c r="N445">
        <v>0.96</v>
      </c>
      <c r="O445">
        <v>2395</v>
      </c>
      <c r="P445" s="1">
        <v>0.25822102425876009</v>
      </c>
      <c r="Q445">
        <v>9344</v>
      </c>
      <c r="R445" s="1">
        <v>0.24212899380684616</v>
      </c>
      <c r="S445">
        <v>1.37</v>
      </c>
      <c r="T445">
        <v>845</v>
      </c>
      <c r="U445" s="1">
        <v>0.29299583911234395</v>
      </c>
      <c r="V445">
        <v>9637</v>
      </c>
      <c r="W445" s="1">
        <v>0.24157725859821519</v>
      </c>
      <c r="X445">
        <v>1.32</v>
      </c>
      <c r="Y445">
        <v>293</v>
      </c>
      <c r="Z445" s="1">
        <v>0.22521137586471945</v>
      </c>
      <c r="AA445">
        <v>9671</v>
      </c>
      <c r="AB445" s="1">
        <v>0.24184755426627988</v>
      </c>
      <c r="AC445">
        <v>1.34</v>
      </c>
      <c r="AD445">
        <v>34</v>
      </c>
      <c r="AE445" s="1">
        <v>0.35416666666666669</v>
      </c>
      <c r="AF445">
        <v>9735</v>
      </c>
      <c r="AG445" s="1">
        <v>0.24195953671024506</v>
      </c>
      <c r="AH445">
        <v>1.36</v>
      </c>
      <c r="AI445">
        <v>64</v>
      </c>
      <c r="AJ445" s="1">
        <v>0.26016260162601629</v>
      </c>
    </row>
    <row r="446" spans="1:36" x14ac:dyDescent="0.3">
      <c r="A446" t="s">
        <v>166</v>
      </c>
      <c r="B446">
        <v>174799</v>
      </c>
      <c r="C446" t="s">
        <v>608</v>
      </c>
      <c r="D446" t="s">
        <v>401</v>
      </c>
      <c r="E446">
        <v>4803</v>
      </c>
      <c r="F446" s="1">
        <v>0.21079999999999999</v>
      </c>
      <c r="G446">
        <v>5447</v>
      </c>
      <c r="H446" s="1">
        <v>0.20610000000000001</v>
      </c>
      <c r="I446">
        <v>-0.47</v>
      </c>
      <c r="J446">
        <v>644</v>
      </c>
      <c r="K446" s="1">
        <v>0.17649999999999999</v>
      </c>
      <c r="L446">
        <v>7005</v>
      </c>
      <c r="M446" s="1">
        <v>0.19618002072422774</v>
      </c>
      <c r="N446">
        <v>-1.46</v>
      </c>
      <c r="O446">
        <v>1558</v>
      </c>
      <c r="P446" s="1">
        <v>0.16797843665768195</v>
      </c>
      <c r="Q446">
        <v>7365</v>
      </c>
      <c r="R446" s="1">
        <v>0.19084760695498951</v>
      </c>
      <c r="S446">
        <v>-2</v>
      </c>
      <c r="T446">
        <v>360</v>
      </c>
      <c r="U446" s="1">
        <v>0.12482662968099861</v>
      </c>
      <c r="V446">
        <v>7560</v>
      </c>
      <c r="W446" s="1">
        <v>0.18951168154015843</v>
      </c>
      <c r="X446">
        <v>-2.13</v>
      </c>
      <c r="Y446">
        <v>195</v>
      </c>
      <c r="Z446" s="1">
        <v>0.1498847040737894</v>
      </c>
      <c r="AA446">
        <v>7576</v>
      </c>
      <c r="AB446" s="1">
        <v>0.18945683705111532</v>
      </c>
      <c r="AC446">
        <v>-2.13</v>
      </c>
      <c r="AD446">
        <v>16</v>
      </c>
      <c r="AE446" s="1">
        <v>0.16666666666666666</v>
      </c>
      <c r="AF446">
        <v>7612</v>
      </c>
      <c r="AG446" s="1">
        <v>0.18919321966495997</v>
      </c>
      <c r="AH446">
        <v>-2.16</v>
      </c>
      <c r="AI446">
        <v>36</v>
      </c>
      <c r="AJ446" s="1">
        <v>0.14634146341463414</v>
      </c>
    </row>
    <row r="447" spans="1:36" x14ac:dyDescent="0.3">
      <c r="A447" t="s">
        <v>166</v>
      </c>
      <c r="B447">
        <v>174799</v>
      </c>
      <c r="C447" t="s">
        <v>609</v>
      </c>
      <c r="D447" t="s">
        <v>399</v>
      </c>
      <c r="E447">
        <v>2252</v>
      </c>
      <c r="F447" s="1">
        <v>9.8800000000000013E-2</v>
      </c>
      <c r="G447">
        <v>2673</v>
      </c>
      <c r="H447" s="1">
        <v>0.1011</v>
      </c>
      <c r="I447">
        <v>0.23</v>
      </c>
      <c r="J447">
        <v>421</v>
      </c>
      <c r="K447" s="1">
        <v>0.11539999999999999</v>
      </c>
      <c r="L447">
        <v>3553</v>
      </c>
      <c r="M447" s="1">
        <v>9.9504298876970904E-2</v>
      </c>
      <c r="N447">
        <v>7.0000000000000007E-2</v>
      </c>
      <c r="O447">
        <v>880</v>
      </c>
      <c r="P447" s="1">
        <v>9.4878706199460913E-2</v>
      </c>
      <c r="Q447">
        <v>3864</v>
      </c>
      <c r="R447" s="1">
        <v>0.10012697261019408</v>
      </c>
      <c r="S447">
        <v>0.13</v>
      </c>
      <c r="T447">
        <v>311</v>
      </c>
      <c r="U447" s="1">
        <v>0.10783633841886268</v>
      </c>
      <c r="V447">
        <v>4017</v>
      </c>
      <c r="W447" s="1">
        <v>0.10069688158026673</v>
      </c>
      <c r="X447">
        <v>0.19</v>
      </c>
      <c r="Y447">
        <v>153</v>
      </c>
      <c r="Z447" s="1">
        <v>0.11760184473481937</v>
      </c>
      <c r="AA447">
        <v>4025</v>
      </c>
      <c r="AB447" s="1">
        <v>0.10065519655896769</v>
      </c>
      <c r="AC447">
        <v>0.19</v>
      </c>
      <c r="AD447">
        <v>8</v>
      </c>
      <c r="AE447" s="1">
        <v>8.3333333333333329E-2</v>
      </c>
      <c r="AF447">
        <v>4044</v>
      </c>
      <c r="AG447" s="1">
        <v>0.10051200477208332</v>
      </c>
      <c r="AH447">
        <v>0.17</v>
      </c>
      <c r="AI447">
        <v>19</v>
      </c>
      <c r="AJ447" s="1">
        <v>7.7235772357723581E-2</v>
      </c>
    </row>
    <row r="448" spans="1:36" x14ac:dyDescent="0.3">
      <c r="A448" t="s">
        <v>166</v>
      </c>
      <c r="B448">
        <v>174799</v>
      </c>
      <c r="C448" t="s">
        <v>402</v>
      </c>
      <c r="E448">
        <v>25</v>
      </c>
      <c r="F448" s="1">
        <v>1.1000000000000001E-3</v>
      </c>
      <c r="G448">
        <v>24</v>
      </c>
      <c r="H448" s="1">
        <v>8.9999999999999998E-4</v>
      </c>
      <c r="I448">
        <v>-0.02</v>
      </c>
      <c r="J448">
        <v>-1</v>
      </c>
      <c r="K448" s="1">
        <v>-2.9999999999999997E-4</v>
      </c>
      <c r="L448">
        <v>32</v>
      </c>
      <c r="M448" s="1">
        <v>8.961828212955443E-4</v>
      </c>
      <c r="N448">
        <v>-0.02</v>
      </c>
      <c r="O448">
        <v>8</v>
      </c>
      <c r="P448" s="1">
        <v>8.6253369272237194E-4</v>
      </c>
      <c r="Q448">
        <v>32</v>
      </c>
      <c r="R448" s="1">
        <v>8.2920888290015805E-4</v>
      </c>
      <c r="S448">
        <v>-0.03</v>
      </c>
      <c r="T448">
        <v>0</v>
      </c>
      <c r="U448" s="1">
        <v>0</v>
      </c>
      <c r="V448">
        <v>33</v>
      </c>
      <c r="W448" s="1">
        <v>8.2723353053243756E-4</v>
      </c>
      <c r="X448">
        <v>-0.03</v>
      </c>
      <c r="Y448">
        <v>1</v>
      </c>
      <c r="Z448" s="1">
        <v>7.6863950807071484E-4</v>
      </c>
      <c r="AA448">
        <v>33</v>
      </c>
      <c r="AB448" s="1">
        <v>8.2524757427228173E-4</v>
      </c>
      <c r="AC448">
        <v>-0.03</v>
      </c>
      <c r="AD448">
        <v>0</v>
      </c>
      <c r="AE448" s="1">
        <v>0</v>
      </c>
      <c r="AF448">
        <v>33</v>
      </c>
      <c r="AG448" s="1">
        <v>8.2020181935676289E-4</v>
      </c>
      <c r="AH448">
        <v>-0.03</v>
      </c>
      <c r="AI448">
        <v>0</v>
      </c>
      <c r="AJ448" s="1">
        <v>0</v>
      </c>
    </row>
    <row r="449" spans="1:36" x14ac:dyDescent="0.3">
      <c r="A449" t="s">
        <v>166</v>
      </c>
      <c r="B449">
        <v>174799</v>
      </c>
      <c r="C449" t="s">
        <v>701</v>
      </c>
      <c r="E449">
        <v>26</v>
      </c>
      <c r="F449" s="1" t="s">
        <v>700</v>
      </c>
      <c r="G449">
        <v>30</v>
      </c>
      <c r="H449" s="1" t="s">
        <v>700</v>
      </c>
      <c r="I449" t="s">
        <v>700</v>
      </c>
      <c r="J449">
        <v>4</v>
      </c>
      <c r="K449" s="1" t="s">
        <v>700</v>
      </c>
      <c r="L449">
        <v>48</v>
      </c>
      <c r="M449" s="1" t="s">
        <v>700</v>
      </c>
      <c r="N449" t="s">
        <v>700</v>
      </c>
      <c r="O449">
        <v>18</v>
      </c>
      <c r="P449" s="1" t="s">
        <v>700</v>
      </c>
      <c r="Q449">
        <v>10</v>
      </c>
      <c r="R449" s="1" t="s">
        <v>700</v>
      </c>
      <c r="S449" t="s">
        <v>700</v>
      </c>
      <c r="T449">
        <v>-38</v>
      </c>
      <c r="U449" s="1" t="s">
        <v>700</v>
      </c>
      <c r="V449">
        <v>10</v>
      </c>
      <c r="Y449">
        <v>0</v>
      </c>
      <c r="AA449">
        <v>9</v>
      </c>
      <c r="AD449">
        <v>-1</v>
      </c>
      <c r="AF449">
        <v>7</v>
      </c>
      <c r="AI449">
        <v>-2</v>
      </c>
    </row>
    <row r="450" spans="1:36" x14ac:dyDescent="0.3">
      <c r="A450" t="s">
        <v>166</v>
      </c>
      <c r="B450">
        <v>174799</v>
      </c>
      <c r="C450" t="s">
        <v>702</v>
      </c>
      <c r="E450">
        <v>286</v>
      </c>
      <c r="F450" s="1" t="s">
        <v>700</v>
      </c>
      <c r="G450">
        <v>332</v>
      </c>
      <c r="H450" s="1" t="s">
        <v>700</v>
      </c>
      <c r="I450" t="s">
        <v>700</v>
      </c>
      <c r="J450">
        <v>46</v>
      </c>
      <c r="K450" s="1" t="s">
        <v>700</v>
      </c>
      <c r="L450">
        <v>461</v>
      </c>
      <c r="M450" s="1" t="s">
        <v>700</v>
      </c>
      <c r="N450" t="s">
        <v>700</v>
      </c>
      <c r="O450">
        <v>129</v>
      </c>
      <c r="P450" s="1" t="s">
        <v>700</v>
      </c>
      <c r="Q450">
        <v>468</v>
      </c>
      <c r="R450" s="1" t="s">
        <v>700</v>
      </c>
      <c r="S450" t="s">
        <v>700</v>
      </c>
      <c r="T450">
        <v>7</v>
      </c>
      <c r="U450" s="1" t="s">
        <v>700</v>
      </c>
      <c r="V450">
        <v>468</v>
      </c>
      <c r="Y450">
        <v>0</v>
      </c>
      <c r="AA450">
        <v>469</v>
      </c>
      <c r="AD450">
        <v>1</v>
      </c>
      <c r="AF450">
        <v>479</v>
      </c>
      <c r="AI450">
        <v>10</v>
      </c>
    </row>
    <row r="451" spans="1:36" x14ac:dyDescent="0.3">
      <c r="A451" t="s">
        <v>168</v>
      </c>
      <c r="B451">
        <v>184124</v>
      </c>
      <c r="C451" t="s">
        <v>699</v>
      </c>
      <c r="E451">
        <v>23384</v>
      </c>
      <c r="F451" s="1" t="s">
        <v>700</v>
      </c>
      <c r="G451">
        <v>27132</v>
      </c>
      <c r="H451" s="1" t="s">
        <v>700</v>
      </c>
      <c r="I451" t="s">
        <v>700</v>
      </c>
      <c r="J451">
        <v>3748</v>
      </c>
      <c r="K451" s="1" t="s">
        <v>700</v>
      </c>
      <c r="L451">
        <v>36687</v>
      </c>
      <c r="M451" s="1" t="s">
        <v>700</v>
      </c>
      <c r="N451" t="s">
        <v>700</v>
      </c>
      <c r="O451">
        <v>9555</v>
      </c>
      <c r="P451" s="1" t="s">
        <v>700</v>
      </c>
      <c r="Q451">
        <v>39592</v>
      </c>
      <c r="R451" s="1" t="s">
        <v>700</v>
      </c>
      <c r="S451" t="s">
        <v>700</v>
      </c>
      <c r="T451">
        <v>2905</v>
      </c>
      <c r="U451" s="1" t="s">
        <v>700</v>
      </c>
      <c r="V451">
        <v>40917</v>
      </c>
      <c r="Y451">
        <v>1325</v>
      </c>
      <c r="AA451">
        <v>40992</v>
      </c>
      <c r="AD451">
        <v>75</v>
      </c>
      <c r="AF451">
        <v>41245</v>
      </c>
      <c r="AI451">
        <v>253</v>
      </c>
    </row>
    <row r="452" spans="1:36" x14ac:dyDescent="0.3">
      <c r="A452" t="s">
        <v>168</v>
      </c>
      <c r="B452">
        <v>184124</v>
      </c>
      <c r="C452" t="s">
        <v>610</v>
      </c>
      <c r="D452" t="s">
        <v>399</v>
      </c>
      <c r="E452">
        <v>15827</v>
      </c>
      <c r="F452" s="1">
        <v>0.75329999999999997</v>
      </c>
      <c r="G452">
        <v>18192</v>
      </c>
      <c r="H452" s="1">
        <v>0.747</v>
      </c>
      <c r="I452">
        <v>-0.63</v>
      </c>
      <c r="J452">
        <v>2365</v>
      </c>
      <c r="K452" s="1">
        <v>0.70700000000000007</v>
      </c>
      <c r="L452">
        <v>24060</v>
      </c>
      <c r="M452" s="1">
        <v>0.72803195352214956</v>
      </c>
      <c r="N452">
        <v>-2.5299999999999998</v>
      </c>
      <c r="O452">
        <v>5868</v>
      </c>
      <c r="P452" s="1">
        <v>0.67494824016563149</v>
      </c>
      <c r="Q452">
        <v>25693</v>
      </c>
      <c r="R452" s="1">
        <v>0.71934932945096175</v>
      </c>
      <c r="S452">
        <v>-3.4</v>
      </c>
      <c r="T452">
        <v>1633</v>
      </c>
      <c r="U452" s="1">
        <v>0.6118396403147246</v>
      </c>
      <c r="V452">
        <v>26519</v>
      </c>
      <c r="W452" s="1">
        <v>0.71775786938046393</v>
      </c>
      <c r="X452">
        <v>-3.55</v>
      </c>
      <c r="Y452">
        <v>826</v>
      </c>
      <c r="Z452" s="1">
        <v>0.67154471544715444</v>
      </c>
      <c r="AA452">
        <v>26568</v>
      </c>
      <c r="AB452" s="1">
        <v>0.71691087185299118</v>
      </c>
      <c r="AC452">
        <v>-3.64</v>
      </c>
      <c r="AD452">
        <v>49</v>
      </c>
      <c r="AE452" s="1">
        <v>0.4375</v>
      </c>
      <c r="AF452">
        <v>26708</v>
      </c>
      <c r="AG452" s="1">
        <v>0.71616657281527363</v>
      </c>
      <c r="AH452">
        <v>-3.71</v>
      </c>
      <c r="AI452">
        <v>140</v>
      </c>
      <c r="AJ452" s="1">
        <v>0.59829059829059827</v>
      </c>
    </row>
    <row r="453" spans="1:36" x14ac:dyDescent="0.3">
      <c r="A453" t="s">
        <v>168</v>
      </c>
      <c r="B453">
        <v>184124</v>
      </c>
      <c r="C453" t="s">
        <v>611</v>
      </c>
      <c r="D453" t="s">
        <v>399</v>
      </c>
      <c r="E453">
        <v>4680</v>
      </c>
      <c r="F453" s="1">
        <v>0.2228</v>
      </c>
      <c r="G453">
        <v>5621</v>
      </c>
      <c r="H453" s="1">
        <v>0.23079999999999998</v>
      </c>
      <c r="I453">
        <v>0.8</v>
      </c>
      <c r="J453">
        <v>941</v>
      </c>
      <c r="K453" s="1">
        <v>0.28129999999999999</v>
      </c>
      <c r="L453">
        <v>8263</v>
      </c>
      <c r="M453" s="1">
        <v>0.25003025901718712</v>
      </c>
      <c r="N453">
        <v>2.72</v>
      </c>
      <c r="O453">
        <v>2642</v>
      </c>
      <c r="P453" s="1">
        <v>0.30388773867034735</v>
      </c>
      <c r="Q453">
        <v>9275</v>
      </c>
      <c r="R453" s="1">
        <v>0.2596802642999132</v>
      </c>
      <c r="S453">
        <v>3.69</v>
      </c>
      <c r="T453">
        <v>1012</v>
      </c>
      <c r="U453" s="1">
        <v>0.37916822780067438</v>
      </c>
      <c r="V453">
        <v>9661</v>
      </c>
      <c r="W453" s="1">
        <v>0.26148266435705197</v>
      </c>
      <c r="X453">
        <v>3.87</v>
      </c>
      <c r="Y453">
        <v>386</v>
      </c>
      <c r="Z453" s="1">
        <v>0.31382113821138213</v>
      </c>
      <c r="AA453">
        <v>9706</v>
      </c>
      <c r="AB453" s="1">
        <v>0.26190668933322542</v>
      </c>
      <c r="AC453">
        <v>3.91</v>
      </c>
      <c r="AD453">
        <v>45</v>
      </c>
      <c r="AE453" s="1">
        <v>0.4017857142857143</v>
      </c>
      <c r="AF453">
        <v>9791</v>
      </c>
      <c r="AG453" s="1">
        <v>0.26254256831040679</v>
      </c>
      <c r="AH453">
        <v>3.97</v>
      </c>
      <c r="AI453">
        <v>85</v>
      </c>
      <c r="AJ453" s="1">
        <v>0.36324786324786323</v>
      </c>
    </row>
    <row r="454" spans="1:36" x14ac:dyDescent="0.3">
      <c r="A454" t="s">
        <v>168</v>
      </c>
      <c r="B454">
        <v>184124</v>
      </c>
      <c r="C454" t="s">
        <v>402</v>
      </c>
      <c r="E454">
        <v>502</v>
      </c>
      <c r="F454" s="1">
        <v>2.3900000000000001E-2</v>
      </c>
      <c r="G454">
        <v>541</v>
      </c>
      <c r="H454" s="1">
        <v>2.2200000000000001E-2</v>
      </c>
      <c r="I454">
        <v>-0.17</v>
      </c>
      <c r="J454">
        <v>39</v>
      </c>
      <c r="K454" s="1">
        <v>1.1699999999999999E-2</v>
      </c>
      <c r="L454">
        <v>725</v>
      </c>
      <c r="M454" s="1">
        <v>2.1937787460663279E-2</v>
      </c>
      <c r="N454">
        <v>-0.2</v>
      </c>
      <c r="O454">
        <v>184</v>
      </c>
      <c r="P454" s="1">
        <v>2.1164021164021163E-2</v>
      </c>
      <c r="Q454">
        <v>749</v>
      </c>
      <c r="R454" s="1">
        <v>2.0970406249125065E-2</v>
      </c>
      <c r="S454">
        <v>-0.28999999999999998</v>
      </c>
      <c r="T454">
        <v>24</v>
      </c>
      <c r="U454" s="1">
        <v>8.9921318846009745E-3</v>
      </c>
      <c r="V454">
        <v>767</v>
      </c>
      <c r="W454" s="1">
        <v>2.0759466262484098E-2</v>
      </c>
      <c r="X454">
        <v>-0.31</v>
      </c>
      <c r="Y454">
        <v>18</v>
      </c>
      <c r="Z454" s="1">
        <v>1.4634146341463415E-2</v>
      </c>
      <c r="AA454">
        <v>785</v>
      </c>
      <c r="AB454" s="1">
        <v>2.1182438813783427E-2</v>
      </c>
      <c r="AC454">
        <v>-0.27</v>
      </c>
      <c r="AD454">
        <v>18</v>
      </c>
      <c r="AE454" s="1">
        <v>0.16071428571428573</v>
      </c>
      <c r="AF454">
        <v>794</v>
      </c>
      <c r="AG454" s="1">
        <v>2.1290858874319578E-2</v>
      </c>
      <c r="AH454">
        <v>-0.26</v>
      </c>
      <c r="AI454">
        <v>9</v>
      </c>
      <c r="AJ454" s="1">
        <v>3.8461538461538464E-2</v>
      </c>
    </row>
    <row r="455" spans="1:36" x14ac:dyDescent="0.3">
      <c r="A455" t="s">
        <v>168</v>
      </c>
      <c r="B455">
        <v>184124</v>
      </c>
      <c r="C455" t="s">
        <v>701</v>
      </c>
      <c r="E455">
        <v>16</v>
      </c>
      <c r="F455" s="1" t="s">
        <v>700</v>
      </c>
      <c r="G455">
        <v>16</v>
      </c>
      <c r="H455" s="1" t="s">
        <v>700</v>
      </c>
      <c r="I455" t="s">
        <v>700</v>
      </c>
      <c r="J455">
        <v>0</v>
      </c>
      <c r="K455" s="1" t="s">
        <v>700</v>
      </c>
      <c r="L455">
        <v>20</v>
      </c>
      <c r="M455" s="1" t="s">
        <v>700</v>
      </c>
      <c r="N455" t="s">
        <v>700</v>
      </c>
      <c r="O455">
        <v>4</v>
      </c>
      <c r="P455" s="1" t="s">
        <v>700</v>
      </c>
      <c r="Q455">
        <v>6</v>
      </c>
      <c r="R455" s="1" t="s">
        <v>700</v>
      </c>
      <c r="S455" t="s">
        <v>700</v>
      </c>
      <c r="T455">
        <v>-14</v>
      </c>
      <c r="U455" s="1" t="s">
        <v>700</v>
      </c>
      <c r="V455">
        <v>6</v>
      </c>
      <c r="Y455">
        <v>0</v>
      </c>
      <c r="AA455">
        <v>4</v>
      </c>
      <c r="AD455">
        <v>-2</v>
      </c>
      <c r="AF455">
        <v>4</v>
      </c>
      <c r="AI455">
        <v>0</v>
      </c>
    </row>
    <row r="456" spans="1:36" x14ac:dyDescent="0.3">
      <c r="A456" t="s">
        <v>168</v>
      </c>
      <c r="B456">
        <v>184124</v>
      </c>
      <c r="C456" t="s">
        <v>702</v>
      </c>
      <c r="E456">
        <v>1400</v>
      </c>
      <c r="F456" s="1" t="s">
        <v>700</v>
      </c>
      <c r="G456">
        <v>1618</v>
      </c>
      <c r="H456" s="1" t="s">
        <v>700</v>
      </c>
      <c r="I456" t="s">
        <v>700</v>
      </c>
      <c r="J456">
        <v>218</v>
      </c>
      <c r="K456" s="1" t="s">
        <v>700</v>
      </c>
      <c r="L456">
        <v>2088</v>
      </c>
      <c r="M456" s="1" t="s">
        <v>700</v>
      </c>
      <c r="N456" t="s">
        <v>700</v>
      </c>
      <c r="O456">
        <v>470</v>
      </c>
      <c r="P456" s="1" t="s">
        <v>700</v>
      </c>
      <c r="Q456">
        <v>2098</v>
      </c>
      <c r="R456" s="1" t="s">
        <v>700</v>
      </c>
      <c r="S456" t="s">
        <v>700</v>
      </c>
      <c r="T456">
        <v>10</v>
      </c>
      <c r="U456" s="1" t="s">
        <v>700</v>
      </c>
      <c r="V456">
        <v>2098</v>
      </c>
      <c r="Y456">
        <v>0</v>
      </c>
      <c r="AA456">
        <v>2090</v>
      </c>
      <c r="AD456">
        <v>-8</v>
      </c>
      <c r="AF456">
        <v>2105</v>
      </c>
      <c r="AI456">
        <v>15</v>
      </c>
    </row>
    <row r="457" spans="1:36" x14ac:dyDescent="0.3">
      <c r="A457" t="s">
        <v>228</v>
      </c>
      <c r="B457" t="s">
        <v>717</v>
      </c>
      <c r="C457" t="s">
        <v>699</v>
      </c>
      <c r="D457" t="s">
        <v>700</v>
      </c>
      <c r="E457">
        <v>13422</v>
      </c>
      <c r="F457" s="1" t="s">
        <v>700</v>
      </c>
      <c r="G457">
        <v>16704</v>
      </c>
      <c r="H457" s="1" t="s">
        <v>700</v>
      </c>
      <c r="I457" t="s">
        <v>700</v>
      </c>
      <c r="J457">
        <v>3282</v>
      </c>
      <c r="K457" s="1" t="s">
        <v>700</v>
      </c>
      <c r="L457">
        <v>21724</v>
      </c>
      <c r="M457" s="1" t="s">
        <v>700</v>
      </c>
      <c r="N457" t="s">
        <v>700</v>
      </c>
      <c r="O457">
        <v>5020</v>
      </c>
      <c r="P457" s="1" t="s">
        <v>700</v>
      </c>
      <c r="Q457">
        <v>25478</v>
      </c>
      <c r="R457" s="1" t="s">
        <v>700</v>
      </c>
      <c r="S457" t="s">
        <v>700</v>
      </c>
      <c r="T457">
        <v>3754</v>
      </c>
      <c r="U457" s="1" t="s">
        <v>700</v>
      </c>
      <c r="V457">
        <v>26178</v>
      </c>
      <c r="Y457">
        <v>700</v>
      </c>
      <c r="AA457">
        <v>26257</v>
      </c>
      <c r="AD457">
        <v>79</v>
      </c>
      <c r="AF457">
        <v>26408</v>
      </c>
      <c r="AI457">
        <v>151</v>
      </c>
    </row>
    <row r="458" spans="1:36" x14ac:dyDescent="0.3">
      <c r="A458" t="s">
        <v>228</v>
      </c>
      <c r="B458" t="s">
        <v>717</v>
      </c>
      <c r="C458" t="s">
        <v>432</v>
      </c>
      <c r="D458" t="s">
        <v>700</v>
      </c>
      <c r="E458">
        <v>10166</v>
      </c>
      <c r="F458" s="1">
        <v>0.94120000000000004</v>
      </c>
      <c r="G458">
        <v>12623</v>
      </c>
      <c r="H458" s="1">
        <v>0.94209999999999994</v>
      </c>
      <c r="I458">
        <v>0.09</v>
      </c>
      <c r="J458">
        <v>2457</v>
      </c>
      <c r="K458" s="1">
        <v>0.94569999999999999</v>
      </c>
      <c r="L458">
        <v>16451</v>
      </c>
      <c r="M458" s="1">
        <v>0.94388662573871129</v>
      </c>
      <c r="N458">
        <v>0.27</v>
      </c>
      <c r="O458">
        <v>3828</v>
      </c>
      <c r="P458" s="1">
        <v>0.94987593052109176</v>
      </c>
      <c r="Q458">
        <v>19248</v>
      </c>
      <c r="R458" s="1">
        <v>0.95329602298053584</v>
      </c>
      <c r="S458">
        <v>1.21</v>
      </c>
      <c r="T458">
        <v>2797</v>
      </c>
      <c r="U458" s="1">
        <v>1.0126719768283852</v>
      </c>
      <c r="V458">
        <v>19727</v>
      </c>
      <c r="W458" s="1">
        <v>0.95276503260082102</v>
      </c>
      <c r="X458">
        <v>1.1599999999999999</v>
      </c>
      <c r="Y458">
        <v>479</v>
      </c>
      <c r="Z458" s="1">
        <v>0.93190661478599224</v>
      </c>
      <c r="AA458">
        <v>19776</v>
      </c>
      <c r="AB458" s="1">
        <v>0.95214251324025034</v>
      </c>
      <c r="AC458">
        <v>1.0900000000000001</v>
      </c>
      <c r="AD458">
        <v>49</v>
      </c>
      <c r="AE458" s="1">
        <v>0.75384615384615383</v>
      </c>
      <c r="AF458">
        <v>19890</v>
      </c>
      <c r="AG458" s="1">
        <v>0.95199349064279903</v>
      </c>
      <c r="AH458">
        <v>1.08</v>
      </c>
      <c r="AI458">
        <v>114</v>
      </c>
      <c r="AJ458" s="1">
        <v>0.92682926829268297</v>
      </c>
    </row>
    <row r="459" spans="1:36" x14ac:dyDescent="0.3">
      <c r="A459" t="s">
        <v>228</v>
      </c>
      <c r="B459" t="s">
        <v>717</v>
      </c>
      <c r="C459" t="s">
        <v>404</v>
      </c>
      <c r="D459" t="s">
        <v>700</v>
      </c>
      <c r="E459">
        <v>635</v>
      </c>
      <c r="F459" s="1">
        <v>5.8799999999999998E-2</v>
      </c>
      <c r="G459">
        <v>776</v>
      </c>
      <c r="H459" s="1">
        <v>5.79E-2</v>
      </c>
      <c r="I459">
        <v>-0.09</v>
      </c>
      <c r="J459">
        <v>141</v>
      </c>
      <c r="K459" s="1">
        <v>5.4299999999999994E-2</v>
      </c>
      <c r="L459">
        <v>978</v>
      </c>
      <c r="M459" s="1">
        <v>5.6113374261288658E-2</v>
      </c>
      <c r="N459">
        <v>-0.27</v>
      </c>
      <c r="O459">
        <v>202</v>
      </c>
      <c r="P459" s="1">
        <v>5.0124069478908191E-2</v>
      </c>
      <c r="Q459">
        <v>943</v>
      </c>
      <c r="R459" s="1">
        <v>4.6703977019464119E-2</v>
      </c>
      <c r="S459">
        <v>-1.21</v>
      </c>
      <c r="T459">
        <v>-35</v>
      </c>
      <c r="U459" s="1">
        <v>-1.2671976828385228E-2</v>
      </c>
      <c r="V459">
        <v>978</v>
      </c>
      <c r="W459" s="1">
        <v>4.7234967399178943E-2</v>
      </c>
      <c r="X459">
        <v>-1.1599999999999999</v>
      </c>
      <c r="Y459">
        <v>35</v>
      </c>
      <c r="Z459" s="1">
        <v>6.8093385214007776E-2</v>
      </c>
      <c r="AA459">
        <v>994</v>
      </c>
      <c r="AB459" s="1">
        <v>4.7857486759749636E-2</v>
      </c>
      <c r="AC459">
        <v>-1.0900000000000001</v>
      </c>
      <c r="AD459">
        <v>16</v>
      </c>
      <c r="AE459" s="1">
        <v>0.24615384615384617</v>
      </c>
      <c r="AF459">
        <v>1003</v>
      </c>
      <c r="AG459" s="1">
        <v>4.8006509357200973E-2</v>
      </c>
      <c r="AH459">
        <v>-1.08</v>
      </c>
      <c r="AI459">
        <v>9</v>
      </c>
      <c r="AJ459" s="1">
        <v>7.3170731707317069E-2</v>
      </c>
    </row>
    <row r="460" spans="1:36" x14ac:dyDescent="0.3">
      <c r="A460" t="s">
        <v>229</v>
      </c>
      <c r="B460" t="s">
        <v>718</v>
      </c>
      <c r="C460" t="s">
        <v>699</v>
      </c>
      <c r="D460" t="s">
        <v>700</v>
      </c>
      <c r="E460">
        <v>13422</v>
      </c>
      <c r="F460" s="1" t="s">
        <v>700</v>
      </c>
      <c r="G460">
        <v>16704</v>
      </c>
      <c r="H460" s="1" t="s">
        <v>700</v>
      </c>
      <c r="I460" t="s">
        <v>700</v>
      </c>
      <c r="J460">
        <v>3282</v>
      </c>
      <c r="K460" s="1" t="s">
        <v>700</v>
      </c>
      <c r="L460">
        <v>21724</v>
      </c>
      <c r="M460" s="1" t="s">
        <v>700</v>
      </c>
      <c r="N460" t="s">
        <v>700</v>
      </c>
      <c r="O460">
        <v>5020</v>
      </c>
      <c r="P460" s="1" t="s">
        <v>700</v>
      </c>
      <c r="Q460">
        <v>25478</v>
      </c>
      <c r="R460" s="1" t="s">
        <v>700</v>
      </c>
      <c r="S460" t="s">
        <v>700</v>
      </c>
      <c r="T460">
        <v>3754</v>
      </c>
      <c r="U460" s="1" t="s">
        <v>700</v>
      </c>
      <c r="V460">
        <v>26178</v>
      </c>
      <c r="Y460">
        <v>700</v>
      </c>
      <c r="AA460">
        <v>26257</v>
      </c>
      <c r="AD460">
        <v>79</v>
      </c>
      <c r="AF460">
        <v>26408</v>
      </c>
      <c r="AI460">
        <v>151</v>
      </c>
    </row>
    <row r="461" spans="1:36" x14ac:dyDescent="0.3">
      <c r="A461" t="s">
        <v>229</v>
      </c>
      <c r="B461" t="s">
        <v>718</v>
      </c>
      <c r="C461" t="s">
        <v>612</v>
      </c>
      <c r="D461" t="s">
        <v>700</v>
      </c>
      <c r="E461">
        <v>9155</v>
      </c>
      <c r="F461" s="1">
        <v>0.69499999999999995</v>
      </c>
      <c r="G461">
        <v>11368</v>
      </c>
      <c r="H461" s="1">
        <v>0.69379999999999997</v>
      </c>
      <c r="I461">
        <v>-0.12</v>
      </c>
      <c r="J461">
        <v>2213</v>
      </c>
      <c r="K461" s="1">
        <v>0.68920000000000003</v>
      </c>
      <c r="L461">
        <v>15031</v>
      </c>
      <c r="M461" s="1">
        <v>0.70568075117370888</v>
      </c>
      <c r="N461">
        <v>1.07</v>
      </c>
      <c r="O461">
        <v>3663</v>
      </c>
      <c r="P461" s="1">
        <v>0.74511798209926772</v>
      </c>
      <c r="Q461">
        <v>17711</v>
      </c>
      <c r="R461" s="1">
        <v>0.70878021450296147</v>
      </c>
      <c r="S461">
        <v>1.38</v>
      </c>
      <c r="T461">
        <v>2680</v>
      </c>
      <c r="U461" s="1">
        <v>0.72668112798264639</v>
      </c>
      <c r="V461">
        <v>18192</v>
      </c>
      <c r="W461" s="1">
        <v>0.70841121495327097</v>
      </c>
      <c r="X461">
        <v>1.34</v>
      </c>
      <c r="Y461">
        <v>481</v>
      </c>
      <c r="Z461" s="1">
        <v>0.69508670520231219</v>
      </c>
      <c r="AA461">
        <v>18241</v>
      </c>
      <c r="AB461" s="1">
        <v>0.70756400310318079</v>
      </c>
      <c r="AC461">
        <v>1.26</v>
      </c>
      <c r="AD461">
        <v>49</v>
      </c>
      <c r="AE461" s="1">
        <v>0.49</v>
      </c>
      <c r="AF461">
        <v>18352</v>
      </c>
      <c r="AG461" s="1">
        <v>0.7080520081793279</v>
      </c>
      <c r="AH461">
        <v>1.31</v>
      </c>
      <c r="AI461">
        <v>111</v>
      </c>
      <c r="AJ461" s="1">
        <v>0.79856115107913672</v>
      </c>
    </row>
    <row r="462" spans="1:36" x14ac:dyDescent="0.3">
      <c r="A462" t="s">
        <v>229</v>
      </c>
      <c r="B462" t="s">
        <v>718</v>
      </c>
      <c r="C462" t="s">
        <v>614</v>
      </c>
      <c r="D462" t="s">
        <v>700</v>
      </c>
      <c r="E462">
        <v>2045</v>
      </c>
      <c r="F462" s="1">
        <v>0.1552</v>
      </c>
      <c r="G462">
        <v>2603</v>
      </c>
      <c r="H462" s="1">
        <v>0.15890000000000001</v>
      </c>
      <c r="I462">
        <v>0.37</v>
      </c>
      <c r="J462">
        <v>558</v>
      </c>
      <c r="K462" s="1">
        <v>0.17379999999999998</v>
      </c>
      <c r="L462">
        <v>3256</v>
      </c>
      <c r="M462" s="1">
        <v>0.15286384976525821</v>
      </c>
      <c r="N462">
        <v>-0.23</v>
      </c>
      <c r="O462">
        <v>653</v>
      </c>
      <c r="P462" s="1">
        <v>0.13283157038242474</v>
      </c>
      <c r="Q462">
        <v>3796</v>
      </c>
      <c r="R462" s="1">
        <v>0.15191291820073635</v>
      </c>
      <c r="S462">
        <v>-0.33</v>
      </c>
      <c r="T462">
        <v>540</v>
      </c>
      <c r="U462" s="1">
        <v>0.14642082429501085</v>
      </c>
      <c r="V462">
        <v>3892</v>
      </c>
      <c r="W462" s="1">
        <v>0.15155763239875389</v>
      </c>
      <c r="X462">
        <v>-0.36</v>
      </c>
      <c r="Y462">
        <v>96</v>
      </c>
      <c r="Z462" s="1">
        <v>0.13872832369942195</v>
      </c>
      <c r="AA462">
        <v>3920</v>
      </c>
      <c r="AB462" s="1">
        <v>0.15205585725368503</v>
      </c>
      <c r="AC462">
        <v>-0.31</v>
      </c>
      <c r="AD462">
        <v>28</v>
      </c>
      <c r="AE462" s="1">
        <v>0.28000000000000003</v>
      </c>
      <c r="AF462">
        <v>3934</v>
      </c>
      <c r="AG462" s="1">
        <v>0.15178054708900807</v>
      </c>
      <c r="AH462">
        <v>-0.34</v>
      </c>
      <c r="AI462">
        <v>14</v>
      </c>
      <c r="AJ462" s="1">
        <v>0.10071942446043165</v>
      </c>
    </row>
    <row r="463" spans="1:36" x14ac:dyDescent="0.3">
      <c r="A463" t="s">
        <v>229</v>
      </c>
      <c r="B463" t="s">
        <v>718</v>
      </c>
      <c r="C463" t="s">
        <v>613</v>
      </c>
      <c r="D463" t="s">
        <v>700</v>
      </c>
      <c r="E463">
        <v>1935</v>
      </c>
      <c r="F463" s="1">
        <v>0.1469</v>
      </c>
      <c r="G463">
        <v>2374</v>
      </c>
      <c r="H463" s="1">
        <v>0.1449</v>
      </c>
      <c r="I463">
        <v>-0.2</v>
      </c>
      <c r="J463">
        <v>439</v>
      </c>
      <c r="K463" s="1">
        <v>0.13669999999999999</v>
      </c>
      <c r="L463">
        <v>2955</v>
      </c>
      <c r="M463" s="1">
        <v>0.13873239436619719</v>
      </c>
      <c r="N463">
        <v>-0.82</v>
      </c>
      <c r="O463">
        <v>581</v>
      </c>
      <c r="P463" s="1">
        <v>0.11818551668022782</v>
      </c>
      <c r="Q463">
        <v>3420</v>
      </c>
      <c r="R463" s="1">
        <v>0.13686569553385625</v>
      </c>
      <c r="S463">
        <v>-1</v>
      </c>
      <c r="T463">
        <v>465</v>
      </c>
      <c r="U463" s="1">
        <v>0.12608459869848157</v>
      </c>
      <c r="V463">
        <v>3533</v>
      </c>
      <c r="W463" s="1">
        <v>0.1375778816199377</v>
      </c>
      <c r="X463">
        <v>-0.93</v>
      </c>
      <c r="Y463">
        <v>113</v>
      </c>
      <c r="Z463" s="1">
        <v>0.16329479768786126</v>
      </c>
      <c r="AA463">
        <v>3554</v>
      </c>
      <c r="AB463" s="1">
        <v>0.13785880527540728</v>
      </c>
      <c r="AC463">
        <v>-0.9</v>
      </c>
      <c r="AD463">
        <v>21</v>
      </c>
      <c r="AE463" s="1">
        <v>0.21</v>
      </c>
      <c r="AF463">
        <v>3567</v>
      </c>
      <c r="AG463" s="1">
        <v>0.13762105019483775</v>
      </c>
      <c r="AH463">
        <v>-0.93</v>
      </c>
      <c r="AI463">
        <v>13</v>
      </c>
      <c r="AJ463" s="1">
        <v>9.3525179856115109E-2</v>
      </c>
    </row>
    <row r="464" spans="1:36" x14ac:dyDescent="0.3">
      <c r="A464" t="s">
        <v>229</v>
      </c>
      <c r="B464" t="s">
        <v>718</v>
      </c>
      <c r="C464" t="s">
        <v>404</v>
      </c>
      <c r="D464" t="s">
        <v>700</v>
      </c>
      <c r="E464">
        <v>38</v>
      </c>
      <c r="F464" s="1">
        <v>2.8999999999999998E-3</v>
      </c>
      <c r="G464">
        <v>39</v>
      </c>
      <c r="H464" s="1">
        <v>2.3999999999999998E-3</v>
      </c>
      <c r="I464">
        <v>-0.05</v>
      </c>
      <c r="J464">
        <v>1</v>
      </c>
      <c r="K464" s="1">
        <v>2.9999999999999997E-4</v>
      </c>
      <c r="L464">
        <v>58</v>
      </c>
      <c r="M464" s="1">
        <v>2.7230046948356805E-3</v>
      </c>
      <c r="N464">
        <v>-0.02</v>
      </c>
      <c r="O464">
        <v>19</v>
      </c>
      <c r="P464" s="1">
        <v>3.8649308380797396E-3</v>
      </c>
      <c r="Q464">
        <v>61</v>
      </c>
      <c r="R464" s="1">
        <v>2.4411717624459742E-3</v>
      </c>
      <c r="S464">
        <v>-0.05</v>
      </c>
      <c r="T464">
        <v>3</v>
      </c>
      <c r="U464" s="1">
        <v>8.1344902386117134E-4</v>
      </c>
      <c r="V464">
        <v>63</v>
      </c>
      <c r="W464" s="1">
        <v>2.4532710280373831E-3</v>
      </c>
      <c r="X464">
        <v>-0.04</v>
      </c>
      <c r="Y464">
        <v>2</v>
      </c>
      <c r="Z464" s="1">
        <v>2.8901734104046241E-3</v>
      </c>
      <c r="AA464">
        <v>65</v>
      </c>
      <c r="AB464" s="1">
        <v>2.5213343677269202E-3</v>
      </c>
      <c r="AC464">
        <v>-0.04</v>
      </c>
      <c r="AD464">
        <v>2</v>
      </c>
      <c r="AE464" s="1">
        <v>0.02</v>
      </c>
      <c r="AF464">
        <v>66</v>
      </c>
      <c r="AG464" s="1">
        <v>2.5463945368262666E-3</v>
      </c>
      <c r="AH464">
        <v>-0.04</v>
      </c>
      <c r="AI464">
        <v>1</v>
      </c>
      <c r="AJ464" s="1">
        <v>7.1942446043165471E-3</v>
      </c>
    </row>
    <row r="465" spans="1:36" x14ac:dyDescent="0.3">
      <c r="A465" t="s">
        <v>230</v>
      </c>
      <c r="B465" t="s">
        <v>719</v>
      </c>
      <c r="C465" t="s">
        <v>699</v>
      </c>
      <c r="D465" t="s">
        <v>700</v>
      </c>
      <c r="E465">
        <v>13422</v>
      </c>
      <c r="F465" s="1" t="s">
        <v>700</v>
      </c>
      <c r="G465">
        <v>16704</v>
      </c>
      <c r="H465" s="1" t="s">
        <v>700</v>
      </c>
      <c r="I465" t="s">
        <v>700</v>
      </c>
      <c r="J465">
        <v>3282</v>
      </c>
      <c r="K465" s="1" t="s">
        <v>700</v>
      </c>
      <c r="L465">
        <v>21724</v>
      </c>
      <c r="M465" s="1" t="s">
        <v>700</v>
      </c>
      <c r="N465" t="s">
        <v>700</v>
      </c>
      <c r="O465">
        <v>5020</v>
      </c>
      <c r="P465" s="1" t="s">
        <v>700</v>
      </c>
      <c r="Q465">
        <v>25478</v>
      </c>
      <c r="R465" s="1" t="s">
        <v>700</v>
      </c>
      <c r="S465" t="s">
        <v>700</v>
      </c>
      <c r="T465">
        <v>3754</v>
      </c>
      <c r="U465" s="1" t="s">
        <v>700</v>
      </c>
      <c r="V465">
        <v>26178</v>
      </c>
      <c r="Y465">
        <v>700</v>
      </c>
      <c r="AA465">
        <v>26257</v>
      </c>
      <c r="AD465">
        <v>79</v>
      </c>
      <c r="AF465">
        <v>26408</v>
      </c>
      <c r="AI465">
        <v>151</v>
      </c>
    </row>
    <row r="466" spans="1:36" x14ac:dyDescent="0.3">
      <c r="A466" t="s">
        <v>230</v>
      </c>
      <c r="B466" t="s">
        <v>719</v>
      </c>
      <c r="C466" t="s">
        <v>615</v>
      </c>
      <c r="D466" t="s">
        <v>700</v>
      </c>
      <c r="E466">
        <v>6851</v>
      </c>
      <c r="F466" s="1">
        <v>0.52170000000000005</v>
      </c>
      <c r="G466">
        <v>8555</v>
      </c>
      <c r="H466" s="1">
        <v>0.52310000000000001</v>
      </c>
      <c r="I466">
        <v>0.14000000000000001</v>
      </c>
      <c r="J466">
        <v>1704</v>
      </c>
      <c r="K466" s="1">
        <v>0.5292</v>
      </c>
      <c r="L466">
        <v>11269</v>
      </c>
      <c r="M466" s="1">
        <v>0.53023102620806473</v>
      </c>
      <c r="N466">
        <v>0.85</v>
      </c>
      <c r="O466">
        <v>2714</v>
      </c>
      <c r="P466" s="1">
        <v>0.55387755102040814</v>
      </c>
      <c r="Q466">
        <v>13297</v>
      </c>
      <c r="R466" s="1">
        <v>0.53315958299919808</v>
      </c>
      <c r="S466">
        <v>1.1499999999999999</v>
      </c>
      <c r="T466">
        <v>2028</v>
      </c>
      <c r="U466" s="1">
        <v>0.55004068348250612</v>
      </c>
      <c r="V466">
        <v>13668</v>
      </c>
      <c r="W466" s="1">
        <v>0.53315649867374004</v>
      </c>
      <c r="X466">
        <v>1.1499999999999999</v>
      </c>
      <c r="Y466">
        <v>371</v>
      </c>
      <c r="Z466" s="1">
        <v>0.53304597701149425</v>
      </c>
      <c r="AA466">
        <v>13710</v>
      </c>
      <c r="AB466" s="1">
        <v>0.53263403263403264</v>
      </c>
      <c r="AC466">
        <v>1.0900000000000001</v>
      </c>
      <c r="AD466">
        <v>42</v>
      </c>
      <c r="AE466" s="1">
        <v>0.40384615384615385</v>
      </c>
      <c r="AF466">
        <v>13795</v>
      </c>
      <c r="AG466" s="1">
        <v>0.53299590448960665</v>
      </c>
      <c r="AH466">
        <v>1.1299999999999999</v>
      </c>
      <c r="AI466">
        <v>85</v>
      </c>
      <c r="AJ466" s="1">
        <v>0.59859154929577463</v>
      </c>
    </row>
    <row r="467" spans="1:36" x14ac:dyDescent="0.3">
      <c r="A467" t="s">
        <v>230</v>
      </c>
      <c r="B467" t="s">
        <v>719</v>
      </c>
      <c r="C467" t="s">
        <v>616</v>
      </c>
      <c r="D467" t="s">
        <v>700</v>
      </c>
      <c r="E467">
        <v>3349</v>
      </c>
      <c r="F467" s="1">
        <v>0.255</v>
      </c>
      <c r="G467">
        <v>4202</v>
      </c>
      <c r="H467" s="1">
        <v>0.25700000000000001</v>
      </c>
      <c r="I467">
        <v>0.2</v>
      </c>
      <c r="J467">
        <v>853</v>
      </c>
      <c r="K467" s="1">
        <v>0.26489999999999997</v>
      </c>
      <c r="L467">
        <v>5208</v>
      </c>
      <c r="M467" s="1">
        <v>0.24504775796358161</v>
      </c>
      <c r="N467">
        <v>-1</v>
      </c>
      <c r="O467">
        <v>1006</v>
      </c>
      <c r="P467" s="1">
        <v>0.20530612244897958</v>
      </c>
      <c r="Q467">
        <v>6076</v>
      </c>
      <c r="R467" s="1">
        <v>0.24362469927826785</v>
      </c>
      <c r="S467">
        <v>-1.1399999999999999</v>
      </c>
      <c r="T467">
        <v>868</v>
      </c>
      <c r="U467" s="1">
        <v>0.23542175210197994</v>
      </c>
      <c r="V467">
        <v>6255</v>
      </c>
      <c r="W467" s="1">
        <v>0.24399282259322827</v>
      </c>
      <c r="X467">
        <v>-1.1000000000000001</v>
      </c>
      <c r="Y467">
        <v>179</v>
      </c>
      <c r="Z467" s="1">
        <v>0.25718390804597702</v>
      </c>
      <c r="AA467">
        <v>6291</v>
      </c>
      <c r="AB467" s="1">
        <v>0.2444055944055944</v>
      </c>
      <c r="AC467">
        <v>-1.06</v>
      </c>
      <c r="AD467">
        <v>36</v>
      </c>
      <c r="AE467" s="1">
        <v>0.34615384615384615</v>
      </c>
      <c r="AF467">
        <v>6317</v>
      </c>
      <c r="AG467" s="1">
        <v>0.24406923730778146</v>
      </c>
      <c r="AH467">
        <v>-1.0900000000000001</v>
      </c>
      <c r="AI467">
        <v>26</v>
      </c>
      <c r="AJ467" s="1">
        <v>0.18309859154929578</v>
      </c>
    </row>
    <row r="468" spans="1:36" x14ac:dyDescent="0.3">
      <c r="A468" t="s">
        <v>230</v>
      </c>
      <c r="B468" t="s">
        <v>719</v>
      </c>
      <c r="C468" t="s">
        <v>617</v>
      </c>
      <c r="D468" t="s">
        <v>700</v>
      </c>
      <c r="E468">
        <v>2906</v>
      </c>
      <c r="F468" s="1">
        <v>0.2213</v>
      </c>
      <c r="G468">
        <v>3565</v>
      </c>
      <c r="H468" s="1">
        <v>0.218</v>
      </c>
      <c r="I468">
        <v>-0.33</v>
      </c>
      <c r="J468">
        <v>659</v>
      </c>
      <c r="K468" s="1">
        <v>0.20469999999999999</v>
      </c>
      <c r="L468">
        <v>4735</v>
      </c>
      <c r="M468" s="1">
        <v>0.22279207641274174</v>
      </c>
      <c r="N468">
        <v>0.15</v>
      </c>
      <c r="O468">
        <v>1170</v>
      </c>
      <c r="P468" s="1">
        <v>0.23877551020408164</v>
      </c>
      <c r="Q468">
        <v>5521</v>
      </c>
      <c r="R468" s="1">
        <v>0.22137129109863674</v>
      </c>
      <c r="S468">
        <v>0.01</v>
      </c>
      <c r="T468">
        <v>786</v>
      </c>
      <c r="U468" s="1">
        <v>0.21318144833197722</v>
      </c>
      <c r="V468">
        <v>5662</v>
      </c>
      <c r="W468" s="1">
        <v>0.22086128881260728</v>
      </c>
      <c r="X468">
        <v>-0.04</v>
      </c>
      <c r="Y468">
        <v>141</v>
      </c>
      <c r="Z468" s="1">
        <v>0.20258620689655171</v>
      </c>
      <c r="AA468">
        <v>5686</v>
      </c>
      <c r="AB468" s="1">
        <v>0.22090132090132089</v>
      </c>
      <c r="AC468">
        <v>-0.04</v>
      </c>
      <c r="AD468">
        <v>24</v>
      </c>
      <c r="AE468" s="1">
        <v>0.23076923076923078</v>
      </c>
      <c r="AF468">
        <v>5717</v>
      </c>
      <c r="AG468" s="1">
        <v>0.22088710300595008</v>
      </c>
      <c r="AH468">
        <v>-0.04</v>
      </c>
      <c r="AI468">
        <v>31</v>
      </c>
      <c r="AJ468" s="1">
        <v>0.21830985915492956</v>
      </c>
    </row>
    <row r="469" spans="1:36" x14ac:dyDescent="0.3">
      <c r="A469" t="s">
        <v>230</v>
      </c>
      <c r="B469" t="s">
        <v>719</v>
      </c>
      <c r="C469" t="s">
        <v>404</v>
      </c>
      <c r="D469" t="s">
        <v>700</v>
      </c>
      <c r="E469">
        <v>27</v>
      </c>
      <c r="F469" s="1">
        <v>2.0999999999999999E-3</v>
      </c>
      <c r="G469">
        <v>31</v>
      </c>
      <c r="H469" s="1">
        <v>1.9E-3</v>
      </c>
      <c r="I469">
        <v>-0.02</v>
      </c>
      <c r="J469">
        <v>4</v>
      </c>
      <c r="K469" s="1">
        <v>1.1999999999999999E-3</v>
      </c>
      <c r="L469">
        <v>41</v>
      </c>
      <c r="M469" s="1">
        <v>1.9291394156119137E-3</v>
      </c>
      <c r="N469">
        <v>-0.02</v>
      </c>
      <c r="O469">
        <v>10</v>
      </c>
      <c r="P469" s="1">
        <v>2.0408163265306124E-3</v>
      </c>
      <c r="Q469">
        <v>46</v>
      </c>
      <c r="R469" s="1">
        <v>1.8444266238973536E-3</v>
      </c>
      <c r="S469">
        <v>-0.03</v>
      </c>
      <c r="T469">
        <v>5</v>
      </c>
      <c r="U469" s="1">
        <v>1.3561160835367507E-3</v>
      </c>
      <c r="V469">
        <v>51</v>
      </c>
      <c r="W469" s="1">
        <v>1.9893899204244032E-3</v>
      </c>
      <c r="X469">
        <v>-0.01</v>
      </c>
      <c r="Y469">
        <v>5</v>
      </c>
      <c r="Z469" s="1">
        <v>7.1839080459770114E-3</v>
      </c>
      <c r="AA469">
        <v>53</v>
      </c>
      <c r="AB469" s="1">
        <v>2.0590520590520593E-3</v>
      </c>
      <c r="AC469">
        <v>0</v>
      </c>
      <c r="AD469">
        <v>2</v>
      </c>
      <c r="AE469" s="1">
        <v>1.9230769230769232E-2</v>
      </c>
      <c r="AF469">
        <v>53</v>
      </c>
      <c r="AG469" s="1">
        <v>2.0477551966617729E-3</v>
      </c>
      <c r="AH469">
        <v>-0.01</v>
      </c>
      <c r="AI469">
        <v>0</v>
      </c>
      <c r="AJ469" s="1">
        <v>0</v>
      </c>
    </row>
    <row r="470" spans="1:36" x14ac:dyDescent="0.3">
      <c r="A470" t="s">
        <v>136</v>
      </c>
      <c r="B470" t="s">
        <v>720</v>
      </c>
      <c r="C470" t="s">
        <v>699</v>
      </c>
      <c r="D470" t="s">
        <v>700</v>
      </c>
      <c r="E470">
        <v>21175</v>
      </c>
      <c r="F470" s="1" t="s">
        <v>700</v>
      </c>
      <c r="G470">
        <v>26963</v>
      </c>
      <c r="H470" s="1" t="s">
        <v>700</v>
      </c>
      <c r="I470" t="s">
        <v>700</v>
      </c>
      <c r="J470">
        <v>5788</v>
      </c>
      <c r="K470" s="1" t="s">
        <v>700</v>
      </c>
      <c r="L470">
        <v>32281</v>
      </c>
      <c r="M470" s="1" t="s">
        <v>700</v>
      </c>
      <c r="N470" t="s">
        <v>700</v>
      </c>
      <c r="O470">
        <v>5318</v>
      </c>
      <c r="P470" s="1" t="s">
        <v>700</v>
      </c>
      <c r="Q470">
        <v>41282</v>
      </c>
      <c r="R470" s="1" t="s">
        <v>700</v>
      </c>
      <c r="S470" t="s">
        <v>700</v>
      </c>
      <c r="T470">
        <v>9001</v>
      </c>
      <c r="U470" s="1" t="s">
        <v>700</v>
      </c>
      <c r="V470">
        <v>43714</v>
      </c>
      <c r="Y470">
        <v>2432</v>
      </c>
      <c r="AA470">
        <v>43838</v>
      </c>
      <c r="AD470">
        <v>124</v>
      </c>
      <c r="AF470">
        <v>44200</v>
      </c>
      <c r="AI470">
        <v>362</v>
      </c>
    </row>
    <row r="471" spans="1:36" x14ac:dyDescent="0.3">
      <c r="A471" t="s">
        <v>136</v>
      </c>
      <c r="B471" t="s">
        <v>720</v>
      </c>
      <c r="C471" t="s">
        <v>433</v>
      </c>
      <c r="D471" t="s">
        <v>700</v>
      </c>
      <c r="E471">
        <v>16754</v>
      </c>
      <c r="F471" s="1">
        <v>0.96739999999999993</v>
      </c>
      <c r="G471">
        <v>21301</v>
      </c>
      <c r="H471" s="1">
        <v>0.96819999999999995</v>
      </c>
      <c r="I471">
        <v>0.08</v>
      </c>
      <c r="J471">
        <v>4547</v>
      </c>
      <c r="K471" s="1">
        <v>0.97140000000000004</v>
      </c>
      <c r="L471">
        <v>25424</v>
      </c>
      <c r="M471" s="1">
        <v>0.96739089075758156</v>
      </c>
      <c r="N471">
        <v>0</v>
      </c>
      <c r="O471">
        <v>4123</v>
      </c>
      <c r="P471" s="1">
        <v>0.96309273534220974</v>
      </c>
      <c r="Q471">
        <v>32588</v>
      </c>
      <c r="R471" s="1">
        <v>0.97335722819593784</v>
      </c>
      <c r="S471">
        <v>0.6</v>
      </c>
      <c r="T471">
        <v>7164</v>
      </c>
      <c r="U471" s="1">
        <v>0.99513821364078348</v>
      </c>
      <c r="V471">
        <v>34403</v>
      </c>
      <c r="W471" s="1">
        <v>0.97395464711377855</v>
      </c>
      <c r="X471">
        <v>0.66</v>
      </c>
      <c r="Y471">
        <v>1815</v>
      </c>
      <c r="Z471" s="1">
        <v>0.98480737927292461</v>
      </c>
      <c r="AA471">
        <v>34487</v>
      </c>
      <c r="AB471" s="1">
        <v>0.97376891800316245</v>
      </c>
      <c r="AC471">
        <v>0.64</v>
      </c>
      <c r="AD471">
        <v>84</v>
      </c>
      <c r="AE471" s="1">
        <v>0.90322580645161288</v>
      </c>
      <c r="AF471">
        <v>34790</v>
      </c>
      <c r="AG471" s="1">
        <v>0.97369157570668907</v>
      </c>
      <c r="AH471">
        <v>0.63</v>
      </c>
      <c r="AI471">
        <v>303</v>
      </c>
      <c r="AJ471" s="1">
        <v>0.96496815286624205</v>
      </c>
    </row>
    <row r="472" spans="1:36" x14ac:dyDescent="0.3">
      <c r="A472" t="s">
        <v>136</v>
      </c>
      <c r="B472" t="s">
        <v>720</v>
      </c>
      <c r="C472" t="s">
        <v>404</v>
      </c>
      <c r="D472" t="s">
        <v>700</v>
      </c>
      <c r="E472">
        <v>565</v>
      </c>
      <c r="F472" s="1">
        <v>3.2599999999999997E-2</v>
      </c>
      <c r="G472">
        <v>699</v>
      </c>
      <c r="H472" s="1">
        <v>3.1800000000000002E-2</v>
      </c>
      <c r="I472">
        <v>-0.08</v>
      </c>
      <c r="J472">
        <v>134</v>
      </c>
      <c r="K472" s="1">
        <v>2.86E-2</v>
      </c>
      <c r="L472">
        <v>857</v>
      </c>
      <c r="M472" s="1">
        <v>3.2609109242418478E-2</v>
      </c>
      <c r="N472">
        <v>0</v>
      </c>
      <c r="O472">
        <v>158</v>
      </c>
      <c r="P472" s="1">
        <v>3.6907264657790234E-2</v>
      </c>
      <c r="Q472">
        <v>892</v>
      </c>
      <c r="R472" s="1">
        <v>2.6642771804062125E-2</v>
      </c>
      <c r="S472">
        <v>-0.6</v>
      </c>
      <c r="T472">
        <v>35</v>
      </c>
      <c r="U472" s="1">
        <v>4.8617863592165574E-3</v>
      </c>
      <c r="V472">
        <v>920</v>
      </c>
      <c r="W472" s="1">
        <v>2.6045352886221441E-2</v>
      </c>
      <c r="X472">
        <v>-0.66</v>
      </c>
      <c r="Y472">
        <v>28</v>
      </c>
      <c r="Z472" s="1">
        <v>1.5192620727075421E-2</v>
      </c>
      <c r="AA472">
        <v>929</v>
      </c>
      <c r="AB472" s="1">
        <v>2.6231081996837588E-2</v>
      </c>
      <c r="AC472">
        <v>-0.64</v>
      </c>
      <c r="AD472">
        <v>9</v>
      </c>
      <c r="AE472" s="1">
        <v>9.6774193548387094E-2</v>
      </c>
      <c r="AF472">
        <v>940</v>
      </c>
      <c r="AG472" s="1">
        <v>2.6308424293310942E-2</v>
      </c>
      <c r="AH472">
        <v>-0.63</v>
      </c>
      <c r="AI472">
        <v>11</v>
      </c>
      <c r="AJ472" s="1">
        <v>3.5031847133757961E-2</v>
      </c>
    </row>
    <row r="473" spans="1:36" x14ac:dyDescent="0.3">
      <c r="A473" t="s">
        <v>138</v>
      </c>
      <c r="B473" t="s">
        <v>721</v>
      </c>
      <c r="C473" t="s">
        <v>699</v>
      </c>
      <c r="D473" t="s">
        <v>700</v>
      </c>
      <c r="E473">
        <v>21175</v>
      </c>
      <c r="F473" s="1" t="s">
        <v>700</v>
      </c>
      <c r="G473">
        <v>26963</v>
      </c>
      <c r="H473" s="1" t="s">
        <v>700</v>
      </c>
      <c r="I473" t="s">
        <v>700</v>
      </c>
      <c r="J473">
        <v>5788</v>
      </c>
      <c r="K473" s="1" t="s">
        <v>700</v>
      </c>
      <c r="L473">
        <v>32281</v>
      </c>
      <c r="M473" s="1" t="s">
        <v>700</v>
      </c>
      <c r="N473" t="s">
        <v>700</v>
      </c>
      <c r="O473">
        <v>5318</v>
      </c>
      <c r="P473" s="1" t="s">
        <v>700</v>
      </c>
      <c r="Q473">
        <v>41282</v>
      </c>
      <c r="R473" s="1" t="s">
        <v>700</v>
      </c>
      <c r="S473" t="s">
        <v>700</v>
      </c>
      <c r="T473">
        <v>9001</v>
      </c>
      <c r="U473" s="1" t="s">
        <v>700</v>
      </c>
      <c r="V473">
        <v>43714</v>
      </c>
      <c r="Y473">
        <v>2432</v>
      </c>
      <c r="AA473">
        <v>43838</v>
      </c>
      <c r="AD473">
        <v>124</v>
      </c>
      <c r="AF473">
        <v>44200</v>
      </c>
      <c r="AI473">
        <v>362</v>
      </c>
    </row>
    <row r="474" spans="1:36" x14ac:dyDescent="0.3">
      <c r="A474" t="s">
        <v>138</v>
      </c>
      <c r="B474" t="s">
        <v>721</v>
      </c>
      <c r="C474" t="s">
        <v>618</v>
      </c>
      <c r="D474" t="s">
        <v>700</v>
      </c>
      <c r="E474">
        <v>16531</v>
      </c>
      <c r="F474" s="1">
        <v>0.96730000000000005</v>
      </c>
      <c r="G474">
        <v>20977</v>
      </c>
      <c r="H474" s="1">
        <v>0.9677</v>
      </c>
      <c r="I474">
        <v>0.04</v>
      </c>
      <c r="J474">
        <v>4446</v>
      </c>
      <c r="K474" s="1">
        <v>0.96900000000000008</v>
      </c>
      <c r="L474">
        <v>25031</v>
      </c>
      <c r="M474" s="1">
        <v>0.96715737413546621</v>
      </c>
      <c r="N474">
        <v>-0.01</v>
      </c>
      <c r="O474">
        <v>4054</v>
      </c>
      <c r="P474" s="1">
        <v>0.96454913157268618</v>
      </c>
      <c r="Q474">
        <v>32055</v>
      </c>
      <c r="R474" s="1">
        <v>0.97271954846149178</v>
      </c>
      <c r="S474">
        <v>0.54</v>
      </c>
      <c r="T474">
        <v>7024</v>
      </c>
      <c r="U474" s="1">
        <v>0.99307224657146898</v>
      </c>
      <c r="V474">
        <v>33836</v>
      </c>
      <c r="W474" s="1">
        <v>0.97347373266586112</v>
      </c>
      <c r="X474">
        <v>0.62</v>
      </c>
      <c r="Y474">
        <v>1781</v>
      </c>
      <c r="Z474" s="1">
        <v>0.9872505543237251</v>
      </c>
      <c r="AA474">
        <v>33920</v>
      </c>
      <c r="AB474" s="1">
        <v>0.97328627586009009</v>
      </c>
      <c r="AC474">
        <v>0.6</v>
      </c>
      <c r="AD474">
        <v>84</v>
      </c>
      <c r="AE474" s="1">
        <v>0.90322580645161288</v>
      </c>
      <c r="AF474">
        <v>34217</v>
      </c>
      <c r="AG474" s="1">
        <v>0.97315207189784136</v>
      </c>
      <c r="AH474">
        <v>0.59</v>
      </c>
      <c r="AI474">
        <v>297</v>
      </c>
      <c r="AJ474" s="1">
        <v>0.95806451612903221</v>
      </c>
    </row>
    <row r="475" spans="1:36" x14ac:dyDescent="0.3">
      <c r="A475" t="s">
        <v>138</v>
      </c>
      <c r="B475" t="s">
        <v>721</v>
      </c>
      <c r="C475" t="s">
        <v>404</v>
      </c>
      <c r="D475" t="s">
        <v>700</v>
      </c>
      <c r="E475">
        <v>559</v>
      </c>
      <c r="F475" s="1">
        <v>3.27E-2</v>
      </c>
      <c r="G475">
        <v>701</v>
      </c>
      <c r="H475" s="1">
        <v>3.2300000000000002E-2</v>
      </c>
      <c r="I475">
        <v>-0.04</v>
      </c>
      <c r="J475">
        <v>142</v>
      </c>
      <c r="K475" s="1">
        <v>3.1E-2</v>
      </c>
      <c r="L475">
        <v>850</v>
      </c>
      <c r="M475" s="1">
        <v>3.2842625864533827E-2</v>
      </c>
      <c r="N475">
        <v>0.01</v>
      </c>
      <c r="O475">
        <v>149</v>
      </c>
      <c r="P475" s="1">
        <v>3.5450868427313827E-2</v>
      </c>
      <c r="Q475">
        <v>899</v>
      </c>
      <c r="R475" s="1">
        <v>2.7280451538508225E-2</v>
      </c>
      <c r="S475">
        <v>-0.54</v>
      </c>
      <c r="T475">
        <v>49</v>
      </c>
      <c r="U475" s="1">
        <v>6.9277534285310336E-3</v>
      </c>
      <c r="V475">
        <v>922</v>
      </c>
      <c r="W475" s="1">
        <v>2.6526267334138903E-2</v>
      </c>
      <c r="X475">
        <v>-0.62</v>
      </c>
      <c r="Y475">
        <v>23</v>
      </c>
      <c r="Z475" s="1">
        <v>1.2749445676274944E-2</v>
      </c>
      <c r="AA475">
        <v>931</v>
      </c>
      <c r="AB475" s="1">
        <v>2.6713724139909901E-2</v>
      </c>
      <c r="AC475">
        <v>-0.6</v>
      </c>
      <c r="AD475">
        <v>9</v>
      </c>
      <c r="AE475" s="1">
        <v>9.6774193548387094E-2</v>
      </c>
      <c r="AF475">
        <v>944</v>
      </c>
      <c r="AG475" s="1">
        <v>2.6847928102158643E-2</v>
      </c>
      <c r="AH475">
        <v>-0.59</v>
      </c>
      <c r="AI475">
        <v>13</v>
      </c>
      <c r="AJ475" s="1">
        <v>4.1935483870967745E-2</v>
      </c>
    </row>
    <row r="476" spans="1:36" x14ac:dyDescent="0.3">
      <c r="A476" t="s">
        <v>140</v>
      </c>
      <c r="B476" t="s">
        <v>722</v>
      </c>
      <c r="C476" t="s">
        <v>699</v>
      </c>
      <c r="D476" t="s">
        <v>700</v>
      </c>
      <c r="E476">
        <v>21175</v>
      </c>
      <c r="F476" s="1" t="s">
        <v>700</v>
      </c>
      <c r="G476">
        <v>26963</v>
      </c>
      <c r="H476" s="1" t="s">
        <v>700</v>
      </c>
      <c r="I476" t="s">
        <v>700</v>
      </c>
      <c r="J476">
        <v>5788</v>
      </c>
      <c r="K476" s="1" t="s">
        <v>700</v>
      </c>
      <c r="L476">
        <v>32281</v>
      </c>
      <c r="M476" s="1" t="s">
        <v>700</v>
      </c>
      <c r="N476" t="s">
        <v>700</v>
      </c>
      <c r="O476">
        <v>5318</v>
      </c>
      <c r="P476" s="1" t="s">
        <v>700</v>
      </c>
      <c r="Q476">
        <v>41282</v>
      </c>
      <c r="R476" s="1" t="s">
        <v>700</v>
      </c>
      <c r="S476" t="s">
        <v>700</v>
      </c>
      <c r="T476">
        <v>9001</v>
      </c>
      <c r="U476" s="1" t="s">
        <v>700</v>
      </c>
      <c r="V476">
        <v>43714</v>
      </c>
      <c r="Y476">
        <v>2432</v>
      </c>
      <c r="AA476">
        <v>43838</v>
      </c>
      <c r="AD476">
        <v>124</v>
      </c>
      <c r="AF476">
        <v>44200</v>
      </c>
      <c r="AI476">
        <v>362</v>
      </c>
    </row>
    <row r="477" spans="1:36" x14ac:dyDescent="0.3">
      <c r="A477" t="s">
        <v>140</v>
      </c>
      <c r="B477" t="s">
        <v>722</v>
      </c>
      <c r="C477" t="s">
        <v>619</v>
      </c>
      <c r="D477" t="s">
        <v>700</v>
      </c>
      <c r="E477">
        <v>14529</v>
      </c>
      <c r="F477" s="1">
        <v>0.73620000000000008</v>
      </c>
      <c r="G477">
        <v>18626</v>
      </c>
      <c r="H477" s="1">
        <v>0.74150000000000005</v>
      </c>
      <c r="I477">
        <v>0.53</v>
      </c>
      <c r="J477">
        <v>4097</v>
      </c>
      <c r="K477" s="1">
        <v>0.7611</v>
      </c>
      <c r="L477">
        <v>22337</v>
      </c>
      <c r="M477" s="1">
        <v>0.7427592857380374</v>
      </c>
      <c r="N477">
        <v>0.66</v>
      </c>
      <c r="O477">
        <v>3711</v>
      </c>
      <c r="P477" s="1">
        <v>0.74894046417759841</v>
      </c>
      <c r="Q477">
        <v>28721</v>
      </c>
      <c r="R477" s="1">
        <v>0.74704780731415488</v>
      </c>
      <c r="S477">
        <v>1.08</v>
      </c>
      <c r="T477">
        <v>6384</v>
      </c>
      <c r="U477" s="1">
        <v>0.76245073450376211</v>
      </c>
      <c r="V477">
        <v>30327</v>
      </c>
      <c r="W477" s="1">
        <v>0.74572145175568016</v>
      </c>
      <c r="X477">
        <v>0.95</v>
      </c>
      <c r="Y477">
        <v>1606</v>
      </c>
      <c r="Z477" s="1">
        <v>0.72277227722772275</v>
      </c>
      <c r="AA477">
        <v>30422</v>
      </c>
      <c r="AB477" s="1">
        <v>0.74530844235386351</v>
      </c>
      <c r="AC477">
        <v>0.91</v>
      </c>
      <c r="AD477">
        <v>95</v>
      </c>
      <c r="AE477" s="1">
        <v>0.6333333333333333</v>
      </c>
      <c r="AF477">
        <v>30680</v>
      </c>
      <c r="AG477" s="1">
        <v>0.74518471739816861</v>
      </c>
      <c r="AH477">
        <v>0.9</v>
      </c>
      <c r="AI477">
        <v>258</v>
      </c>
      <c r="AJ477" s="1">
        <v>0.73087818696883855</v>
      </c>
    </row>
    <row r="478" spans="1:36" x14ac:dyDescent="0.3">
      <c r="A478" t="s">
        <v>140</v>
      </c>
      <c r="B478" t="s">
        <v>722</v>
      </c>
      <c r="C478" t="s">
        <v>620</v>
      </c>
      <c r="D478" t="s">
        <v>700</v>
      </c>
      <c r="E478">
        <v>4891</v>
      </c>
      <c r="F478" s="1">
        <v>0.24780000000000002</v>
      </c>
      <c r="G478">
        <v>6111</v>
      </c>
      <c r="H478" s="1">
        <v>0.24329999999999999</v>
      </c>
      <c r="I478">
        <v>-0.45</v>
      </c>
      <c r="J478">
        <v>1220</v>
      </c>
      <c r="K478" s="1">
        <v>0.2266</v>
      </c>
      <c r="L478">
        <v>7272</v>
      </c>
      <c r="M478" s="1">
        <v>0.24181159179330297</v>
      </c>
      <c r="N478">
        <v>-0.6</v>
      </c>
      <c r="O478">
        <v>1161</v>
      </c>
      <c r="P478" s="1">
        <v>0.23430877901109989</v>
      </c>
      <c r="Q478">
        <v>9237</v>
      </c>
      <c r="R478" s="1">
        <v>0.24025906466212349</v>
      </c>
      <c r="S478">
        <v>-0.75</v>
      </c>
      <c r="T478">
        <v>1965</v>
      </c>
      <c r="U478" s="1">
        <v>0.23468290935148692</v>
      </c>
      <c r="V478">
        <v>9860</v>
      </c>
      <c r="W478" s="1">
        <v>0.24245106717812531</v>
      </c>
      <c r="X478">
        <v>-0.53</v>
      </c>
      <c r="Y478">
        <v>623</v>
      </c>
      <c r="Z478" s="1">
        <v>0.2803780378037804</v>
      </c>
      <c r="AA478">
        <v>9910</v>
      </c>
      <c r="AB478" s="1">
        <v>0.24278504581312166</v>
      </c>
      <c r="AC478">
        <v>-0.5</v>
      </c>
      <c r="AD478">
        <v>50</v>
      </c>
      <c r="AE478" s="1">
        <v>0.33333333333333331</v>
      </c>
      <c r="AF478">
        <v>9999</v>
      </c>
      <c r="AG478" s="1">
        <v>0.24286512350926623</v>
      </c>
      <c r="AH478">
        <v>-0.49</v>
      </c>
      <c r="AI478">
        <v>89</v>
      </c>
      <c r="AJ478" s="1">
        <v>0.25212464589235128</v>
      </c>
    </row>
    <row r="479" spans="1:36" x14ac:dyDescent="0.3">
      <c r="A479" t="s">
        <v>140</v>
      </c>
      <c r="B479" t="s">
        <v>722</v>
      </c>
      <c r="C479" t="s">
        <v>404</v>
      </c>
      <c r="D479" t="s">
        <v>700</v>
      </c>
      <c r="E479">
        <v>315</v>
      </c>
      <c r="F479" s="1">
        <v>1.6E-2</v>
      </c>
      <c r="G479">
        <v>381</v>
      </c>
      <c r="H479" s="1">
        <v>1.52E-2</v>
      </c>
      <c r="I479">
        <v>-0.08</v>
      </c>
      <c r="J479">
        <v>66</v>
      </c>
      <c r="K479" s="1">
        <v>1.23E-2</v>
      </c>
      <c r="L479">
        <v>464</v>
      </c>
      <c r="M479" s="1">
        <v>1.5429122468659595E-2</v>
      </c>
      <c r="N479">
        <v>-0.06</v>
      </c>
      <c r="O479">
        <v>83</v>
      </c>
      <c r="P479" s="1">
        <v>1.6750756811301715E-2</v>
      </c>
      <c r="Q479">
        <v>488</v>
      </c>
      <c r="R479" s="1">
        <v>1.2693128023721583E-2</v>
      </c>
      <c r="S479">
        <v>-0.33</v>
      </c>
      <c r="T479">
        <v>24</v>
      </c>
      <c r="U479" s="1">
        <v>2.8663561447509851E-3</v>
      </c>
      <c r="V479">
        <v>481</v>
      </c>
      <c r="W479" s="1">
        <v>1.1827481066194551E-2</v>
      </c>
      <c r="X479">
        <v>-0.42</v>
      </c>
      <c r="Y479">
        <v>-7</v>
      </c>
      <c r="Z479" s="1">
        <v>-3.1503150315031502E-3</v>
      </c>
      <c r="AA479">
        <v>486</v>
      </c>
      <c r="AB479" s="1">
        <v>1.1906511833014846E-2</v>
      </c>
      <c r="AC479">
        <v>-0.41</v>
      </c>
      <c r="AD479">
        <v>5</v>
      </c>
      <c r="AE479" s="1">
        <v>3.3333333333333333E-2</v>
      </c>
      <c r="AF479">
        <v>492</v>
      </c>
      <c r="AG479" s="1">
        <v>1.1950159092565155E-2</v>
      </c>
      <c r="AH479">
        <v>-0.4</v>
      </c>
      <c r="AI479">
        <v>6</v>
      </c>
      <c r="AJ479" s="1">
        <v>1.69971671388102E-2</v>
      </c>
    </row>
    <row r="480" spans="1:36" x14ac:dyDescent="0.3">
      <c r="A480" t="s">
        <v>76</v>
      </c>
      <c r="B480">
        <v>174358</v>
      </c>
      <c r="C480" t="s">
        <v>699</v>
      </c>
      <c r="E480">
        <v>22607</v>
      </c>
      <c r="F480" s="1" t="s">
        <v>700</v>
      </c>
      <c r="G480">
        <v>26291</v>
      </c>
      <c r="H480" s="1" t="s">
        <v>700</v>
      </c>
      <c r="I480" t="s">
        <v>700</v>
      </c>
      <c r="J480">
        <v>3684</v>
      </c>
      <c r="K480" s="1" t="s">
        <v>700</v>
      </c>
      <c r="L480">
        <v>29839</v>
      </c>
      <c r="M480" s="1" t="s">
        <v>700</v>
      </c>
      <c r="N480" t="s">
        <v>700</v>
      </c>
      <c r="O480">
        <v>3548</v>
      </c>
      <c r="P480" s="1" t="s">
        <v>700</v>
      </c>
      <c r="Q480">
        <v>37923</v>
      </c>
      <c r="R480" s="1" t="s">
        <v>700</v>
      </c>
      <c r="S480" t="s">
        <v>700</v>
      </c>
      <c r="T480">
        <v>8084</v>
      </c>
      <c r="U480" s="1" t="s">
        <v>700</v>
      </c>
      <c r="V480">
        <v>42227</v>
      </c>
      <c r="Y480">
        <v>4304</v>
      </c>
      <c r="AA480">
        <v>48702</v>
      </c>
      <c r="AD480">
        <v>6475</v>
      </c>
      <c r="AF480">
        <v>51161</v>
      </c>
      <c r="AI480">
        <v>2459</v>
      </c>
    </row>
    <row r="481" spans="1:36" x14ac:dyDescent="0.3">
      <c r="A481" t="s">
        <v>76</v>
      </c>
      <c r="B481">
        <v>174358</v>
      </c>
      <c r="C481" t="s">
        <v>434</v>
      </c>
      <c r="D481" t="s">
        <v>399</v>
      </c>
      <c r="E481">
        <v>10955</v>
      </c>
      <c r="F481" s="1">
        <v>0.49170000000000003</v>
      </c>
      <c r="G481">
        <v>12821</v>
      </c>
      <c r="H481" s="1">
        <v>0.49509999999999998</v>
      </c>
      <c r="I481">
        <v>0.34</v>
      </c>
      <c r="J481">
        <v>1866</v>
      </c>
      <c r="K481" s="1">
        <v>0.51619999999999999</v>
      </c>
      <c r="L481">
        <v>14544</v>
      </c>
      <c r="M481" s="1">
        <v>0.49462658141749422</v>
      </c>
      <c r="N481">
        <v>0.28999999999999998</v>
      </c>
      <c r="O481">
        <v>1723</v>
      </c>
      <c r="P481" s="1">
        <v>0.49102308349957252</v>
      </c>
      <c r="Q481">
        <v>18429</v>
      </c>
      <c r="R481" s="1">
        <v>0.49410156040538367</v>
      </c>
      <c r="S481">
        <v>0.24</v>
      </c>
      <c r="T481">
        <v>3885</v>
      </c>
      <c r="U481" s="1">
        <v>0.49214593362047127</v>
      </c>
      <c r="V481">
        <v>20565</v>
      </c>
      <c r="W481" s="1">
        <v>0.49568549942151946</v>
      </c>
      <c r="X481">
        <v>0.4</v>
      </c>
      <c r="Y481">
        <v>2136</v>
      </c>
      <c r="Z481" s="1">
        <v>0.50978520286396178</v>
      </c>
      <c r="AA481">
        <v>23308</v>
      </c>
      <c r="AB481" s="1">
        <v>0.48692236985042198</v>
      </c>
      <c r="AC481">
        <v>-0.48</v>
      </c>
      <c r="AD481">
        <v>2743</v>
      </c>
      <c r="AE481" s="1">
        <v>0.42993730407523512</v>
      </c>
      <c r="AF481">
        <v>24574</v>
      </c>
      <c r="AG481" s="1">
        <v>0.48877220200091492</v>
      </c>
      <c r="AH481">
        <v>-0.28999999999999998</v>
      </c>
      <c r="AI481">
        <v>1266</v>
      </c>
      <c r="AJ481" s="1">
        <v>0.52552926525529264</v>
      </c>
    </row>
    <row r="482" spans="1:36" x14ac:dyDescent="0.3">
      <c r="A482" t="s">
        <v>76</v>
      </c>
      <c r="B482">
        <v>174358</v>
      </c>
      <c r="C482" t="s">
        <v>435</v>
      </c>
      <c r="D482" t="s">
        <v>401</v>
      </c>
      <c r="E482">
        <v>11298</v>
      </c>
      <c r="F482" s="1">
        <v>0.5071</v>
      </c>
      <c r="G482">
        <v>13039</v>
      </c>
      <c r="H482" s="1">
        <v>0.50350000000000006</v>
      </c>
      <c r="I482">
        <v>-0.36</v>
      </c>
      <c r="J482">
        <v>1741</v>
      </c>
      <c r="K482" s="1">
        <v>0.48159999999999997</v>
      </c>
      <c r="L482">
        <v>14823</v>
      </c>
      <c r="M482" s="1">
        <v>0.50411508638280511</v>
      </c>
      <c r="N482">
        <v>-0.3</v>
      </c>
      <c r="O482">
        <v>1784</v>
      </c>
      <c r="P482" s="1">
        <v>0.50840695354801935</v>
      </c>
      <c r="Q482">
        <v>18825</v>
      </c>
      <c r="R482" s="1">
        <v>0.50471875167569302</v>
      </c>
      <c r="S482">
        <v>-0.24</v>
      </c>
      <c r="T482">
        <v>4002</v>
      </c>
      <c r="U482" s="1">
        <v>0.50696731694958197</v>
      </c>
      <c r="V482">
        <v>20873</v>
      </c>
      <c r="W482" s="1">
        <v>0.5031093328191284</v>
      </c>
      <c r="X482">
        <v>-0.4</v>
      </c>
      <c r="Y482">
        <v>2048</v>
      </c>
      <c r="Z482" s="1">
        <v>0.48878281622911696</v>
      </c>
      <c r="AA482">
        <v>24507</v>
      </c>
      <c r="AB482" s="1">
        <v>0.511970418651291</v>
      </c>
      <c r="AC482">
        <v>0.49</v>
      </c>
      <c r="AD482">
        <v>3634</v>
      </c>
      <c r="AE482" s="1">
        <v>0.56959247648902822</v>
      </c>
      <c r="AF482">
        <v>25643</v>
      </c>
      <c r="AG482" s="1">
        <v>0.51003440937207867</v>
      </c>
      <c r="AH482">
        <v>0.28999999999999998</v>
      </c>
      <c r="AI482">
        <v>1136</v>
      </c>
      <c r="AJ482" s="1">
        <v>0.47156496471564963</v>
      </c>
    </row>
    <row r="483" spans="1:36" x14ac:dyDescent="0.3">
      <c r="A483" t="s">
        <v>76</v>
      </c>
      <c r="B483">
        <v>174358</v>
      </c>
      <c r="C483" t="s">
        <v>402</v>
      </c>
      <c r="E483">
        <v>27</v>
      </c>
      <c r="F483" s="1">
        <v>1.1999999999999999E-3</v>
      </c>
      <c r="G483">
        <v>35</v>
      </c>
      <c r="H483" s="1">
        <v>1.4000000000000002E-3</v>
      </c>
      <c r="I483">
        <v>0.02</v>
      </c>
      <c r="J483">
        <v>8</v>
      </c>
      <c r="K483" s="1">
        <v>2.2000000000000001E-3</v>
      </c>
      <c r="L483">
        <v>37</v>
      </c>
      <c r="M483" s="1">
        <v>1.258332199700721E-3</v>
      </c>
      <c r="N483">
        <v>0.01</v>
      </c>
      <c r="O483">
        <v>2</v>
      </c>
      <c r="P483" s="1">
        <v>5.699629524080935E-4</v>
      </c>
      <c r="Q483">
        <v>44</v>
      </c>
      <c r="R483" s="1">
        <v>1.1796879189232667E-3</v>
      </c>
      <c r="S483">
        <v>0</v>
      </c>
      <c r="T483">
        <v>7</v>
      </c>
      <c r="U483" s="1">
        <v>8.8674942994679501E-4</v>
      </c>
      <c r="V483">
        <v>50</v>
      </c>
      <c r="W483" s="1">
        <v>1.2051677593521019E-3</v>
      </c>
      <c r="X483">
        <v>0</v>
      </c>
      <c r="Y483">
        <v>6</v>
      </c>
      <c r="Z483" s="1">
        <v>1.431980906921241E-3</v>
      </c>
      <c r="AA483">
        <v>53</v>
      </c>
      <c r="AB483" s="1">
        <v>1.1072114982869558E-3</v>
      </c>
      <c r="AC483">
        <v>-0.01</v>
      </c>
      <c r="AD483">
        <v>3</v>
      </c>
      <c r="AE483" s="1">
        <v>4.7021943573667712E-4</v>
      </c>
      <c r="AF483">
        <v>60</v>
      </c>
      <c r="AG483" s="1">
        <v>1.1933886270063846E-3</v>
      </c>
      <c r="AH483">
        <v>0</v>
      </c>
      <c r="AI483">
        <v>7</v>
      </c>
      <c r="AJ483" s="1">
        <v>2.9057700290577005E-3</v>
      </c>
    </row>
    <row r="484" spans="1:36" x14ac:dyDescent="0.3">
      <c r="A484" t="s">
        <v>76</v>
      </c>
      <c r="B484">
        <v>174358</v>
      </c>
      <c r="C484" t="s">
        <v>701</v>
      </c>
      <c r="E484">
        <v>0</v>
      </c>
      <c r="F484" s="1" t="s">
        <v>700</v>
      </c>
      <c r="G484">
        <v>0</v>
      </c>
      <c r="H484" s="1" t="s">
        <v>700</v>
      </c>
      <c r="I484" t="s">
        <v>700</v>
      </c>
      <c r="J484" t="s">
        <v>700</v>
      </c>
      <c r="K484" s="1" t="s">
        <v>700</v>
      </c>
      <c r="L484">
        <v>0</v>
      </c>
      <c r="M484" s="1" t="s">
        <v>700</v>
      </c>
      <c r="N484" t="s">
        <v>700</v>
      </c>
      <c r="O484" t="s">
        <v>700</v>
      </c>
      <c r="P484" s="1" t="s">
        <v>700</v>
      </c>
      <c r="Q484">
        <v>0</v>
      </c>
      <c r="R484" s="1" t="s">
        <v>700</v>
      </c>
      <c r="S484" t="s">
        <v>700</v>
      </c>
      <c r="T484" t="s">
        <v>700</v>
      </c>
      <c r="U484" s="1" t="s">
        <v>700</v>
      </c>
      <c r="V484">
        <v>0</v>
      </c>
      <c r="AA484">
        <v>0</v>
      </c>
      <c r="AF484">
        <v>0</v>
      </c>
    </row>
    <row r="485" spans="1:36" x14ac:dyDescent="0.3">
      <c r="A485" t="s">
        <v>76</v>
      </c>
      <c r="B485">
        <v>174358</v>
      </c>
      <c r="C485" t="s">
        <v>702</v>
      </c>
      <c r="E485">
        <v>327</v>
      </c>
      <c r="F485" s="1" t="s">
        <v>700</v>
      </c>
      <c r="G485">
        <v>396</v>
      </c>
      <c r="H485" s="1" t="s">
        <v>700</v>
      </c>
      <c r="I485" t="s">
        <v>700</v>
      </c>
      <c r="J485">
        <v>69</v>
      </c>
      <c r="K485" s="1" t="s">
        <v>700</v>
      </c>
      <c r="L485">
        <v>435</v>
      </c>
      <c r="M485" s="1" t="s">
        <v>700</v>
      </c>
      <c r="N485" t="s">
        <v>700</v>
      </c>
      <c r="O485">
        <v>39</v>
      </c>
      <c r="P485" s="1" t="s">
        <v>700</v>
      </c>
      <c r="Q485">
        <v>625</v>
      </c>
      <c r="R485" s="1" t="s">
        <v>700</v>
      </c>
      <c r="S485" t="s">
        <v>700</v>
      </c>
      <c r="T485">
        <v>190</v>
      </c>
      <c r="U485" s="1" t="s">
        <v>700</v>
      </c>
      <c r="V485">
        <v>739</v>
      </c>
      <c r="Y485">
        <v>114</v>
      </c>
      <c r="AA485">
        <v>829</v>
      </c>
      <c r="AD485">
        <v>90</v>
      </c>
      <c r="AF485">
        <v>884</v>
      </c>
      <c r="AI485">
        <v>55</v>
      </c>
    </row>
    <row r="486" spans="1:36" x14ac:dyDescent="0.3">
      <c r="A486" t="s">
        <v>78</v>
      </c>
      <c r="B486">
        <v>179284</v>
      </c>
      <c r="C486" t="s">
        <v>699</v>
      </c>
      <c r="E486">
        <v>22607</v>
      </c>
      <c r="F486" s="1" t="s">
        <v>700</v>
      </c>
      <c r="G486">
        <v>26291</v>
      </c>
      <c r="H486" s="1" t="s">
        <v>700</v>
      </c>
      <c r="I486" t="s">
        <v>700</v>
      </c>
      <c r="J486">
        <v>3684</v>
      </c>
      <c r="K486" s="1" t="s">
        <v>700</v>
      </c>
      <c r="L486">
        <v>29839</v>
      </c>
      <c r="M486" s="1" t="s">
        <v>700</v>
      </c>
      <c r="N486" t="s">
        <v>700</v>
      </c>
      <c r="O486">
        <v>3548</v>
      </c>
      <c r="P486" s="1" t="s">
        <v>700</v>
      </c>
      <c r="Q486">
        <v>37923</v>
      </c>
      <c r="R486" s="1" t="s">
        <v>700</v>
      </c>
      <c r="S486" t="s">
        <v>700</v>
      </c>
      <c r="T486">
        <v>8084</v>
      </c>
      <c r="U486" s="1" t="s">
        <v>700</v>
      </c>
      <c r="V486">
        <v>42227</v>
      </c>
      <c r="Y486">
        <v>4304</v>
      </c>
      <c r="AA486">
        <v>48702</v>
      </c>
      <c r="AD486">
        <v>6475</v>
      </c>
      <c r="AF486">
        <v>51161</v>
      </c>
      <c r="AI486">
        <v>2459</v>
      </c>
    </row>
    <row r="487" spans="1:36" x14ac:dyDescent="0.3">
      <c r="A487" t="s">
        <v>78</v>
      </c>
      <c r="B487">
        <v>179284</v>
      </c>
      <c r="C487" t="s">
        <v>621</v>
      </c>
      <c r="D487" t="s">
        <v>401</v>
      </c>
      <c r="E487">
        <v>11730</v>
      </c>
      <c r="F487" s="1">
        <v>0.52839999999999998</v>
      </c>
      <c r="G487">
        <v>13548</v>
      </c>
      <c r="H487" s="1">
        <v>0.52510000000000001</v>
      </c>
      <c r="I487">
        <v>-0.33</v>
      </c>
      <c r="J487">
        <v>1818</v>
      </c>
      <c r="K487" s="1">
        <v>0.50470000000000004</v>
      </c>
      <c r="L487">
        <v>15398</v>
      </c>
      <c r="M487" s="1">
        <v>0.52587001810047473</v>
      </c>
      <c r="N487">
        <v>-0.25</v>
      </c>
      <c r="O487">
        <v>1850</v>
      </c>
      <c r="P487" s="1">
        <v>0.53176200057487788</v>
      </c>
      <c r="Q487">
        <v>19585</v>
      </c>
      <c r="R487" s="1">
        <v>0.52728643351371729</v>
      </c>
      <c r="S487">
        <v>-0.11</v>
      </c>
      <c r="T487">
        <v>4187</v>
      </c>
      <c r="U487" s="1">
        <v>0.53256168913762403</v>
      </c>
      <c r="V487">
        <v>21737</v>
      </c>
      <c r="W487" s="1">
        <v>0.52588667924710897</v>
      </c>
      <c r="X487">
        <v>-0.25</v>
      </c>
      <c r="Y487">
        <v>2152</v>
      </c>
      <c r="Z487" s="1">
        <v>0.51348126938678118</v>
      </c>
      <c r="AA487">
        <v>25461</v>
      </c>
      <c r="AB487" s="1">
        <v>0.53412070737796047</v>
      </c>
      <c r="AC487">
        <v>0.56999999999999995</v>
      </c>
      <c r="AD487">
        <v>3724</v>
      </c>
      <c r="AE487" s="1">
        <v>0.5878453038674033</v>
      </c>
      <c r="AF487">
        <v>26669</v>
      </c>
      <c r="AG487" s="1">
        <v>0.53264494996904277</v>
      </c>
      <c r="AH487">
        <v>0.42</v>
      </c>
      <c r="AI487">
        <v>1208</v>
      </c>
      <c r="AJ487" s="1">
        <v>0.5033333333333333</v>
      </c>
    </row>
    <row r="488" spans="1:36" x14ac:dyDescent="0.3">
      <c r="A488" t="s">
        <v>78</v>
      </c>
      <c r="B488">
        <v>179284</v>
      </c>
      <c r="C488" t="s">
        <v>622</v>
      </c>
      <c r="D488" t="s">
        <v>399</v>
      </c>
      <c r="E488">
        <v>4080</v>
      </c>
      <c r="F488" s="1">
        <v>0.18379999999999999</v>
      </c>
      <c r="G488">
        <v>4693</v>
      </c>
      <c r="H488" s="1">
        <v>0.18190000000000001</v>
      </c>
      <c r="I488">
        <v>-0.19</v>
      </c>
      <c r="J488">
        <v>613</v>
      </c>
      <c r="K488" s="1">
        <v>0.17019999999999999</v>
      </c>
      <c r="L488">
        <v>5419</v>
      </c>
      <c r="M488" s="1">
        <v>0.18506881595573921</v>
      </c>
      <c r="N488">
        <v>0.13</v>
      </c>
      <c r="O488">
        <v>726</v>
      </c>
      <c r="P488" s="1">
        <v>0.20868065536073585</v>
      </c>
      <c r="Q488">
        <v>6828</v>
      </c>
      <c r="R488" s="1">
        <v>0.18383006219206849</v>
      </c>
      <c r="S488">
        <v>0</v>
      </c>
      <c r="T488">
        <v>1409</v>
      </c>
      <c r="U488" s="1">
        <v>0.17921648435512591</v>
      </c>
      <c r="V488">
        <v>7611</v>
      </c>
      <c r="W488" s="1">
        <v>0.18413412686892147</v>
      </c>
      <c r="X488">
        <v>0.03</v>
      </c>
      <c r="Y488">
        <v>783</v>
      </c>
      <c r="Z488" s="1">
        <v>0.18682891911238367</v>
      </c>
      <c r="AA488">
        <v>8781</v>
      </c>
      <c r="AB488" s="1">
        <v>0.18420776605340997</v>
      </c>
      <c r="AC488">
        <v>0.04</v>
      </c>
      <c r="AD488">
        <v>1170</v>
      </c>
      <c r="AE488" s="1">
        <v>0.18468823993685873</v>
      </c>
      <c r="AF488">
        <v>9320</v>
      </c>
      <c r="AG488" s="1">
        <v>0.18614312249096246</v>
      </c>
      <c r="AH488">
        <v>0.23</v>
      </c>
      <c r="AI488">
        <v>539</v>
      </c>
      <c r="AJ488" s="1">
        <v>0.22458333333333333</v>
      </c>
    </row>
    <row r="489" spans="1:36" x14ac:dyDescent="0.3">
      <c r="A489" t="s">
        <v>78</v>
      </c>
      <c r="B489">
        <v>179284</v>
      </c>
      <c r="C489" t="s">
        <v>623</v>
      </c>
      <c r="D489" t="s">
        <v>399</v>
      </c>
      <c r="E489">
        <v>6373</v>
      </c>
      <c r="F489" s="1">
        <v>0.28710000000000002</v>
      </c>
      <c r="G489">
        <v>7544</v>
      </c>
      <c r="H489" s="1">
        <v>0.29239999999999999</v>
      </c>
      <c r="I489">
        <v>0.53</v>
      </c>
      <c r="J489">
        <v>1171</v>
      </c>
      <c r="K489" s="1">
        <v>0.3251</v>
      </c>
      <c r="L489">
        <v>8446</v>
      </c>
      <c r="M489" s="1">
        <v>0.28844643284040844</v>
      </c>
      <c r="N489">
        <v>0.13</v>
      </c>
      <c r="O489">
        <v>902</v>
      </c>
      <c r="P489" s="1">
        <v>0.25926990514515663</v>
      </c>
      <c r="Q489">
        <v>10709</v>
      </c>
      <c r="R489" s="1">
        <v>0.28831812185337746</v>
      </c>
      <c r="S489">
        <v>0.12</v>
      </c>
      <c r="T489">
        <v>2263</v>
      </c>
      <c r="U489" s="1">
        <v>0.28784024421266852</v>
      </c>
      <c r="V489">
        <v>11959</v>
      </c>
      <c r="W489" s="1">
        <v>0.28932597861324816</v>
      </c>
      <c r="X489">
        <v>0.22</v>
      </c>
      <c r="Y489">
        <v>1250</v>
      </c>
      <c r="Z489" s="1">
        <v>0.29825817227392032</v>
      </c>
      <c r="AA489">
        <v>13399</v>
      </c>
      <c r="AB489" s="1">
        <v>0.28108414273427174</v>
      </c>
      <c r="AC489">
        <v>-0.6</v>
      </c>
      <c r="AD489">
        <v>1440</v>
      </c>
      <c r="AE489" s="1">
        <v>0.22730860299921074</v>
      </c>
      <c r="AF489">
        <v>14047</v>
      </c>
      <c r="AG489" s="1">
        <v>0.28055283708482293</v>
      </c>
      <c r="AH489">
        <v>-0.65</v>
      </c>
      <c r="AI489">
        <v>648</v>
      </c>
      <c r="AJ489" s="1">
        <v>0.27</v>
      </c>
    </row>
    <row r="490" spans="1:36" x14ac:dyDescent="0.3">
      <c r="A490" t="s">
        <v>78</v>
      </c>
      <c r="B490">
        <v>179284</v>
      </c>
      <c r="C490" t="s">
        <v>402</v>
      </c>
      <c r="E490">
        <v>17</v>
      </c>
      <c r="F490" s="1">
        <v>8.0000000000000004E-4</v>
      </c>
      <c r="G490">
        <v>17</v>
      </c>
      <c r="H490" s="1">
        <v>7.000000000000001E-4</v>
      </c>
      <c r="I490">
        <v>-0.01</v>
      </c>
      <c r="J490">
        <v>0</v>
      </c>
      <c r="K490" s="1" t="s">
        <v>700</v>
      </c>
      <c r="L490">
        <v>18</v>
      </c>
      <c r="M490" s="1">
        <v>6.1473310337761692E-4</v>
      </c>
      <c r="N490">
        <v>-0.02</v>
      </c>
      <c r="O490">
        <v>1</v>
      </c>
      <c r="P490" s="1">
        <v>2.8743891922966368E-4</v>
      </c>
      <c r="Q490">
        <v>21</v>
      </c>
      <c r="R490" s="1">
        <v>5.6538244083676598E-4</v>
      </c>
      <c r="S490">
        <v>-0.02</v>
      </c>
      <c r="T490">
        <v>3</v>
      </c>
      <c r="U490" s="1">
        <v>3.8158229458153142E-4</v>
      </c>
      <c r="V490">
        <v>27</v>
      </c>
      <c r="W490" s="1">
        <v>6.5321527072144002E-4</v>
      </c>
      <c r="X490">
        <v>-0.01</v>
      </c>
      <c r="Y490">
        <v>6</v>
      </c>
      <c r="Z490" s="1">
        <v>1.4316392269148174E-3</v>
      </c>
      <c r="AA490">
        <v>28</v>
      </c>
      <c r="AB490" s="1">
        <v>5.8738383435775869E-4</v>
      </c>
      <c r="AC490">
        <v>-0.02</v>
      </c>
      <c r="AD490">
        <v>1</v>
      </c>
      <c r="AE490" s="1">
        <v>1.5785319652722967E-4</v>
      </c>
      <c r="AF490">
        <v>33</v>
      </c>
      <c r="AG490" s="1">
        <v>6.5909045517186285E-4</v>
      </c>
      <c r="AH490">
        <v>-0.01</v>
      </c>
      <c r="AI490">
        <v>5</v>
      </c>
      <c r="AJ490" s="1">
        <v>2.0833333333333333E-3</v>
      </c>
    </row>
    <row r="491" spans="1:36" x14ac:dyDescent="0.3">
      <c r="A491" t="s">
        <v>78</v>
      </c>
      <c r="B491">
        <v>179284</v>
      </c>
      <c r="C491" t="s">
        <v>701</v>
      </c>
      <c r="E491">
        <v>4</v>
      </c>
      <c r="F491" s="1" t="s">
        <v>700</v>
      </c>
      <c r="G491">
        <v>4</v>
      </c>
      <c r="H491" s="1" t="s">
        <v>700</v>
      </c>
      <c r="I491" t="s">
        <v>700</v>
      </c>
      <c r="J491">
        <v>0</v>
      </c>
      <c r="K491" s="1" t="s">
        <v>700</v>
      </c>
      <c r="L491">
        <v>4</v>
      </c>
      <c r="M491" s="1" t="s">
        <v>700</v>
      </c>
      <c r="N491" t="s">
        <v>700</v>
      </c>
      <c r="O491">
        <v>0</v>
      </c>
      <c r="P491" s="1" t="s">
        <v>700</v>
      </c>
      <c r="Q491">
        <v>5</v>
      </c>
      <c r="R491" s="1" t="s">
        <v>700</v>
      </c>
      <c r="S491" t="s">
        <v>700</v>
      </c>
      <c r="T491">
        <v>1</v>
      </c>
      <c r="U491" s="1" t="s">
        <v>700</v>
      </c>
      <c r="V491">
        <v>5</v>
      </c>
      <c r="Y491">
        <v>0</v>
      </c>
      <c r="AA491">
        <v>5</v>
      </c>
      <c r="AD491">
        <v>0</v>
      </c>
      <c r="AF491">
        <v>6</v>
      </c>
      <c r="AI491">
        <v>1</v>
      </c>
    </row>
    <row r="492" spans="1:36" x14ac:dyDescent="0.3">
      <c r="A492" t="s">
        <v>78</v>
      </c>
      <c r="B492">
        <v>179284</v>
      </c>
      <c r="C492" t="s">
        <v>702</v>
      </c>
      <c r="E492">
        <v>403</v>
      </c>
      <c r="F492" s="1" t="s">
        <v>700</v>
      </c>
      <c r="G492">
        <v>485</v>
      </c>
      <c r="H492" s="1" t="s">
        <v>700</v>
      </c>
      <c r="I492" t="s">
        <v>700</v>
      </c>
      <c r="J492">
        <v>82</v>
      </c>
      <c r="K492" s="1" t="s">
        <v>700</v>
      </c>
      <c r="L492">
        <v>554</v>
      </c>
      <c r="M492" s="1" t="s">
        <v>700</v>
      </c>
      <c r="N492" t="s">
        <v>700</v>
      </c>
      <c r="O492">
        <v>69</v>
      </c>
      <c r="P492" s="1" t="s">
        <v>700</v>
      </c>
      <c r="Q492">
        <v>775</v>
      </c>
      <c r="R492" s="1" t="s">
        <v>700</v>
      </c>
      <c r="S492" t="s">
        <v>700</v>
      </c>
      <c r="T492">
        <v>221</v>
      </c>
      <c r="U492" s="1" t="s">
        <v>700</v>
      </c>
      <c r="V492">
        <v>888</v>
      </c>
      <c r="Y492">
        <v>113</v>
      </c>
      <c r="AA492">
        <v>1024</v>
      </c>
      <c r="AD492">
        <v>136</v>
      </c>
      <c r="AF492">
        <v>1086</v>
      </c>
      <c r="AI492">
        <v>62</v>
      </c>
    </row>
    <row r="493" spans="1:36" x14ac:dyDescent="0.3">
      <c r="A493" t="s">
        <v>80</v>
      </c>
      <c r="B493">
        <v>170658</v>
      </c>
      <c r="C493" t="s">
        <v>699</v>
      </c>
      <c r="E493">
        <v>22607</v>
      </c>
      <c r="F493" s="1" t="s">
        <v>700</v>
      </c>
      <c r="G493">
        <v>26291</v>
      </c>
      <c r="H493" s="1" t="s">
        <v>700</v>
      </c>
      <c r="I493" t="s">
        <v>700</v>
      </c>
      <c r="J493">
        <v>3684</v>
      </c>
      <c r="K493" s="1" t="s">
        <v>700</v>
      </c>
      <c r="L493">
        <v>29839</v>
      </c>
      <c r="M493" s="1" t="s">
        <v>700</v>
      </c>
      <c r="N493" t="s">
        <v>700</v>
      </c>
      <c r="O493">
        <v>3548</v>
      </c>
      <c r="P493" s="1" t="s">
        <v>700</v>
      </c>
      <c r="Q493">
        <v>37923</v>
      </c>
      <c r="R493" s="1" t="s">
        <v>700</v>
      </c>
      <c r="S493" t="s">
        <v>700</v>
      </c>
      <c r="T493">
        <v>8084</v>
      </c>
      <c r="U493" s="1" t="s">
        <v>700</v>
      </c>
      <c r="V493">
        <v>42227</v>
      </c>
      <c r="Y493">
        <v>4304</v>
      </c>
      <c r="AA493">
        <v>48702</v>
      </c>
      <c r="AD493">
        <v>6475</v>
      </c>
      <c r="AF493">
        <v>51161</v>
      </c>
      <c r="AI493">
        <v>2459</v>
      </c>
    </row>
    <row r="494" spans="1:36" x14ac:dyDescent="0.3">
      <c r="A494" t="s">
        <v>80</v>
      </c>
      <c r="B494">
        <v>170658</v>
      </c>
      <c r="C494" t="s">
        <v>624</v>
      </c>
      <c r="D494" t="s">
        <v>401</v>
      </c>
      <c r="E494">
        <v>11752</v>
      </c>
      <c r="F494" s="1">
        <v>0.53</v>
      </c>
      <c r="G494">
        <v>13618</v>
      </c>
      <c r="H494" s="1">
        <v>0.52810000000000001</v>
      </c>
      <c r="I494">
        <v>-0.19</v>
      </c>
      <c r="J494">
        <v>1866</v>
      </c>
      <c r="K494" s="1">
        <v>0.51629999999999998</v>
      </c>
      <c r="L494">
        <v>15479</v>
      </c>
      <c r="M494" s="1">
        <v>0.52878078775663584</v>
      </c>
      <c r="N494">
        <v>-0.12</v>
      </c>
      <c r="O494">
        <v>1861</v>
      </c>
      <c r="P494" s="1">
        <v>0.53415614236509756</v>
      </c>
      <c r="Q494">
        <v>19652</v>
      </c>
      <c r="R494" s="1">
        <v>0.52900481843387437</v>
      </c>
      <c r="S494">
        <v>-0.1</v>
      </c>
      <c r="T494">
        <v>4173</v>
      </c>
      <c r="U494" s="1">
        <v>0.52983748095479943</v>
      </c>
      <c r="V494">
        <v>21813</v>
      </c>
      <c r="W494" s="1">
        <v>0.52787861187745022</v>
      </c>
      <c r="X494">
        <v>-0.21</v>
      </c>
      <c r="Y494">
        <v>2161</v>
      </c>
      <c r="Z494" s="1">
        <v>0.51785286364725613</v>
      </c>
      <c r="AA494">
        <v>25477</v>
      </c>
      <c r="AB494" s="1">
        <v>0.5344787798686722</v>
      </c>
      <c r="AC494">
        <v>0.45</v>
      </c>
      <c r="AD494">
        <v>3664</v>
      </c>
      <c r="AE494" s="1">
        <v>0.5774625689519306</v>
      </c>
      <c r="AF494">
        <v>26651</v>
      </c>
      <c r="AG494" s="1">
        <v>0.53227481525863796</v>
      </c>
      <c r="AH494">
        <v>0.23</v>
      </c>
      <c r="AI494">
        <v>1174</v>
      </c>
      <c r="AJ494" s="1">
        <v>0.48855597170203913</v>
      </c>
    </row>
    <row r="495" spans="1:36" x14ac:dyDescent="0.3">
      <c r="A495" t="s">
        <v>80</v>
      </c>
      <c r="B495">
        <v>170658</v>
      </c>
      <c r="C495" t="s">
        <v>625</v>
      </c>
      <c r="D495" t="s">
        <v>399</v>
      </c>
      <c r="E495">
        <v>10402</v>
      </c>
      <c r="F495" s="1">
        <v>0.46909999999999996</v>
      </c>
      <c r="G495">
        <v>12149</v>
      </c>
      <c r="H495" s="1">
        <v>0.47110000000000002</v>
      </c>
      <c r="I495">
        <v>0.2</v>
      </c>
      <c r="J495">
        <v>1747</v>
      </c>
      <c r="K495" s="1">
        <v>0.48340000000000005</v>
      </c>
      <c r="L495">
        <v>13770</v>
      </c>
      <c r="M495" s="1">
        <v>0.47039934410548973</v>
      </c>
      <c r="N495">
        <v>0.13</v>
      </c>
      <c r="O495">
        <v>1621</v>
      </c>
      <c r="P495" s="1">
        <v>0.46526980482204361</v>
      </c>
      <c r="Q495">
        <v>17461</v>
      </c>
      <c r="R495" s="1">
        <v>0.47002611106624675</v>
      </c>
      <c r="S495">
        <v>0.09</v>
      </c>
      <c r="T495">
        <v>3691</v>
      </c>
      <c r="U495" s="1">
        <v>0.46863890299644489</v>
      </c>
      <c r="V495">
        <v>19465</v>
      </c>
      <c r="W495" s="1">
        <v>0.47105658003000822</v>
      </c>
      <c r="X495">
        <v>0.2</v>
      </c>
      <c r="Y495">
        <v>2004</v>
      </c>
      <c r="Z495" s="1">
        <v>0.4802300503235083</v>
      </c>
      <c r="AA495">
        <v>22143</v>
      </c>
      <c r="AB495" s="1">
        <v>0.46453521304046824</v>
      </c>
      <c r="AC495">
        <v>-0.46</v>
      </c>
      <c r="AD495">
        <v>2678</v>
      </c>
      <c r="AE495" s="1">
        <v>0.42206461780929866</v>
      </c>
      <c r="AF495">
        <v>23368</v>
      </c>
      <c r="AG495" s="1">
        <v>0.46670661074495706</v>
      </c>
      <c r="AH495">
        <v>-0.24</v>
      </c>
      <c r="AI495">
        <v>1225</v>
      </c>
      <c r="AJ495" s="1">
        <v>0.50977944236371198</v>
      </c>
    </row>
    <row r="496" spans="1:36" x14ac:dyDescent="0.3">
      <c r="A496" t="s">
        <v>80</v>
      </c>
      <c r="B496">
        <v>170658</v>
      </c>
      <c r="C496" t="s">
        <v>402</v>
      </c>
      <c r="E496">
        <v>21</v>
      </c>
      <c r="F496" s="1">
        <v>8.9999999999999998E-4</v>
      </c>
      <c r="G496">
        <v>22</v>
      </c>
      <c r="H496" s="1">
        <v>8.9999999999999998E-4</v>
      </c>
      <c r="I496">
        <v>0</v>
      </c>
      <c r="J496">
        <v>1</v>
      </c>
      <c r="K496" s="1">
        <v>2.9999999999999997E-4</v>
      </c>
      <c r="L496">
        <v>24</v>
      </c>
      <c r="M496" s="1">
        <v>8.1986813787449184E-4</v>
      </c>
      <c r="N496">
        <v>-0.01</v>
      </c>
      <c r="O496">
        <v>2</v>
      </c>
      <c r="P496" s="1">
        <v>5.7405281285878302E-4</v>
      </c>
      <c r="Q496">
        <v>36</v>
      </c>
      <c r="R496" s="1">
        <v>9.6907049987886621E-4</v>
      </c>
      <c r="S496">
        <v>0.01</v>
      </c>
      <c r="T496">
        <v>12</v>
      </c>
      <c r="U496" s="1">
        <v>1.5236160487557136E-3</v>
      </c>
      <c r="V496">
        <v>44</v>
      </c>
      <c r="W496" s="1">
        <v>1.0648080925415033E-3</v>
      </c>
      <c r="X496">
        <v>0.02</v>
      </c>
      <c r="Y496">
        <v>8</v>
      </c>
      <c r="Z496" s="1">
        <v>1.917086029235562E-3</v>
      </c>
      <c r="AA496">
        <v>47</v>
      </c>
      <c r="AB496" s="1">
        <v>9.860070908595045E-4</v>
      </c>
      <c r="AC496">
        <v>0.01</v>
      </c>
      <c r="AD496">
        <v>3</v>
      </c>
      <c r="AE496" s="1">
        <v>4.7281323877068556E-4</v>
      </c>
      <c r="AF496">
        <v>51</v>
      </c>
      <c r="AG496" s="1">
        <v>1.018573996405033E-3</v>
      </c>
      <c r="AH496">
        <v>0.01</v>
      </c>
      <c r="AI496">
        <v>4</v>
      </c>
      <c r="AJ496" s="1">
        <v>1.6645859342488557E-3</v>
      </c>
    </row>
    <row r="497" spans="1:36" x14ac:dyDescent="0.3">
      <c r="A497" t="s">
        <v>80</v>
      </c>
      <c r="B497">
        <v>170658</v>
      </c>
      <c r="C497" t="s">
        <v>701</v>
      </c>
      <c r="E497">
        <v>1</v>
      </c>
      <c r="F497" s="1" t="s">
        <v>700</v>
      </c>
      <c r="G497">
        <v>2</v>
      </c>
      <c r="H497" s="1" t="s">
        <v>700</v>
      </c>
      <c r="I497" t="s">
        <v>700</v>
      </c>
      <c r="J497">
        <v>1</v>
      </c>
      <c r="K497" s="1" t="s">
        <v>700</v>
      </c>
      <c r="L497">
        <v>2</v>
      </c>
      <c r="M497" s="1" t="s">
        <v>700</v>
      </c>
      <c r="N497" t="s">
        <v>700</v>
      </c>
      <c r="O497">
        <v>0</v>
      </c>
      <c r="P497" s="1" t="s">
        <v>700</v>
      </c>
      <c r="Q497">
        <v>3</v>
      </c>
      <c r="R497" s="1" t="s">
        <v>700</v>
      </c>
      <c r="S497" t="s">
        <v>700</v>
      </c>
      <c r="T497">
        <v>1</v>
      </c>
      <c r="U497" s="1" t="s">
        <v>700</v>
      </c>
      <c r="V497">
        <v>6</v>
      </c>
      <c r="Y497">
        <v>3</v>
      </c>
      <c r="AA497">
        <v>6</v>
      </c>
      <c r="AD497">
        <v>0</v>
      </c>
      <c r="AF497">
        <v>7</v>
      </c>
      <c r="AI497">
        <v>1</v>
      </c>
    </row>
    <row r="498" spans="1:36" x14ac:dyDescent="0.3">
      <c r="A498" t="s">
        <v>80</v>
      </c>
      <c r="B498">
        <v>170658</v>
      </c>
      <c r="C498" t="s">
        <v>702</v>
      </c>
      <c r="E498">
        <v>431</v>
      </c>
      <c r="F498" s="1" t="s">
        <v>700</v>
      </c>
      <c r="G498">
        <v>500</v>
      </c>
      <c r="H498" s="1" t="s">
        <v>700</v>
      </c>
      <c r="I498" t="s">
        <v>700</v>
      </c>
      <c r="J498">
        <v>69</v>
      </c>
      <c r="K498" s="1" t="s">
        <v>700</v>
      </c>
      <c r="L498">
        <v>564</v>
      </c>
      <c r="M498" s="1" t="s">
        <v>700</v>
      </c>
      <c r="N498" t="s">
        <v>700</v>
      </c>
      <c r="O498">
        <v>64</v>
      </c>
      <c r="P498" s="1" t="s">
        <v>700</v>
      </c>
      <c r="Q498">
        <v>771</v>
      </c>
      <c r="R498" s="1" t="s">
        <v>700</v>
      </c>
      <c r="S498" t="s">
        <v>700</v>
      </c>
      <c r="T498">
        <v>207</v>
      </c>
      <c r="U498" s="1" t="s">
        <v>700</v>
      </c>
      <c r="V498">
        <v>899</v>
      </c>
      <c r="Y498">
        <v>128</v>
      </c>
      <c r="AA498">
        <v>1027</v>
      </c>
      <c r="AD498">
        <v>128</v>
      </c>
      <c r="AF498">
        <v>1084</v>
      </c>
      <c r="AI498">
        <v>57</v>
      </c>
    </row>
    <row r="499" spans="1:36" x14ac:dyDescent="0.3">
      <c r="A499" t="s">
        <v>88</v>
      </c>
      <c r="B499" t="s">
        <v>723</v>
      </c>
      <c r="C499" t="s">
        <v>699</v>
      </c>
      <c r="D499" t="s">
        <v>700</v>
      </c>
      <c r="E499">
        <v>22916</v>
      </c>
      <c r="F499" s="1" t="s">
        <v>700</v>
      </c>
      <c r="G499">
        <v>28717</v>
      </c>
      <c r="H499" s="1" t="s">
        <v>700</v>
      </c>
      <c r="I499" t="s">
        <v>700</v>
      </c>
      <c r="J499">
        <v>5801</v>
      </c>
      <c r="K499" s="1" t="s">
        <v>700</v>
      </c>
      <c r="L499">
        <v>37673</v>
      </c>
      <c r="M499" s="1" t="s">
        <v>700</v>
      </c>
      <c r="N499" t="s">
        <v>700</v>
      </c>
      <c r="O499">
        <v>8956</v>
      </c>
      <c r="P499" s="1" t="s">
        <v>700</v>
      </c>
      <c r="Q499">
        <v>44592</v>
      </c>
      <c r="R499" s="1" t="s">
        <v>700</v>
      </c>
      <c r="S499" t="s">
        <v>700</v>
      </c>
      <c r="T499">
        <v>6919</v>
      </c>
      <c r="U499" s="1" t="s">
        <v>700</v>
      </c>
      <c r="V499">
        <v>49272</v>
      </c>
      <c r="Y499">
        <v>4680</v>
      </c>
      <c r="AA499">
        <v>49467</v>
      </c>
      <c r="AD499">
        <v>195</v>
      </c>
      <c r="AF499">
        <v>49976</v>
      </c>
      <c r="AI499">
        <v>509</v>
      </c>
    </row>
    <row r="500" spans="1:36" x14ac:dyDescent="0.3">
      <c r="A500" t="s">
        <v>88</v>
      </c>
      <c r="B500" t="s">
        <v>723</v>
      </c>
      <c r="C500" t="s">
        <v>436</v>
      </c>
      <c r="D500" t="s">
        <v>700</v>
      </c>
      <c r="E500">
        <v>19216</v>
      </c>
      <c r="F500" s="1">
        <v>0.86159999999999992</v>
      </c>
      <c r="G500">
        <v>24149</v>
      </c>
      <c r="H500" s="1">
        <v>0.86439999999999995</v>
      </c>
      <c r="I500">
        <v>0.28000000000000003</v>
      </c>
      <c r="J500">
        <v>4933</v>
      </c>
      <c r="K500" s="1">
        <v>0.87540000000000007</v>
      </c>
      <c r="L500">
        <v>31945</v>
      </c>
      <c r="M500" s="1">
        <v>0.87171860503192711</v>
      </c>
      <c r="N500">
        <v>1.01</v>
      </c>
      <c r="O500">
        <v>7796</v>
      </c>
      <c r="P500" s="1">
        <v>0.89526871841984379</v>
      </c>
      <c r="Q500">
        <v>37987</v>
      </c>
      <c r="R500" s="1">
        <v>0.87658936194761738</v>
      </c>
      <c r="S500">
        <v>1.5</v>
      </c>
      <c r="T500">
        <v>6042</v>
      </c>
      <c r="U500" s="1">
        <v>0.90327403199282408</v>
      </c>
      <c r="V500">
        <v>41944</v>
      </c>
      <c r="W500" s="1">
        <v>0.87660926266510619</v>
      </c>
      <c r="X500">
        <v>1.5</v>
      </c>
      <c r="Y500">
        <v>3957</v>
      </c>
      <c r="Z500" s="1">
        <v>0.87680035453135385</v>
      </c>
      <c r="AA500">
        <v>42114</v>
      </c>
      <c r="AB500" s="1">
        <v>0.87664446294754372</v>
      </c>
      <c r="AC500">
        <v>1.5</v>
      </c>
      <c r="AD500">
        <v>170</v>
      </c>
      <c r="AE500" s="1">
        <v>0.88541666666666663</v>
      </c>
      <c r="AF500">
        <v>42548</v>
      </c>
      <c r="AG500" s="1">
        <v>0.87686251880551491</v>
      </c>
      <c r="AH500">
        <v>1.53</v>
      </c>
      <c r="AI500">
        <v>434</v>
      </c>
      <c r="AJ500" s="1">
        <v>0.89855072463768115</v>
      </c>
    </row>
    <row r="501" spans="1:36" x14ac:dyDescent="0.3">
      <c r="A501" t="s">
        <v>88</v>
      </c>
      <c r="B501" t="s">
        <v>723</v>
      </c>
      <c r="C501" t="s">
        <v>437</v>
      </c>
      <c r="D501" t="s">
        <v>700</v>
      </c>
      <c r="E501">
        <v>3033</v>
      </c>
      <c r="F501" s="1">
        <v>0.13600000000000001</v>
      </c>
      <c r="G501">
        <v>3725</v>
      </c>
      <c r="H501" s="1">
        <v>0.1333</v>
      </c>
      <c r="I501">
        <v>-0.27</v>
      </c>
      <c r="J501">
        <v>692</v>
      </c>
      <c r="K501" s="1">
        <v>0.12279999999999999</v>
      </c>
      <c r="L501">
        <v>4616</v>
      </c>
      <c r="M501" s="1">
        <v>0.12596190580145172</v>
      </c>
      <c r="N501">
        <v>-1</v>
      </c>
      <c r="O501">
        <v>891</v>
      </c>
      <c r="P501" s="1">
        <v>0.10231970601745521</v>
      </c>
      <c r="Q501">
        <v>5257</v>
      </c>
      <c r="R501" s="1">
        <v>0.12131071881850698</v>
      </c>
      <c r="S501">
        <v>-1.47</v>
      </c>
      <c r="T501">
        <v>641</v>
      </c>
      <c r="U501" s="1">
        <v>9.5828972940648821E-2</v>
      </c>
      <c r="V501">
        <v>5807</v>
      </c>
      <c r="W501" s="1">
        <v>0.12136348436716268</v>
      </c>
      <c r="X501">
        <v>-1.46</v>
      </c>
      <c r="Y501">
        <v>550</v>
      </c>
      <c r="Z501" s="1">
        <v>0.12187015289164635</v>
      </c>
      <c r="AA501">
        <v>5829</v>
      </c>
      <c r="AB501" s="1">
        <v>0.12133638634471273</v>
      </c>
      <c r="AC501">
        <v>-1.47</v>
      </c>
      <c r="AD501">
        <v>22</v>
      </c>
      <c r="AE501" s="1">
        <v>0.11458333333333333</v>
      </c>
      <c r="AF501">
        <v>5876</v>
      </c>
      <c r="AG501" s="1">
        <v>0.12109721163159738</v>
      </c>
      <c r="AH501">
        <v>-1.49</v>
      </c>
      <c r="AI501">
        <v>47</v>
      </c>
      <c r="AJ501" s="1">
        <v>9.7308488612836433E-2</v>
      </c>
    </row>
    <row r="502" spans="1:36" x14ac:dyDescent="0.3">
      <c r="A502" t="s">
        <v>88</v>
      </c>
      <c r="B502" t="s">
        <v>723</v>
      </c>
      <c r="C502" t="s">
        <v>404</v>
      </c>
      <c r="D502" t="s">
        <v>700</v>
      </c>
      <c r="E502">
        <v>54</v>
      </c>
      <c r="F502" s="1">
        <v>2.3999999999999998E-3</v>
      </c>
      <c r="G502">
        <v>64</v>
      </c>
      <c r="H502" s="1">
        <v>2.3E-3</v>
      </c>
      <c r="I502">
        <v>-0.01</v>
      </c>
      <c r="J502">
        <v>10</v>
      </c>
      <c r="K502" s="1">
        <v>1.8E-3</v>
      </c>
      <c r="L502">
        <v>85</v>
      </c>
      <c r="M502" s="1">
        <v>2.3194891666211866E-3</v>
      </c>
      <c r="N502">
        <v>-0.01</v>
      </c>
      <c r="O502">
        <v>21</v>
      </c>
      <c r="P502" s="1">
        <v>2.4115755627009648E-3</v>
      </c>
      <c r="Q502">
        <v>91</v>
      </c>
      <c r="R502" s="1">
        <v>2.0999192338756203E-3</v>
      </c>
      <c r="S502">
        <v>-0.03</v>
      </c>
      <c r="T502">
        <v>6</v>
      </c>
      <c r="U502" s="1">
        <v>8.969950665271341E-4</v>
      </c>
      <c r="V502">
        <v>97</v>
      </c>
      <c r="W502" s="1">
        <v>2.0272529677311485E-3</v>
      </c>
      <c r="X502">
        <v>-0.04</v>
      </c>
      <c r="Y502">
        <v>6</v>
      </c>
      <c r="Z502" s="1">
        <v>1.3294925769997785E-3</v>
      </c>
      <c r="AA502">
        <v>97</v>
      </c>
      <c r="AB502" s="1">
        <v>2.0191507077435469E-3</v>
      </c>
      <c r="AC502">
        <v>-0.04</v>
      </c>
      <c r="AD502">
        <v>0</v>
      </c>
      <c r="AE502" s="1">
        <v>0</v>
      </c>
      <c r="AF502">
        <v>99</v>
      </c>
      <c r="AG502" s="1">
        <v>2.0402695628877025E-3</v>
      </c>
      <c r="AH502">
        <v>-0.04</v>
      </c>
      <c r="AI502">
        <v>2</v>
      </c>
      <c r="AJ502" s="1">
        <v>4.140786749482402E-3</v>
      </c>
    </row>
    <row r="503" spans="1:36" x14ac:dyDescent="0.3">
      <c r="A503" t="s">
        <v>90</v>
      </c>
      <c r="B503" t="s">
        <v>724</v>
      </c>
      <c r="C503" t="s">
        <v>699</v>
      </c>
      <c r="D503" t="s">
        <v>700</v>
      </c>
      <c r="E503">
        <v>22916</v>
      </c>
      <c r="F503" s="1" t="s">
        <v>700</v>
      </c>
      <c r="G503">
        <v>28717</v>
      </c>
      <c r="H503" s="1" t="s">
        <v>700</v>
      </c>
      <c r="I503" t="s">
        <v>700</v>
      </c>
      <c r="J503">
        <v>5801</v>
      </c>
      <c r="K503" s="1" t="s">
        <v>700</v>
      </c>
      <c r="L503">
        <v>37673</v>
      </c>
      <c r="M503" s="1" t="s">
        <v>700</v>
      </c>
      <c r="N503" t="s">
        <v>700</v>
      </c>
      <c r="O503">
        <v>8956</v>
      </c>
      <c r="P503" s="1" t="s">
        <v>700</v>
      </c>
      <c r="Q503">
        <v>44592</v>
      </c>
      <c r="R503" s="1" t="s">
        <v>700</v>
      </c>
      <c r="S503" t="s">
        <v>700</v>
      </c>
      <c r="T503">
        <v>6919</v>
      </c>
      <c r="U503" s="1" t="s">
        <v>700</v>
      </c>
      <c r="V503">
        <v>49272</v>
      </c>
      <c r="Y503">
        <v>4680</v>
      </c>
      <c r="AA503">
        <v>49467</v>
      </c>
      <c r="AD503">
        <v>195</v>
      </c>
      <c r="AF503">
        <v>49976</v>
      </c>
      <c r="AI503">
        <v>509</v>
      </c>
    </row>
    <row r="504" spans="1:36" x14ac:dyDescent="0.3">
      <c r="A504" t="s">
        <v>90</v>
      </c>
      <c r="B504" t="s">
        <v>724</v>
      </c>
      <c r="C504" t="s">
        <v>626</v>
      </c>
      <c r="D504" t="s">
        <v>700</v>
      </c>
      <c r="E504">
        <v>18712</v>
      </c>
      <c r="F504" s="1">
        <v>0.9779000000000001</v>
      </c>
      <c r="G504">
        <v>23400</v>
      </c>
      <c r="H504" s="1">
        <v>0.97889999999999999</v>
      </c>
      <c r="I504">
        <v>0.1</v>
      </c>
      <c r="J504">
        <v>4688</v>
      </c>
      <c r="K504" s="1">
        <v>0.98280000000000001</v>
      </c>
      <c r="L504">
        <v>30764</v>
      </c>
      <c r="M504" s="1">
        <v>0.9791839073142784</v>
      </c>
      <c r="N504">
        <v>0.13</v>
      </c>
      <c r="O504">
        <v>7364</v>
      </c>
      <c r="P504" s="1">
        <v>0.98016770930387331</v>
      </c>
      <c r="Q504">
        <v>36436</v>
      </c>
      <c r="R504" s="1">
        <v>0.97956769545112377</v>
      </c>
      <c r="S504">
        <v>0.17</v>
      </c>
      <c r="T504">
        <v>5672</v>
      </c>
      <c r="U504" s="1">
        <v>0.98165455174800964</v>
      </c>
      <c r="V504">
        <v>40145</v>
      </c>
      <c r="W504" s="1">
        <v>0.98214067278287465</v>
      </c>
      <c r="X504">
        <v>0.42</v>
      </c>
      <c r="Y504">
        <v>3709</v>
      </c>
      <c r="Z504" s="1">
        <v>1.0081543897798315</v>
      </c>
      <c r="AA504">
        <v>40299</v>
      </c>
      <c r="AB504" s="1">
        <v>0.98204015985963544</v>
      </c>
      <c r="AC504">
        <v>0.41</v>
      </c>
      <c r="AD504">
        <v>154</v>
      </c>
      <c r="AE504" s="1">
        <v>0.95652173913043481</v>
      </c>
      <c r="AF504">
        <v>40696</v>
      </c>
      <c r="AG504" s="1">
        <v>0.98199893827517981</v>
      </c>
      <c r="AH504">
        <v>0.41</v>
      </c>
      <c r="AI504">
        <v>397</v>
      </c>
      <c r="AJ504" s="1">
        <v>0.97783251231527091</v>
      </c>
    </row>
    <row r="505" spans="1:36" x14ac:dyDescent="0.3">
      <c r="A505" t="s">
        <v>90</v>
      </c>
      <c r="B505" t="s">
        <v>724</v>
      </c>
      <c r="C505" t="s">
        <v>404</v>
      </c>
      <c r="D505" t="s">
        <v>700</v>
      </c>
      <c r="E505">
        <v>423</v>
      </c>
      <c r="F505" s="1">
        <v>2.2099999999999998E-2</v>
      </c>
      <c r="G505">
        <v>505</v>
      </c>
      <c r="H505" s="1">
        <v>2.1099999999999997E-2</v>
      </c>
      <c r="I505">
        <v>-0.1</v>
      </c>
      <c r="J505">
        <v>82</v>
      </c>
      <c r="K505" s="1">
        <v>1.72E-2</v>
      </c>
      <c r="L505">
        <v>654</v>
      </c>
      <c r="M505" s="1">
        <v>2.0816092685721561E-2</v>
      </c>
      <c r="N505">
        <v>-0.13</v>
      </c>
      <c r="O505">
        <v>149</v>
      </c>
      <c r="P505" s="1">
        <v>1.9832290696126714E-2</v>
      </c>
      <c r="Q505">
        <v>760</v>
      </c>
      <c r="R505" s="1">
        <v>2.0432304548876224E-2</v>
      </c>
      <c r="S505">
        <v>-0.17</v>
      </c>
      <c r="T505">
        <v>106</v>
      </c>
      <c r="U505" s="1">
        <v>1.8345448251990307E-2</v>
      </c>
      <c r="V505">
        <v>730</v>
      </c>
      <c r="W505" s="1">
        <v>1.7859327217125381E-2</v>
      </c>
      <c r="X505">
        <v>-0.42</v>
      </c>
      <c r="Y505">
        <v>-30</v>
      </c>
      <c r="Z505" s="1">
        <v>-8.1543897798314752E-3</v>
      </c>
      <c r="AA505">
        <v>737</v>
      </c>
      <c r="AB505" s="1">
        <v>1.7959840140364558E-2</v>
      </c>
      <c r="AC505">
        <v>-0.41</v>
      </c>
      <c r="AD505">
        <v>7</v>
      </c>
      <c r="AE505" s="1">
        <v>4.3478260869565216E-2</v>
      </c>
      <c r="AF505">
        <v>746</v>
      </c>
      <c r="AG505" s="1">
        <v>1.800106172482023E-2</v>
      </c>
      <c r="AH505">
        <v>-0.41</v>
      </c>
      <c r="AI505">
        <v>9</v>
      </c>
      <c r="AJ505" s="1">
        <v>2.2167487684729065E-2</v>
      </c>
    </row>
    <row r="506" spans="1:36" x14ac:dyDescent="0.3">
      <c r="A506" t="s">
        <v>92</v>
      </c>
      <c r="B506" t="s">
        <v>725</v>
      </c>
      <c r="C506" t="s">
        <v>699</v>
      </c>
      <c r="D506" t="s">
        <v>700</v>
      </c>
      <c r="E506">
        <v>22916</v>
      </c>
      <c r="F506" s="1" t="s">
        <v>700</v>
      </c>
      <c r="G506">
        <v>28717</v>
      </c>
      <c r="H506" s="1" t="s">
        <v>700</v>
      </c>
      <c r="I506" t="s">
        <v>700</v>
      </c>
      <c r="J506">
        <v>5801</v>
      </c>
      <c r="K506" s="1" t="s">
        <v>700</v>
      </c>
      <c r="L506">
        <v>37673</v>
      </c>
      <c r="M506" s="1" t="s">
        <v>700</v>
      </c>
      <c r="N506" t="s">
        <v>700</v>
      </c>
      <c r="O506">
        <v>8956</v>
      </c>
      <c r="P506" s="1" t="s">
        <v>700</v>
      </c>
      <c r="Q506">
        <v>44592</v>
      </c>
      <c r="R506" s="1" t="s">
        <v>700</v>
      </c>
      <c r="S506" t="s">
        <v>700</v>
      </c>
      <c r="T506">
        <v>6919</v>
      </c>
      <c r="U506" s="1" t="s">
        <v>700</v>
      </c>
      <c r="V506">
        <v>49272</v>
      </c>
      <c r="Y506">
        <v>4680</v>
      </c>
      <c r="AA506">
        <v>49467</v>
      </c>
      <c r="AD506">
        <v>195</v>
      </c>
      <c r="AF506">
        <v>49976</v>
      </c>
      <c r="AI506">
        <v>509</v>
      </c>
    </row>
    <row r="507" spans="1:36" x14ac:dyDescent="0.3">
      <c r="A507" t="s">
        <v>92</v>
      </c>
      <c r="B507" t="s">
        <v>725</v>
      </c>
      <c r="C507" t="s">
        <v>627</v>
      </c>
      <c r="D507" t="s">
        <v>700</v>
      </c>
      <c r="E507">
        <v>18822</v>
      </c>
      <c r="F507" s="1">
        <v>0.97670000000000001</v>
      </c>
      <c r="G507">
        <v>23527</v>
      </c>
      <c r="H507" s="1">
        <v>0.97770000000000001</v>
      </c>
      <c r="I507">
        <v>0.1</v>
      </c>
      <c r="J507">
        <v>4705</v>
      </c>
      <c r="K507" s="1">
        <v>0.98180000000000012</v>
      </c>
      <c r="L507">
        <v>30908</v>
      </c>
      <c r="M507" s="1">
        <v>0.97822509178377015</v>
      </c>
      <c r="N507">
        <v>0.15</v>
      </c>
      <c r="O507">
        <v>7381</v>
      </c>
      <c r="P507" s="1">
        <v>0.97995220392989912</v>
      </c>
      <c r="Q507">
        <v>36596</v>
      </c>
      <c r="R507" s="1">
        <v>0.97879055337131238</v>
      </c>
      <c r="S507">
        <v>0.21</v>
      </c>
      <c r="T507">
        <v>5688</v>
      </c>
      <c r="U507" s="1">
        <v>0.981874676333506</v>
      </c>
      <c r="V507">
        <v>40320</v>
      </c>
      <c r="W507" s="1">
        <v>0.98161898965307359</v>
      </c>
      <c r="X507">
        <v>0.49</v>
      </c>
      <c r="Y507">
        <v>3724</v>
      </c>
      <c r="Z507" s="1">
        <v>1.0103092783505154</v>
      </c>
      <c r="AA507">
        <v>40476</v>
      </c>
      <c r="AB507" s="1">
        <v>0.9814504982905361</v>
      </c>
      <c r="AC507">
        <v>0.48</v>
      </c>
      <c r="AD507">
        <v>156</v>
      </c>
      <c r="AE507" s="1">
        <v>0.93975903614457834</v>
      </c>
      <c r="AF507">
        <v>40870</v>
      </c>
      <c r="AG507" s="1">
        <v>0.98134319398756209</v>
      </c>
      <c r="AH507">
        <v>0.46</v>
      </c>
      <c r="AI507">
        <v>394</v>
      </c>
      <c r="AJ507" s="1">
        <v>0.97044334975369462</v>
      </c>
    </row>
    <row r="508" spans="1:36" x14ac:dyDescent="0.3">
      <c r="A508" t="s">
        <v>92</v>
      </c>
      <c r="B508" t="s">
        <v>725</v>
      </c>
      <c r="C508" t="s">
        <v>404</v>
      </c>
      <c r="D508" t="s">
        <v>700</v>
      </c>
      <c r="E508">
        <v>450</v>
      </c>
      <c r="F508" s="1">
        <v>2.3300000000000001E-2</v>
      </c>
      <c r="G508">
        <v>537</v>
      </c>
      <c r="H508" s="1">
        <v>2.23E-2</v>
      </c>
      <c r="I508">
        <v>-0.1</v>
      </c>
      <c r="J508">
        <v>87</v>
      </c>
      <c r="K508" s="1">
        <v>1.8200000000000001E-2</v>
      </c>
      <c r="L508">
        <v>688</v>
      </c>
      <c r="M508" s="1">
        <v>2.1774908216229901E-2</v>
      </c>
      <c r="N508">
        <v>-0.15</v>
      </c>
      <c r="O508">
        <v>151</v>
      </c>
      <c r="P508" s="1">
        <v>2.0047796070100904E-2</v>
      </c>
      <c r="Q508">
        <v>793</v>
      </c>
      <c r="R508" s="1">
        <v>2.1209446628687581E-2</v>
      </c>
      <c r="S508">
        <v>-0.21</v>
      </c>
      <c r="T508">
        <v>105</v>
      </c>
      <c r="U508" s="1">
        <v>1.8125323666494046E-2</v>
      </c>
      <c r="V508">
        <v>755</v>
      </c>
      <c r="W508" s="1">
        <v>1.8381010346926355E-2</v>
      </c>
      <c r="X508">
        <v>-0.49</v>
      </c>
      <c r="Y508">
        <v>-38</v>
      </c>
      <c r="Z508" s="1">
        <v>-1.0309278350515464E-2</v>
      </c>
      <c r="AA508">
        <v>765</v>
      </c>
      <c r="AB508" s="1">
        <v>1.8549501709463883E-2</v>
      </c>
      <c r="AC508">
        <v>-0.48</v>
      </c>
      <c r="AD508">
        <v>10</v>
      </c>
      <c r="AE508" s="1">
        <v>6.0240963855421686E-2</v>
      </c>
      <c r="AF508">
        <v>777</v>
      </c>
      <c r="AG508" s="1">
        <v>1.8656806012437872E-2</v>
      </c>
      <c r="AH508">
        <v>-0.46</v>
      </c>
      <c r="AI508">
        <v>12</v>
      </c>
      <c r="AJ508" s="1">
        <v>2.9556650246305417E-2</v>
      </c>
    </row>
    <row r="509" spans="1:36" x14ac:dyDescent="0.3">
      <c r="A509" t="s">
        <v>170</v>
      </c>
      <c r="B509" t="s">
        <v>726</v>
      </c>
      <c r="C509" t="s">
        <v>699</v>
      </c>
      <c r="D509" t="s">
        <v>700</v>
      </c>
      <c r="E509">
        <v>17190</v>
      </c>
      <c r="F509" s="1" t="s">
        <v>700</v>
      </c>
      <c r="G509">
        <v>20324</v>
      </c>
      <c r="H509" s="1" t="s">
        <v>700</v>
      </c>
      <c r="I509" t="s">
        <v>700</v>
      </c>
      <c r="J509">
        <v>3134</v>
      </c>
      <c r="K509" s="1" t="s">
        <v>700</v>
      </c>
      <c r="L509">
        <v>29386</v>
      </c>
      <c r="M509" s="1" t="s">
        <v>700</v>
      </c>
      <c r="N509" t="s">
        <v>700</v>
      </c>
      <c r="O509">
        <v>9062</v>
      </c>
      <c r="P509" s="1" t="s">
        <v>700</v>
      </c>
      <c r="Q509">
        <v>38282</v>
      </c>
      <c r="R509" s="1" t="s">
        <v>700</v>
      </c>
      <c r="S509" t="s">
        <v>700</v>
      </c>
      <c r="T509">
        <v>8896</v>
      </c>
      <c r="U509" s="1" t="s">
        <v>700</v>
      </c>
      <c r="V509">
        <v>40372</v>
      </c>
      <c r="Y509">
        <v>2090</v>
      </c>
      <c r="AA509">
        <v>40488</v>
      </c>
      <c r="AD509">
        <v>116</v>
      </c>
      <c r="AF509">
        <v>40955</v>
      </c>
      <c r="AI509">
        <v>467</v>
      </c>
    </row>
    <row r="510" spans="1:36" x14ac:dyDescent="0.3">
      <c r="A510" t="s">
        <v>170</v>
      </c>
      <c r="B510" t="s">
        <v>726</v>
      </c>
      <c r="C510" t="s">
        <v>438</v>
      </c>
      <c r="D510" t="s">
        <v>700</v>
      </c>
      <c r="E510">
        <v>11718</v>
      </c>
      <c r="F510" s="1">
        <v>0.73180000000000012</v>
      </c>
      <c r="G510">
        <v>13938</v>
      </c>
      <c r="H510" s="1">
        <v>0.73580000000000001</v>
      </c>
      <c r="I510">
        <v>0.4</v>
      </c>
      <c r="J510">
        <v>2220</v>
      </c>
      <c r="K510" s="1">
        <v>0.75790000000000002</v>
      </c>
      <c r="L510">
        <v>20232</v>
      </c>
      <c r="M510" s="1">
        <v>0.73869071525064811</v>
      </c>
      <c r="N510">
        <v>0.69</v>
      </c>
      <c r="O510">
        <v>6294</v>
      </c>
      <c r="P510" s="1">
        <v>0.74511660944714098</v>
      </c>
      <c r="Q510">
        <v>26434</v>
      </c>
      <c r="R510" s="1">
        <v>0.7393091875262201</v>
      </c>
      <c r="S510">
        <v>0.75</v>
      </c>
      <c r="T510">
        <v>6202</v>
      </c>
      <c r="U510" s="1">
        <v>0.74133397083432939</v>
      </c>
      <c r="V510">
        <v>27779</v>
      </c>
      <c r="W510" s="1">
        <v>0.73839079237659822</v>
      </c>
      <c r="X510">
        <v>0.66</v>
      </c>
      <c r="Y510">
        <v>1345</v>
      </c>
      <c r="Z510" s="1">
        <v>0.72079314040728837</v>
      </c>
      <c r="AA510">
        <v>27896</v>
      </c>
      <c r="AB510" s="1">
        <v>0.73781374804940625</v>
      </c>
      <c r="AC510">
        <v>0.6</v>
      </c>
      <c r="AD510">
        <v>117</v>
      </c>
      <c r="AE510" s="1">
        <v>0.62234042553191493</v>
      </c>
      <c r="AF510">
        <v>28196</v>
      </c>
      <c r="AG510" s="1">
        <v>0.737535966518441</v>
      </c>
      <c r="AH510">
        <v>0.56999999999999995</v>
      </c>
      <c r="AI510">
        <v>300</v>
      </c>
      <c r="AJ510" s="1">
        <v>0.71258907363420432</v>
      </c>
    </row>
    <row r="511" spans="1:36" x14ac:dyDescent="0.3">
      <c r="A511" t="s">
        <v>170</v>
      </c>
      <c r="B511" t="s">
        <v>726</v>
      </c>
      <c r="C511" t="s">
        <v>439</v>
      </c>
      <c r="D511" t="s">
        <v>700</v>
      </c>
      <c r="E511">
        <v>4114</v>
      </c>
      <c r="F511" s="1">
        <v>0.25690000000000002</v>
      </c>
      <c r="G511">
        <v>4808</v>
      </c>
      <c r="H511" s="1">
        <v>0.25379999999999997</v>
      </c>
      <c r="I511">
        <v>-0.31</v>
      </c>
      <c r="J511">
        <v>694</v>
      </c>
      <c r="K511" s="1">
        <v>0.2369</v>
      </c>
      <c r="L511">
        <v>6871</v>
      </c>
      <c r="M511" s="1">
        <v>0.25086713644163716</v>
      </c>
      <c r="N511">
        <v>-0.6</v>
      </c>
      <c r="O511">
        <v>2063</v>
      </c>
      <c r="P511" s="1">
        <v>0.2442287202557121</v>
      </c>
      <c r="Q511">
        <v>8970</v>
      </c>
      <c r="R511" s="1">
        <v>0.2508740036358551</v>
      </c>
      <c r="S511">
        <v>-0.6</v>
      </c>
      <c r="T511">
        <v>2099</v>
      </c>
      <c r="U511" s="1">
        <v>0.25089648577575902</v>
      </c>
      <c r="V511">
        <v>9543</v>
      </c>
      <c r="W511" s="1">
        <v>0.25366151883256693</v>
      </c>
      <c r="X511">
        <v>-0.32</v>
      </c>
      <c r="Y511">
        <v>573</v>
      </c>
      <c r="Z511" s="1">
        <v>0.30707395498392281</v>
      </c>
      <c r="AA511">
        <v>9612</v>
      </c>
      <c r="AB511" s="1">
        <v>0.25422518447988574</v>
      </c>
      <c r="AC511">
        <v>-0.27</v>
      </c>
      <c r="AD511">
        <v>69</v>
      </c>
      <c r="AE511" s="1">
        <v>0.36702127659574468</v>
      </c>
      <c r="AF511">
        <v>9729</v>
      </c>
      <c r="AG511" s="1">
        <v>0.25448600575464297</v>
      </c>
      <c r="AH511">
        <v>-0.24</v>
      </c>
      <c r="AI511">
        <v>117</v>
      </c>
      <c r="AJ511" s="1">
        <v>0.27790973871733965</v>
      </c>
    </row>
    <row r="512" spans="1:36" x14ac:dyDescent="0.3">
      <c r="A512" t="s">
        <v>170</v>
      </c>
      <c r="B512" t="s">
        <v>726</v>
      </c>
      <c r="C512" t="s">
        <v>404</v>
      </c>
      <c r="D512" t="s">
        <v>700</v>
      </c>
      <c r="E512">
        <v>181</v>
      </c>
      <c r="F512" s="1">
        <v>1.1299999999999999E-2</v>
      </c>
      <c r="G512">
        <v>196</v>
      </c>
      <c r="H512" s="1">
        <v>1.03E-2</v>
      </c>
      <c r="I512">
        <v>-0.1</v>
      </c>
      <c r="J512">
        <v>15</v>
      </c>
      <c r="K512" s="1">
        <v>5.1000000000000004E-3</v>
      </c>
      <c r="L512">
        <v>286</v>
      </c>
      <c r="M512" s="1">
        <v>1.0442148307714776E-2</v>
      </c>
      <c r="N512">
        <v>-0.09</v>
      </c>
      <c r="O512">
        <v>90</v>
      </c>
      <c r="P512" s="1">
        <v>1.0654670297146916E-2</v>
      </c>
      <c r="Q512">
        <v>351</v>
      </c>
      <c r="R512" s="1">
        <v>9.8168088379247658E-3</v>
      </c>
      <c r="S512">
        <v>-0.15</v>
      </c>
      <c r="T512">
        <v>65</v>
      </c>
      <c r="U512" s="1">
        <v>7.7695433899115469E-3</v>
      </c>
      <c r="V512">
        <v>299</v>
      </c>
      <c r="W512" s="1">
        <v>7.9476887908349059E-3</v>
      </c>
      <c r="X512">
        <v>-0.34</v>
      </c>
      <c r="Y512">
        <v>-52</v>
      </c>
      <c r="Z512" s="1">
        <v>-2.7867095391211148E-2</v>
      </c>
      <c r="AA512">
        <v>301</v>
      </c>
      <c r="AB512" s="1">
        <v>7.9610674707080321E-3</v>
      </c>
      <c r="AC512">
        <v>-0.33</v>
      </c>
      <c r="AD512">
        <v>2</v>
      </c>
      <c r="AE512" s="1">
        <v>1.0638297872340425E-2</v>
      </c>
      <c r="AF512">
        <v>305</v>
      </c>
      <c r="AG512" s="1">
        <v>7.9780277269160347E-3</v>
      </c>
      <c r="AH512">
        <v>-0.33</v>
      </c>
      <c r="AI512">
        <v>4</v>
      </c>
      <c r="AJ512" s="1">
        <v>9.5011876484560574E-3</v>
      </c>
    </row>
    <row r="513" spans="1:36" x14ac:dyDescent="0.3">
      <c r="A513" t="s">
        <v>172</v>
      </c>
      <c r="B513" t="s">
        <v>727</v>
      </c>
      <c r="C513" t="s">
        <v>699</v>
      </c>
      <c r="D513" t="s">
        <v>700</v>
      </c>
      <c r="E513">
        <v>17190</v>
      </c>
      <c r="F513" s="1" t="s">
        <v>700</v>
      </c>
      <c r="G513">
        <v>20324</v>
      </c>
      <c r="H513" s="1" t="s">
        <v>700</v>
      </c>
      <c r="I513" t="s">
        <v>700</v>
      </c>
      <c r="J513">
        <v>3134</v>
      </c>
      <c r="K513" s="1" t="s">
        <v>700</v>
      </c>
      <c r="L513">
        <v>29386</v>
      </c>
      <c r="M513" s="1" t="s">
        <v>700</v>
      </c>
      <c r="N513" t="s">
        <v>700</v>
      </c>
      <c r="O513">
        <v>9062</v>
      </c>
      <c r="P513" s="1" t="s">
        <v>700</v>
      </c>
      <c r="Q513">
        <v>38282</v>
      </c>
      <c r="R513" s="1" t="s">
        <v>700</v>
      </c>
      <c r="S513" t="s">
        <v>700</v>
      </c>
      <c r="T513">
        <v>8896</v>
      </c>
      <c r="U513" s="1" t="s">
        <v>700</v>
      </c>
      <c r="V513">
        <v>40372</v>
      </c>
      <c r="Y513">
        <v>2090</v>
      </c>
      <c r="AA513">
        <v>40488</v>
      </c>
      <c r="AD513">
        <v>116</v>
      </c>
      <c r="AF513">
        <v>40955</v>
      </c>
      <c r="AI513">
        <v>467</v>
      </c>
    </row>
    <row r="514" spans="1:36" x14ac:dyDescent="0.3">
      <c r="A514" t="s">
        <v>172</v>
      </c>
      <c r="B514" t="s">
        <v>727</v>
      </c>
      <c r="C514" t="s">
        <v>34</v>
      </c>
      <c r="D514" t="s">
        <v>700</v>
      </c>
      <c r="E514">
        <v>8647</v>
      </c>
      <c r="F514" s="1">
        <v>0.53400000000000003</v>
      </c>
      <c r="G514">
        <v>10069</v>
      </c>
      <c r="H514" s="1">
        <v>0.52590000000000003</v>
      </c>
      <c r="I514">
        <v>-0.81</v>
      </c>
      <c r="J514">
        <v>1422</v>
      </c>
      <c r="K514" s="1">
        <v>0.48119999999999996</v>
      </c>
      <c r="L514">
        <v>13858</v>
      </c>
      <c r="M514" s="1">
        <v>0.50032493320817384</v>
      </c>
      <c r="N514">
        <v>-3.37</v>
      </c>
      <c r="O514">
        <v>3789</v>
      </c>
      <c r="P514" s="1">
        <v>0.44315789473684208</v>
      </c>
      <c r="Q514">
        <v>17434</v>
      </c>
      <c r="R514" s="1">
        <v>0.48192171605484296</v>
      </c>
      <c r="S514">
        <v>-5.21</v>
      </c>
      <c r="T514">
        <v>3576</v>
      </c>
      <c r="U514" s="1">
        <v>0.42179759377211606</v>
      </c>
      <c r="V514">
        <v>18313</v>
      </c>
      <c r="W514" s="1">
        <v>0.48084547722200344</v>
      </c>
      <c r="X514">
        <v>-5.32</v>
      </c>
      <c r="Y514">
        <v>879</v>
      </c>
      <c r="Z514" s="1">
        <v>0.46045049764274487</v>
      </c>
      <c r="AA514">
        <v>18370</v>
      </c>
      <c r="AB514" s="1">
        <v>0.48034934497816595</v>
      </c>
      <c r="AC514">
        <v>-5.37</v>
      </c>
      <c r="AD514">
        <v>57</v>
      </c>
      <c r="AE514" s="1">
        <v>0.36075949367088606</v>
      </c>
      <c r="AF514">
        <v>18517</v>
      </c>
      <c r="AG514" s="1">
        <v>0.47885903436861571</v>
      </c>
      <c r="AH514">
        <v>-5.51</v>
      </c>
      <c r="AI514">
        <v>147</v>
      </c>
      <c r="AJ514" s="1">
        <v>0.34507042253521125</v>
      </c>
    </row>
    <row r="515" spans="1:36" x14ac:dyDescent="0.3">
      <c r="A515" t="s">
        <v>172</v>
      </c>
      <c r="B515" t="s">
        <v>727</v>
      </c>
      <c r="C515" t="s">
        <v>35</v>
      </c>
      <c r="D515" t="s">
        <v>700</v>
      </c>
      <c r="E515">
        <v>7397</v>
      </c>
      <c r="F515" s="1">
        <v>0.45679999999999998</v>
      </c>
      <c r="G515">
        <v>8922</v>
      </c>
      <c r="H515" s="1">
        <v>0.46590000000000004</v>
      </c>
      <c r="I515">
        <v>0.91</v>
      </c>
      <c r="J515">
        <v>1525</v>
      </c>
      <c r="K515" s="1">
        <v>0.5161</v>
      </c>
      <c r="L515">
        <v>13609</v>
      </c>
      <c r="M515" s="1">
        <v>0.49133511444869665</v>
      </c>
      <c r="N515">
        <v>3.45</v>
      </c>
      <c r="O515">
        <v>4687</v>
      </c>
      <c r="P515" s="1">
        <v>0.548187134502924</v>
      </c>
      <c r="Q515">
        <v>18454</v>
      </c>
      <c r="R515" s="1">
        <v>0.51011720477664746</v>
      </c>
      <c r="S515">
        <v>5.33</v>
      </c>
      <c r="T515">
        <v>4845</v>
      </c>
      <c r="U515" s="1">
        <v>0.57147912243453647</v>
      </c>
      <c r="V515">
        <v>19531</v>
      </c>
      <c r="W515" s="1">
        <v>0.51282657214126293</v>
      </c>
      <c r="X515">
        <v>5.6</v>
      </c>
      <c r="Y515">
        <v>1077</v>
      </c>
      <c r="Z515" s="1">
        <v>0.56416972236773177</v>
      </c>
      <c r="AA515">
        <v>19628</v>
      </c>
      <c r="AB515" s="1">
        <v>0.51324425385037786</v>
      </c>
      <c r="AC515">
        <v>5.64</v>
      </c>
      <c r="AD515">
        <v>97</v>
      </c>
      <c r="AE515" s="1">
        <v>0.61392405063291144</v>
      </c>
      <c r="AF515">
        <v>19902</v>
      </c>
      <c r="AG515" s="1">
        <v>0.5146758385269854</v>
      </c>
      <c r="AH515">
        <v>5.79</v>
      </c>
      <c r="AI515">
        <v>274</v>
      </c>
      <c r="AJ515" s="1">
        <v>0.64319248826291076</v>
      </c>
    </row>
    <row r="516" spans="1:36" x14ac:dyDescent="0.3">
      <c r="A516" t="s">
        <v>172</v>
      </c>
      <c r="B516" t="s">
        <v>727</v>
      </c>
      <c r="C516" t="s">
        <v>404</v>
      </c>
      <c r="D516" t="s">
        <v>700</v>
      </c>
      <c r="E516">
        <v>149</v>
      </c>
      <c r="F516" s="1">
        <v>9.1999999999999998E-3</v>
      </c>
      <c r="G516">
        <v>157</v>
      </c>
      <c r="H516" s="1">
        <v>8.199999999999999E-3</v>
      </c>
      <c r="I516">
        <v>-0.1</v>
      </c>
      <c r="J516">
        <v>8</v>
      </c>
      <c r="K516" s="1">
        <v>2.7000000000000001E-3</v>
      </c>
      <c r="L516">
        <v>231</v>
      </c>
      <c r="M516" s="1">
        <v>8.339952343129467E-3</v>
      </c>
      <c r="N516">
        <v>-0.09</v>
      </c>
      <c r="O516">
        <v>74</v>
      </c>
      <c r="P516" s="1">
        <v>8.6549707602339189E-3</v>
      </c>
      <c r="Q516">
        <v>288</v>
      </c>
      <c r="R516" s="1">
        <v>7.9610791685095095E-3</v>
      </c>
      <c r="S516">
        <v>-0.12</v>
      </c>
      <c r="T516">
        <v>57</v>
      </c>
      <c r="U516" s="1">
        <v>6.7232837933474876E-3</v>
      </c>
      <c r="V516">
        <v>241</v>
      </c>
      <c r="W516" s="1">
        <v>6.3279506367336221E-3</v>
      </c>
      <c r="X516">
        <v>-0.28999999999999998</v>
      </c>
      <c r="Y516">
        <v>-47</v>
      </c>
      <c r="Z516" s="1">
        <v>-2.4620220010476691E-2</v>
      </c>
      <c r="AA516">
        <v>245</v>
      </c>
      <c r="AB516" s="1">
        <v>6.4064011714562146E-3</v>
      </c>
      <c r="AC516">
        <v>-0.28000000000000003</v>
      </c>
      <c r="AD516">
        <v>4</v>
      </c>
      <c r="AE516" s="1">
        <v>2.5316455696202531E-2</v>
      </c>
      <c r="AF516">
        <v>250</v>
      </c>
      <c r="AG516" s="1">
        <v>6.4651271043988726E-3</v>
      </c>
      <c r="AH516">
        <v>-0.27</v>
      </c>
      <c r="AI516">
        <v>5</v>
      </c>
      <c r="AJ516" s="1">
        <v>1.1737089201877934E-2</v>
      </c>
    </row>
    <row r="517" spans="1:36" x14ac:dyDescent="0.3">
      <c r="A517" t="s">
        <v>173</v>
      </c>
      <c r="B517" t="s">
        <v>728</v>
      </c>
      <c r="C517" t="s">
        <v>699</v>
      </c>
      <c r="D517" t="s">
        <v>700</v>
      </c>
      <c r="E517">
        <v>17190</v>
      </c>
      <c r="F517" s="1" t="s">
        <v>700</v>
      </c>
      <c r="G517">
        <v>20324</v>
      </c>
      <c r="H517" s="1" t="s">
        <v>700</v>
      </c>
      <c r="I517" t="s">
        <v>700</v>
      </c>
      <c r="J517">
        <v>3134</v>
      </c>
      <c r="K517" s="1" t="s">
        <v>700</v>
      </c>
      <c r="L517">
        <v>29386</v>
      </c>
      <c r="M517" s="1" t="s">
        <v>700</v>
      </c>
      <c r="N517" t="s">
        <v>700</v>
      </c>
      <c r="O517">
        <v>9062</v>
      </c>
      <c r="P517" s="1" t="s">
        <v>700</v>
      </c>
      <c r="Q517">
        <v>38282</v>
      </c>
      <c r="R517" s="1" t="s">
        <v>700</v>
      </c>
      <c r="S517" t="s">
        <v>700</v>
      </c>
      <c r="T517">
        <v>8896</v>
      </c>
      <c r="U517" s="1" t="s">
        <v>700</v>
      </c>
      <c r="V517">
        <v>40372</v>
      </c>
      <c r="Y517">
        <v>2090</v>
      </c>
      <c r="AA517">
        <v>40488</v>
      </c>
      <c r="AD517">
        <v>116</v>
      </c>
      <c r="AF517">
        <v>40955</v>
      </c>
      <c r="AI517">
        <v>467</v>
      </c>
    </row>
    <row r="518" spans="1:36" x14ac:dyDescent="0.3">
      <c r="A518" t="s">
        <v>173</v>
      </c>
      <c r="B518" t="s">
        <v>728</v>
      </c>
      <c r="C518" t="s">
        <v>628</v>
      </c>
      <c r="D518" t="s">
        <v>700</v>
      </c>
      <c r="E518">
        <v>13823</v>
      </c>
      <c r="F518" s="1">
        <v>0.8649</v>
      </c>
      <c r="G518">
        <v>16431</v>
      </c>
      <c r="H518" s="1">
        <v>0.86799999999999999</v>
      </c>
      <c r="I518">
        <v>0.31</v>
      </c>
      <c r="J518">
        <v>2608</v>
      </c>
      <c r="K518" s="1">
        <v>0.88500000000000001</v>
      </c>
      <c r="L518">
        <v>23963</v>
      </c>
      <c r="M518" s="1">
        <v>0.87593668896443322</v>
      </c>
      <c r="N518">
        <v>1.1000000000000001</v>
      </c>
      <c r="O518">
        <v>7532</v>
      </c>
      <c r="P518" s="1">
        <v>0.89379375815830076</v>
      </c>
      <c r="Q518">
        <v>31528</v>
      </c>
      <c r="R518" s="1">
        <v>0.88259335983427578</v>
      </c>
      <c r="S518">
        <v>1.77</v>
      </c>
      <c r="T518">
        <v>7565</v>
      </c>
      <c r="U518" s="1">
        <v>0.90436341900777051</v>
      </c>
      <c r="V518">
        <v>33217</v>
      </c>
      <c r="W518" s="1">
        <v>0.88350134319227602</v>
      </c>
      <c r="X518">
        <v>1.86</v>
      </c>
      <c r="Y518">
        <v>1689</v>
      </c>
      <c r="Z518" s="1">
        <v>0.90080000000000005</v>
      </c>
      <c r="AA518">
        <v>33305</v>
      </c>
      <c r="AB518" s="1">
        <v>0.88283631544068919</v>
      </c>
      <c r="AC518">
        <v>1.79</v>
      </c>
      <c r="AD518">
        <v>88</v>
      </c>
      <c r="AE518" s="1">
        <v>0.6875</v>
      </c>
      <c r="AF518">
        <v>33678</v>
      </c>
      <c r="AG518" s="1">
        <v>0.88305626933766845</v>
      </c>
      <c r="AH518">
        <v>1.82</v>
      </c>
      <c r="AI518">
        <v>373</v>
      </c>
      <c r="AJ518" s="1">
        <v>0.90314769975786924</v>
      </c>
    </row>
    <row r="519" spans="1:36" x14ac:dyDescent="0.3">
      <c r="A519" t="s">
        <v>173</v>
      </c>
      <c r="B519" t="s">
        <v>728</v>
      </c>
      <c r="C519" t="s">
        <v>629</v>
      </c>
      <c r="D519" t="s">
        <v>700</v>
      </c>
      <c r="E519">
        <v>1970</v>
      </c>
      <c r="F519" s="1">
        <v>0.12330000000000001</v>
      </c>
      <c r="G519">
        <v>2297</v>
      </c>
      <c r="H519" s="1">
        <v>0.12130000000000001</v>
      </c>
      <c r="I519">
        <v>-0.2</v>
      </c>
      <c r="J519">
        <v>327</v>
      </c>
      <c r="K519" s="1">
        <v>0.111</v>
      </c>
      <c r="L519">
        <v>3114</v>
      </c>
      <c r="M519" s="1">
        <v>0.11382827064371093</v>
      </c>
      <c r="N519">
        <v>-0.95</v>
      </c>
      <c r="O519">
        <v>817</v>
      </c>
      <c r="P519" s="1">
        <v>9.6950278865551201E-2</v>
      </c>
      <c r="Q519">
        <v>3842</v>
      </c>
      <c r="R519" s="1">
        <v>0.10755276860198197</v>
      </c>
      <c r="S519">
        <v>-1.57</v>
      </c>
      <c r="T519">
        <v>728</v>
      </c>
      <c r="U519" s="1">
        <v>8.7029288702928864E-2</v>
      </c>
      <c r="V519">
        <v>4073</v>
      </c>
      <c r="W519" s="1">
        <v>0.1083331116844429</v>
      </c>
      <c r="X519">
        <v>-1.5</v>
      </c>
      <c r="Y519">
        <v>231</v>
      </c>
      <c r="Z519" s="1">
        <v>0.1232</v>
      </c>
      <c r="AA519">
        <v>4105</v>
      </c>
      <c r="AB519" s="1">
        <v>0.10881378396288933</v>
      </c>
      <c r="AC519">
        <v>-1.45</v>
      </c>
      <c r="AD519">
        <v>32</v>
      </c>
      <c r="AE519" s="1">
        <v>0.25</v>
      </c>
      <c r="AF519">
        <v>4143</v>
      </c>
      <c r="AG519" s="1">
        <v>0.10863181079238554</v>
      </c>
      <c r="AH519">
        <v>-1.47</v>
      </c>
      <c r="AI519">
        <v>38</v>
      </c>
      <c r="AJ519" s="1">
        <v>9.2009685230024216E-2</v>
      </c>
    </row>
    <row r="520" spans="1:36" x14ac:dyDescent="0.3">
      <c r="A520" t="s">
        <v>173</v>
      </c>
      <c r="B520" t="s">
        <v>728</v>
      </c>
      <c r="C520" t="s">
        <v>404</v>
      </c>
      <c r="D520" t="s">
        <v>700</v>
      </c>
      <c r="E520">
        <v>190</v>
      </c>
      <c r="F520" s="1">
        <v>1.1899999999999999E-2</v>
      </c>
      <c r="G520">
        <v>202</v>
      </c>
      <c r="H520" s="1">
        <v>1.0700000000000001E-2</v>
      </c>
      <c r="I520">
        <v>-0.12</v>
      </c>
      <c r="J520">
        <v>12</v>
      </c>
      <c r="K520" s="1">
        <v>4.0999999999999995E-3</v>
      </c>
      <c r="L520">
        <v>280</v>
      </c>
      <c r="M520" s="1">
        <v>1.0235040391855832E-2</v>
      </c>
      <c r="N520">
        <v>-0.17</v>
      </c>
      <c r="O520">
        <v>78</v>
      </c>
      <c r="P520" s="1">
        <v>9.2559629761480959E-3</v>
      </c>
      <c r="Q520">
        <v>352</v>
      </c>
      <c r="R520" s="1">
        <v>9.8538715637422319E-3</v>
      </c>
      <c r="S520">
        <v>-0.2</v>
      </c>
      <c r="T520">
        <v>72</v>
      </c>
      <c r="U520" s="1">
        <v>8.6072922893006571E-3</v>
      </c>
      <c r="V520">
        <v>307</v>
      </c>
      <c r="W520" s="1">
        <v>8.1655451232811125E-3</v>
      </c>
      <c r="X520">
        <v>-0.37</v>
      </c>
      <c r="Y520">
        <v>-45</v>
      </c>
      <c r="Z520" s="1">
        <v>-2.4E-2</v>
      </c>
      <c r="AA520">
        <v>315</v>
      </c>
      <c r="AB520" s="1">
        <v>8.3499005964214716E-3</v>
      </c>
      <c r="AC520">
        <v>-0.36</v>
      </c>
      <c r="AD520">
        <v>8</v>
      </c>
      <c r="AE520" s="1">
        <v>6.25E-2</v>
      </c>
      <c r="AF520">
        <v>317</v>
      </c>
      <c r="AG520" s="1">
        <v>8.311919869945986E-3</v>
      </c>
      <c r="AH520">
        <v>-0.36</v>
      </c>
      <c r="AI520">
        <v>2</v>
      </c>
      <c r="AJ520" s="1">
        <v>4.8426150121065378E-3</v>
      </c>
    </row>
    <row r="521" spans="1:36" x14ac:dyDescent="0.3">
      <c r="A521" t="s">
        <v>189</v>
      </c>
      <c r="B521">
        <v>180093</v>
      </c>
      <c r="C521" t="s">
        <v>699</v>
      </c>
      <c r="E521">
        <v>21849</v>
      </c>
      <c r="F521" s="1" t="s">
        <v>700</v>
      </c>
      <c r="G521">
        <v>25107</v>
      </c>
      <c r="H521" s="1" t="s">
        <v>700</v>
      </c>
      <c r="I521" t="s">
        <v>700</v>
      </c>
      <c r="J521">
        <v>3258</v>
      </c>
      <c r="K521" s="1" t="s">
        <v>700</v>
      </c>
      <c r="L521">
        <v>32214</v>
      </c>
      <c r="M521" s="1" t="s">
        <v>700</v>
      </c>
      <c r="N521" t="s">
        <v>700</v>
      </c>
      <c r="O521">
        <v>7107</v>
      </c>
      <c r="P521" s="1" t="s">
        <v>700</v>
      </c>
      <c r="Q521">
        <v>32866</v>
      </c>
      <c r="R521" s="1" t="s">
        <v>700</v>
      </c>
      <c r="S521" t="s">
        <v>700</v>
      </c>
      <c r="T521">
        <v>652</v>
      </c>
      <c r="U521" s="1" t="s">
        <v>700</v>
      </c>
      <c r="V521">
        <v>36817</v>
      </c>
      <c r="Y521">
        <v>3951</v>
      </c>
      <c r="AA521">
        <v>37042</v>
      </c>
      <c r="AD521">
        <v>225</v>
      </c>
      <c r="AF521">
        <v>37393</v>
      </c>
      <c r="AI521">
        <v>351</v>
      </c>
    </row>
    <row r="522" spans="1:36" x14ac:dyDescent="0.3">
      <c r="A522" t="s">
        <v>189</v>
      </c>
      <c r="B522">
        <v>180093</v>
      </c>
      <c r="C522" t="s">
        <v>634</v>
      </c>
      <c r="D522" t="s">
        <v>401</v>
      </c>
      <c r="E522">
        <v>9410</v>
      </c>
      <c r="F522" s="1">
        <v>0.43790000000000001</v>
      </c>
      <c r="G522">
        <v>10817</v>
      </c>
      <c r="H522" s="1">
        <v>0.43859999999999999</v>
      </c>
      <c r="I522">
        <v>7.0000000000000007E-2</v>
      </c>
      <c r="J522">
        <v>1407</v>
      </c>
      <c r="K522" s="1">
        <v>0.44340000000000002</v>
      </c>
      <c r="L522">
        <v>13786</v>
      </c>
      <c r="M522" s="1">
        <v>0.43594851848338234</v>
      </c>
      <c r="N522">
        <v>-0.2</v>
      </c>
      <c r="O522">
        <v>2969</v>
      </c>
      <c r="P522" s="1">
        <v>0.42651917827898289</v>
      </c>
      <c r="Q522">
        <v>14075</v>
      </c>
      <c r="R522" s="1">
        <v>0.43575851393188852</v>
      </c>
      <c r="S522">
        <v>-0.21</v>
      </c>
      <c r="T522">
        <v>289</v>
      </c>
      <c r="U522" s="1">
        <v>0.42688330871491875</v>
      </c>
      <c r="V522">
        <v>15581</v>
      </c>
      <c r="W522" s="1">
        <v>0.43079517805795176</v>
      </c>
      <c r="X522">
        <v>-0.71</v>
      </c>
      <c r="Y522">
        <v>1506</v>
      </c>
      <c r="Z522" s="1">
        <v>0.3893485005170631</v>
      </c>
      <c r="AA522">
        <v>15698</v>
      </c>
      <c r="AB522" s="1">
        <v>0.43133483541243062</v>
      </c>
      <c r="AC522">
        <v>-0.66</v>
      </c>
      <c r="AD522">
        <v>117</v>
      </c>
      <c r="AE522" s="1">
        <v>0.51769911504424782</v>
      </c>
      <c r="AF522">
        <v>15836</v>
      </c>
      <c r="AG522" s="1">
        <v>0.43128710714091184</v>
      </c>
      <c r="AH522">
        <v>-0.66</v>
      </c>
      <c r="AI522">
        <v>138</v>
      </c>
      <c r="AJ522" s="1">
        <v>0.42592592592592593</v>
      </c>
    </row>
    <row r="523" spans="1:36" x14ac:dyDescent="0.3">
      <c r="A523" t="s">
        <v>189</v>
      </c>
      <c r="B523">
        <v>180093</v>
      </c>
      <c r="C523" t="s">
        <v>635</v>
      </c>
      <c r="D523" t="s">
        <v>399</v>
      </c>
      <c r="E523">
        <v>9510</v>
      </c>
      <c r="F523" s="1">
        <v>0.44259999999999999</v>
      </c>
      <c r="G523">
        <v>10824</v>
      </c>
      <c r="H523" s="1">
        <v>0.43890000000000001</v>
      </c>
      <c r="I523">
        <v>-0.37</v>
      </c>
      <c r="J523">
        <v>1314</v>
      </c>
      <c r="K523" s="1">
        <v>0.41409999999999997</v>
      </c>
      <c r="L523">
        <v>13869</v>
      </c>
      <c r="M523" s="1">
        <v>0.43857319039939285</v>
      </c>
      <c r="N523">
        <v>-0.4</v>
      </c>
      <c r="O523">
        <v>3045</v>
      </c>
      <c r="P523" s="1">
        <v>0.43743714983479387</v>
      </c>
      <c r="Q523">
        <v>14148</v>
      </c>
      <c r="R523" s="1">
        <v>0.4380185758513932</v>
      </c>
      <c r="S523">
        <v>-0.46</v>
      </c>
      <c r="T523">
        <v>279</v>
      </c>
      <c r="U523" s="1">
        <v>0.41211225997045792</v>
      </c>
      <c r="V523">
        <v>15773</v>
      </c>
      <c r="W523" s="1">
        <v>0.43610373811103736</v>
      </c>
      <c r="X523">
        <v>-0.65</v>
      </c>
      <c r="Y523">
        <v>1625</v>
      </c>
      <c r="Z523" s="1">
        <v>0.42011375387797312</v>
      </c>
      <c r="AA523">
        <v>15849</v>
      </c>
      <c r="AB523" s="1">
        <v>0.43548387096774194</v>
      </c>
      <c r="AC523">
        <v>-0.71</v>
      </c>
      <c r="AD523">
        <v>76</v>
      </c>
      <c r="AE523" s="1">
        <v>0.33628318584070799</v>
      </c>
      <c r="AF523">
        <v>15940</v>
      </c>
      <c r="AG523" s="1">
        <v>0.43411950541968519</v>
      </c>
      <c r="AH523">
        <v>-0.85</v>
      </c>
      <c r="AI523">
        <v>91</v>
      </c>
      <c r="AJ523" s="1">
        <v>0.28086419753086422</v>
      </c>
    </row>
    <row r="524" spans="1:36" x14ac:dyDescent="0.3">
      <c r="A524" t="s">
        <v>189</v>
      </c>
      <c r="B524">
        <v>180093</v>
      </c>
      <c r="C524" t="s">
        <v>636</v>
      </c>
      <c r="D524" t="s">
        <v>401</v>
      </c>
      <c r="E524">
        <v>2556</v>
      </c>
      <c r="F524" s="1">
        <v>0.11890000000000001</v>
      </c>
      <c r="G524">
        <v>3001</v>
      </c>
      <c r="H524" s="1">
        <v>0.1217</v>
      </c>
      <c r="I524">
        <v>0.28000000000000003</v>
      </c>
      <c r="J524">
        <v>445</v>
      </c>
      <c r="K524" s="1">
        <v>0.14019999999999999</v>
      </c>
      <c r="L524">
        <v>3939</v>
      </c>
      <c r="M524" s="1">
        <v>0.12456123707428138</v>
      </c>
      <c r="N524">
        <v>0.56999999999999995</v>
      </c>
      <c r="O524">
        <v>938</v>
      </c>
      <c r="P524" s="1">
        <v>0.13475075420198249</v>
      </c>
      <c r="Q524">
        <v>4049</v>
      </c>
      <c r="R524" s="1">
        <v>0.12535603715170279</v>
      </c>
      <c r="S524">
        <v>0.65</v>
      </c>
      <c r="T524">
        <v>110</v>
      </c>
      <c r="U524" s="1">
        <v>0.16248153618906944</v>
      </c>
      <c r="V524">
        <v>4785</v>
      </c>
      <c r="W524" s="1">
        <v>0.13229927007299269</v>
      </c>
      <c r="X524">
        <v>1.34</v>
      </c>
      <c r="Y524">
        <v>736</v>
      </c>
      <c r="Z524" s="1">
        <v>0.19027921406411583</v>
      </c>
      <c r="AA524">
        <v>4817</v>
      </c>
      <c r="AB524" s="1">
        <v>0.13235698192009671</v>
      </c>
      <c r="AC524">
        <v>1.35</v>
      </c>
      <c r="AD524">
        <v>32</v>
      </c>
      <c r="AE524" s="1">
        <v>0.1415929203539823</v>
      </c>
      <c r="AF524">
        <v>4912</v>
      </c>
      <c r="AG524" s="1">
        <v>0.13377634947437225</v>
      </c>
      <c r="AH524">
        <v>1.49</v>
      </c>
      <c r="AI524">
        <v>95</v>
      </c>
      <c r="AJ524" s="1">
        <v>0.2932098765432099</v>
      </c>
    </row>
    <row r="525" spans="1:36" x14ac:dyDescent="0.3">
      <c r="A525" t="s">
        <v>189</v>
      </c>
      <c r="B525">
        <v>180093</v>
      </c>
      <c r="C525" t="s">
        <v>402</v>
      </c>
      <c r="E525">
        <v>13</v>
      </c>
      <c r="F525" s="1">
        <v>5.9999999999999995E-4</v>
      </c>
      <c r="G525">
        <v>20</v>
      </c>
      <c r="H525" s="1">
        <v>8.0000000000000004E-4</v>
      </c>
      <c r="I525">
        <v>0.02</v>
      </c>
      <c r="J525">
        <v>7</v>
      </c>
      <c r="K525" s="1">
        <v>2.2000000000000001E-3</v>
      </c>
      <c r="L525">
        <v>29</v>
      </c>
      <c r="M525" s="1">
        <v>9.1705404294342729E-4</v>
      </c>
      <c r="N525">
        <v>0.03</v>
      </c>
      <c r="O525">
        <v>9</v>
      </c>
      <c r="P525" s="1">
        <v>1.2929176842407699E-3</v>
      </c>
      <c r="Q525">
        <v>28</v>
      </c>
      <c r="R525" s="1">
        <v>8.6687306501547986E-4</v>
      </c>
      <c r="S525">
        <v>0.03</v>
      </c>
      <c r="T525">
        <v>-1</v>
      </c>
      <c r="U525" s="1">
        <v>-1.4771048744460858E-3</v>
      </c>
      <c r="V525">
        <v>29</v>
      </c>
      <c r="W525" s="1">
        <v>8.0181375801813759E-4</v>
      </c>
      <c r="X525">
        <v>0.02</v>
      </c>
      <c r="Y525">
        <v>1</v>
      </c>
      <c r="Z525" s="1">
        <v>2.5853154084798347E-4</v>
      </c>
      <c r="AA525">
        <v>30</v>
      </c>
      <c r="AB525" s="1">
        <v>8.2431169973072485E-4</v>
      </c>
      <c r="AC525">
        <v>0.02</v>
      </c>
      <c r="AD525">
        <v>1</v>
      </c>
      <c r="AE525" s="1">
        <v>4.4247787610619468E-3</v>
      </c>
      <c r="AF525">
        <v>30</v>
      </c>
      <c r="AG525" s="1">
        <v>8.1703796503077508E-4</v>
      </c>
      <c r="AH525">
        <v>0.02</v>
      </c>
      <c r="AI525">
        <v>0</v>
      </c>
      <c r="AJ525" s="1">
        <v>0</v>
      </c>
    </row>
    <row r="526" spans="1:36" x14ac:dyDescent="0.3">
      <c r="A526" t="s">
        <v>189</v>
      </c>
      <c r="B526">
        <v>180093</v>
      </c>
      <c r="C526" t="s">
        <v>701</v>
      </c>
      <c r="E526">
        <v>21</v>
      </c>
      <c r="F526" s="1" t="s">
        <v>700</v>
      </c>
      <c r="G526">
        <v>31</v>
      </c>
      <c r="H526" s="1" t="s">
        <v>700</v>
      </c>
      <c r="I526" t="s">
        <v>700</v>
      </c>
      <c r="J526">
        <v>10</v>
      </c>
      <c r="K526" s="1" t="s">
        <v>700</v>
      </c>
      <c r="L526">
        <v>55</v>
      </c>
      <c r="M526" s="1" t="s">
        <v>700</v>
      </c>
      <c r="N526" t="s">
        <v>700</v>
      </c>
      <c r="O526">
        <v>24</v>
      </c>
      <c r="P526" s="1" t="s">
        <v>700</v>
      </c>
      <c r="Q526">
        <v>8</v>
      </c>
      <c r="R526" s="1" t="s">
        <v>700</v>
      </c>
      <c r="S526" t="s">
        <v>700</v>
      </c>
      <c r="T526">
        <v>-47</v>
      </c>
      <c r="U526" s="1" t="s">
        <v>700</v>
      </c>
      <c r="V526">
        <v>8</v>
      </c>
      <c r="Y526">
        <v>0</v>
      </c>
      <c r="AA526">
        <v>3</v>
      </c>
      <c r="AD526">
        <v>-5</v>
      </c>
      <c r="AF526">
        <v>4</v>
      </c>
      <c r="AI526">
        <v>1</v>
      </c>
    </row>
    <row r="527" spans="1:36" x14ac:dyDescent="0.3">
      <c r="A527" t="s">
        <v>189</v>
      </c>
      <c r="B527">
        <v>180093</v>
      </c>
      <c r="C527" t="s">
        <v>702</v>
      </c>
      <c r="E527">
        <v>339</v>
      </c>
      <c r="F527" s="1" t="s">
        <v>700</v>
      </c>
      <c r="G527">
        <v>414</v>
      </c>
      <c r="H527" s="1" t="s">
        <v>700</v>
      </c>
      <c r="I527" t="s">
        <v>700</v>
      </c>
      <c r="J527">
        <v>75</v>
      </c>
      <c r="K527" s="1" t="s">
        <v>700</v>
      </c>
      <c r="L527">
        <v>536</v>
      </c>
      <c r="M527" s="1" t="s">
        <v>700</v>
      </c>
      <c r="N527" t="s">
        <v>700</v>
      </c>
      <c r="O527">
        <v>122</v>
      </c>
      <c r="P527" s="1" t="s">
        <v>700</v>
      </c>
      <c r="Q527">
        <v>558</v>
      </c>
      <c r="R527" s="1" t="s">
        <v>700</v>
      </c>
      <c r="S527" t="s">
        <v>700</v>
      </c>
      <c r="T527">
        <v>22</v>
      </c>
      <c r="U527" s="1" t="s">
        <v>700</v>
      </c>
      <c r="V527">
        <v>641</v>
      </c>
      <c r="Y527">
        <v>83</v>
      </c>
      <c r="AA527">
        <v>645</v>
      </c>
      <c r="AD527">
        <v>4</v>
      </c>
      <c r="AF527">
        <v>671</v>
      </c>
      <c r="AI527">
        <v>26</v>
      </c>
    </row>
    <row r="528" spans="1:36" x14ac:dyDescent="0.3">
      <c r="A528" t="s">
        <v>190</v>
      </c>
      <c r="B528">
        <v>179387</v>
      </c>
      <c r="C528" t="s">
        <v>699</v>
      </c>
      <c r="E528">
        <v>21849</v>
      </c>
      <c r="F528" s="1" t="s">
        <v>700</v>
      </c>
      <c r="G528">
        <v>25107</v>
      </c>
      <c r="H528" s="1" t="s">
        <v>700</v>
      </c>
      <c r="I528" t="s">
        <v>700</v>
      </c>
      <c r="J528">
        <v>3258</v>
      </c>
      <c r="K528" s="1" t="s">
        <v>700</v>
      </c>
      <c r="L528">
        <v>32214</v>
      </c>
      <c r="M528" s="1" t="s">
        <v>700</v>
      </c>
      <c r="N528" t="s">
        <v>700</v>
      </c>
      <c r="O528">
        <v>7107</v>
      </c>
      <c r="P528" s="1" t="s">
        <v>700</v>
      </c>
      <c r="Q528">
        <v>32866</v>
      </c>
      <c r="R528" s="1" t="s">
        <v>700</v>
      </c>
      <c r="S528" t="s">
        <v>700</v>
      </c>
      <c r="T528">
        <v>652</v>
      </c>
      <c r="U528" s="1" t="s">
        <v>700</v>
      </c>
      <c r="V528">
        <v>36817</v>
      </c>
      <c r="Y528">
        <v>3951</v>
      </c>
      <c r="AA528">
        <v>37042</v>
      </c>
      <c r="AD528">
        <v>225</v>
      </c>
      <c r="AF528">
        <v>37393</v>
      </c>
      <c r="AI528">
        <v>351</v>
      </c>
    </row>
    <row r="529" spans="1:36" x14ac:dyDescent="0.3">
      <c r="A529" t="s">
        <v>190</v>
      </c>
      <c r="B529">
        <v>179387</v>
      </c>
      <c r="C529" t="s">
        <v>637</v>
      </c>
      <c r="D529" t="s">
        <v>401</v>
      </c>
      <c r="E529">
        <v>5416</v>
      </c>
      <c r="F529" s="1">
        <v>0.25309999999999999</v>
      </c>
      <c r="G529">
        <v>6179</v>
      </c>
      <c r="H529" s="1">
        <v>0.25159999999999999</v>
      </c>
      <c r="I529">
        <v>-0.15</v>
      </c>
      <c r="J529">
        <v>763</v>
      </c>
      <c r="K529" s="1">
        <v>0.2412</v>
      </c>
      <c r="L529">
        <v>7845</v>
      </c>
      <c r="M529" s="1">
        <v>0.2489132848938668</v>
      </c>
      <c r="N529">
        <v>-0.42</v>
      </c>
      <c r="O529">
        <v>1666</v>
      </c>
      <c r="P529" s="1">
        <v>0.23947103636624981</v>
      </c>
      <c r="Q529">
        <v>8015</v>
      </c>
      <c r="R529" s="1">
        <v>0.24902131361461505</v>
      </c>
      <c r="S529">
        <v>-0.41</v>
      </c>
      <c r="T529">
        <v>170</v>
      </c>
      <c r="U529" s="1">
        <v>0.25411061285500747</v>
      </c>
      <c r="V529">
        <v>8900</v>
      </c>
      <c r="W529" s="1">
        <v>0.2468930315135375</v>
      </c>
      <c r="X529">
        <v>-0.62</v>
      </c>
      <c r="Y529">
        <v>885</v>
      </c>
      <c r="Z529" s="1">
        <v>0.22915587778353186</v>
      </c>
      <c r="AA529">
        <v>8973</v>
      </c>
      <c r="AB529" s="1">
        <v>0.2473672602966312</v>
      </c>
      <c r="AC529">
        <v>-0.56999999999999995</v>
      </c>
      <c r="AD529">
        <v>73</v>
      </c>
      <c r="AE529" s="1">
        <v>0.32300884955752213</v>
      </c>
      <c r="AF529">
        <v>9072</v>
      </c>
      <c r="AG529" s="1">
        <v>0.24788239794524292</v>
      </c>
      <c r="AH529">
        <v>-0.52</v>
      </c>
      <c r="AI529">
        <v>99</v>
      </c>
      <c r="AJ529" s="1">
        <v>0.30555555555555558</v>
      </c>
    </row>
    <row r="530" spans="1:36" x14ac:dyDescent="0.3">
      <c r="A530" t="s">
        <v>190</v>
      </c>
      <c r="B530">
        <v>179387</v>
      </c>
      <c r="C530" t="s">
        <v>638</v>
      </c>
      <c r="D530" t="s">
        <v>399</v>
      </c>
      <c r="E530">
        <v>10007</v>
      </c>
      <c r="F530" s="1">
        <v>0.4677</v>
      </c>
      <c r="G530">
        <v>11393</v>
      </c>
      <c r="H530" s="1">
        <v>0.46389999999999998</v>
      </c>
      <c r="I530">
        <v>-0.38</v>
      </c>
      <c r="J530">
        <v>1386</v>
      </c>
      <c r="K530" s="1">
        <v>0.43819999999999998</v>
      </c>
      <c r="L530">
        <v>14591</v>
      </c>
      <c r="M530" s="1">
        <v>0.46295649966684649</v>
      </c>
      <c r="N530">
        <v>-0.47</v>
      </c>
      <c r="O530">
        <v>3198</v>
      </c>
      <c r="P530" s="1">
        <v>0.45968089693833547</v>
      </c>
      <c r="Q530">
        <v>14886</v>
      </c>
      <c r="R530" s="1">
        <v>0.4624992232647735</v>
      </c>
      <c r="S530">
        <v>-0.52</v>
      </c>
      <c r="T530">
        <v>295</v>
      </c>
      <c r="U530" s="1">
        <v>0.44095665171898357</v>
      </c>
      <c r="V530">
        <v>16569</v>
      </c>
      <c r="W530" s="1">
        <v>0.45963715046604525</v>
      </c>
      <c r="X530">
        <v>-0.81</v>
      </c>
      <c r="Y530">
        <v>1683</v>
      </c>
      <c r="Z530" s="1">
        <v>0.43578456758156398</v>
      </c>
      <c r="AA530">
        <v>16648</v>
      </c>
      <c r="AB530" s="1">
        <v>0.45895131499145392</v>
      </c>
      <c r="AC530">
        <v>-0.87</v>
      </c>
      <c r="AD530">
        <v>79</v>
      </c>
      <c r="AE530" s="1">
        <v>0.34955752212389379</v>
      </c>
      <c r="AF530">
        <v>16742</v>
      </c>
      <c r="AG530" s="1">
        <v>0.45745669162249303</v>
      </c>
      <c r="AH530">
        <v>-1.02</v>
      </c>
      <c r="AI530">
        <v>94</v>
      </c>
      <c r="AJ530" s="1">
        <v>0.29012345679012347</v>
      </c>
    </row>
    <row r="531" spans="1:36" x14ac:dyDescent="0.3">
      <c r="A531" t="s">
        <v>190</v>
      </c>
      <c r="B531">
        <v>179387</v>
      </c>
      <c r="C531" t="s">
        <v>639</v>
      </c>
      <c r="D531" t="s">
        <v>401</v>
      </c>
      <c r="E531">
        <v>569</v>
      </c>
      <c r="F531" s="1">
        <v>2.6600000000000002E-2</v>
      </c>
      <c r="G531">
        <v>642</v>
      </c>
      <c r="H531" s="1">
        <v>2.6099999999999998E-2</v>
      </c>
      <c r="I531">
        <v>-0.05</v>
      </c>
      <c r="J531">
        <v>73</v>
      </c>
      <c r="K531" s="1">
        <v>2.3099999999999999E-2</v>
      </c>
      <c r="L531">
        <v>811</v>
      </c>
      <c r="M531" s="1">
        <v>2.5732144556905798E-2</v>
      </c>
      <c r="N531">
        <v>-0.09</v>
      </c>
      <c r="O531">
        <v>169</v>
      </c>
      <c r="P531" s="1">
        <v>2.4292079919505535E-2</v>
      </c>
      <c r="Q531">
        <v>824</v>
      </c>
      <c r="R531" s="1">
        <v>2.5601193065307899E-2</v>
      </c>
      <c r="S531">
        <v>-0.1</v>
      </c>
      <c r="T531">
        <v>13</v>
      </c>
      <c r="U531" s="1">
        <v>1.9431988041853511E-2</v>
      </c>
      <c r="V531">
        <v>916</v>
      </c>
      <c r="W531" s="1">
        <v>2.5410563692853973E-2</v>
      </c>
      <c r="X531">
        <v>-0.12</v>
      </c>
      <c r="Y531">
        <v>92</v>
      </c>
      <c r="Z531" s="1">
        <v>2.3821853961677887E-2</v>
      </c>
      <c r="AA531">
        <v>920</v>
      </c>
      <c r="AB531" s="1">
        <v>2.536251860836963E-2</v>
      </c>
      <c r="AC531">
        <v>-0.12</v>
      </c>
      <c r="AD531">
        <v>4</v>
      </c>
      <c r="AE531" s="1">
        <v>1.7699115044247787E-2</v>
      </c>
      <c r="AF531">
        <v>937</v>
      </c>
      <c r="AG531" s="1">
        <v>2.5602491939450245E-2</v>
      </c>
      <c r="AH531">
        <v>-0.1</v>
      </c>
      <c r="AI531">
        <v>17</v>
      </c>
      <c r="AJ531" s="1">
        <v>5.2469135802469133E-2</v>
      </c>
    </row>
    <row r="532" spans="1:36" x14ac:dyDescent="0.3">
      <c r="A532" t="s">
        <v>190</v>
      </c>
      <c r="B532">
        <v>179387</v>
      </c>
      <c r="C532" t="s">
        <v>640</v>
      </c>
      <c r="D532" t="s">
        <v>401</v>
      </c>
      <c r="E532">
        <v>5390</v>
      </c>
      <c r="F532" s="1">
        <v>0.25190000000000001</v>
      </c>
      <c r="G532">
        <v>6327</v>
      </c>
      <c r="H532" s="1">
        <v>0.2576</v>
      </c>
      <c r="I532">
        <v>0.56999999999999995</v>
      </c>
      <c r="J532">
        <v>937</v>
      </c>
      <c r="K532" s="1">
        <v>0.29620000000000002</v>
      </c>
      <c r="L532">
        <v>8243</v>
      </c>
      <c r="M532" s="1">
        <v>0.26154139036075769</v>
      </c>
      <c r="N532">
        <v>0.96</v>
      </c>
      <c r="O532">
        <v>1916</v>
      </c>
      <c r="P532" s="1">
        <v>0.275406065832974</v>
      </c>
      <c r="Q532">
        <v>8435</v>
      </c>
      <c r="R532" s="1">
        <v>0.26207046541974771</v>
      </c>
      <c r="S532">
        <v>1.02</v>
      </c>
      <c r="T532">
        <v>192</v>
      </c>
      <c r="U532" s="1">
        <v>0.28699551569506726</v>
      </c>
      <c r="V532">
        <v>9634</v>
      </c>
      <c r="W532" s="1">
        <v>0.26725477141588994</v>
      </c>
      <c r="X532">
        <v>1.54</v>
      </c>
      <c r="Y532">
        <v>1199</v>
      </c>
      <c r="Z532" s="1">
        <v>0.31046090108751945</v>
      </c>
      <c r="AA532">
        <v>9703</v>
      </c>
      <c r="AB532" s="1">
        <v>0.2674918674532723</v>
      </c>
      <c r="AC532">
        <v>1.56</v>
      </c>
      <c r="AD532">
        <v>69</v>
      </c>
      <c r="AE532" s="1">
        <v>0.30530973451327431</v>
      </c>
      <c r="AF532">
        <v>9817</v>
      </c>
      <c r="AG532" s="1">
        <v>0.26823870156839169</v>
      </c>
      <c r="AH532">
        <v>1.63</v>
      </c>
      <c r="AI532">
        <v>114</v>
      </c>
      <c r="AJ532" s="1">
        <v>0.35185185185185186</v>
      </c>
    </row>
    <row r="533" spans="1:36" x14ac:dyDescent="0.3">
      <c r="A533" t="s">
        <v>190</v>
      </c>
      <c r="B533">
        <v>179387</v>
      </c>
      <c r="C533" t="s">
        <v>402</v>
      </c>
      <c r="E533">
        <v>15</v>
      </c>
      <c r="F533" s="1">
        <v>7.000000000000001E-4</v>
      </c>
      <c r="G533">
        <v>19</v>
      </c>
      <c r="H533" s="1">
        <v>8.0000000000000004E-4</v>
      </c>
      <c r="I533">
        <v>0.01</v>
      </c>
      <c r="J533">
        <v>4</v>
      </c>
      <c r="K533" s="1">
        <v>1.2999999999999999E-3</v>
      </c>
      <c r="L533">
        <v>27</v>
      </c>
      <c r="M533" s="1">
        <v>8.5668052162325096E-4</v>
      </c>
      <c r="N533">
        <v>0.02</v>
      </c>
      <c r="O533">
        <v>8</v>
      </c>
      <c r="P533" s="1">
        <v>1.1499209429351731E-3</v>
      </c>
      <c r="Q533">
        <v>26</v>
      </c>
      <c r="R533" s="1">
        <v>8.0780463555583178E-4</v>
      </c>
      <c r="S533">
        <v>0.01</v>
      </c>
      <c r="T533">
        <v>-1</v>
      </c>
      <c r="U533" s="1">
        <v>-1.4947683109118087E-3</v>
      </c>
      <c r="V533">
        <v>29</v>
      </c>
      <c r="W533" s="1">
        <v>8.0448291167332443E-4</v>
      </c>
      <c r="X533">
        <v>0.01</v>
      </c>
      <c r="Y533">
        <v>3</v>
      </c>
      <c r="Z533" s="1">
        <v>7.7679958570688761E-4</v>
      </c>
      <c r="AA533">
        <v>30</v>
      </c>
      <c r="AB533" s="1">
        <v>8.2703865027292274E-4</v>
      </c>
      <c r="AC533">
        <v>0.01</v>
      </c>
      <c r="AD533">
        <v>1</v>
      </c>
      <c r="AE533" s="1">
        <v>4.4247787610619468E-3</v>
      </c>
      <c r="AF533">
        <v>30</v>
      </c>
      <c r="AG533" s="1">
        <v>8.1971692442209959E-4</v>
      </c>
      <c r="AH533">
        <v>0.01</v>
      </c>
      <c r="AI533">
        <v>0</v>
      </c>
      <c r="AJ533" s="1">
        <v>0</v>
      </c>
    </row>
    <row r="534" spans="1:36" x14ac:dyDescent="0.3">
      <c r="A534" t="s">
        <v>190</v>
      </c>
      <c r="B534">
        <v>179387</v>
      </c>
      <c r="C534" t="s">
        <v>701</v>
      </c>
      <c r="E534">
        <v>24</v>
      </c>
      <c r="F534" s="1" t="s">
        <v>700</v>
      </c>
      <c r="G534">
        <v>36</v>
      </c>
      <c r="H534" s="1" t="s">
        <v>700</v>
      </c>
      <c r="I534" t="s">
        <v>700</v>
      </c>
      <c r="J534">
        <v>12</v>
      </c>
      <c r="K534" s="1" t="s">
        <v>700</v>
      </c>
      <c r="L534">
        <v>55</v>
      </c>
      <c r="M534" s="1" t="s">
        <v>700</v>
      </c>
      <c r="N534" t="s">
        <v>700</v>
      </c>
      <c r="O534">
        <v>19</v>
      </c>
      <c r="P534" s="1" t="s">
        <v>700</v>
      </c>
      <c r="Q534">
        <v>15</v>
      </c>
      <c r="R534" s="1" t="s">
        <v>700</v>
      </c>
      <c r="S534" t="s">
        <v>700</v>
      </c>
      <c r="T534">
        <v>-40</v>
      </c>
      <c r="U534" s="1" t="s">
        <v>700</v>
      </c>
      <c r="V534">
        <v>17</v>
      </c>
      <c r="Y534">
        <v>2</v>
      </c>
      <c r="AA534">
        <v>11</v>
      </c>
      <c r="AD534">
        <v>-6</v>
      </c>
      <c r="AF534">
        <v>11</v>
      </c>
      <c r="AI534">
        <v>0</v>
      </c>
    </row>
    <row r="535" spans="1:36" x14ac:dyDescent="0.3">
      <c r="A535" t="s">
        <v>190</v>
      </c>
      <c r="B535">
        <v>179387</v>
      </c>
      <c r="C535" t="s">
        <v>702</v>
      </c>
      <c r="E535">
        <v>428</v>
      </c>
      <c r="F535" s="1" t="s">
        <v>700</v>
      </c>
      <c r="G535">
        <v>511</v>
      </c>
      <c r="H535" s="1" t="s">
        <v>700</v>
      </c>
      <c r="I535" t="s">
        <v>700</v>
      </c>
      <c r="J535">
        <v>83</v>
      </c>
      <c r="K535" s="1" t="s">
        <v>700</v>
      </c>
      <c r="L535">
        <v>642</v>
      </c>
      <c r="M535" s="1" t="s">
        <v>700</v>
      </c>
      <c r="N535" t="s">
        <v>700</v>
      </c>
      <c r="O535">
        <v>131</v>
      </c>
      <c r="P535" s="1" t="s">
        <v>700</v>
      </c>
      <c r="Q535">
        <v>665</v>
      </c>
      <c r="R535" s="1" t="s">
        <v>700</v>
      </c>
      <c r="S535" t="s">
        <v>700</v>
      </c>
      <c r="T535">
        <v>23</v>
      </c>
      <c r="U535" s="1" t="s">
        <v>700</v>
      </c>
      <c r="V535">
        <v>752</v>
      </c>
      <c r="Y535">
        <v>87</v>
      </c>
      <c r="AA535">
        <v>757</v>
      </c>
      <c r="AD535">
        <v>5</v>
      </c>
      <c r="AF535">
        <v>784</v>
      </c>
      <c r="AI535">
        <v>27</v>
      </c>
    </row>
    <row r="536" spans="1:36" x14ac:dyDescent="0.3">
      <c r="A536" t="s">
        <v>106</v>
      </c>
      <c r="B536">
        <v>180016</v>
      </c>
      <c r="C536" t="s">
        <v>699</v>
      </c>
      <c r="E536">
        <v>26174</v>
      </c>
      <c r="F536" s="1" t="s">
        <v>700</v>
      </c>
      <c r="G536">
        <v>34242</v>
      </c>
      <c r="H536" s="1" t="s">
        <v>700</v>
      </c>
      <c r="I536" t="s">
        <v>700</v>
      </c>
      <c r="J536">
        <v>8068</v>
      </c>
      <c r="K536" s="1" t="s">
        <v>700</v>
      </c>
      <c r="L536">
        <v>41001</v>
      </c>
      <c r="M536" s="1" t="s">
        <v>700</v>
      </c>
      <c r="N536" t="s">
        <v>700</v>
      </c>
      <c r="O536">
        <v>6759</v>
      </c>
      <c r="P536" s="1" t="s">
        <v>700</v>
      </c>
      <c r="Q536">
        <v>42823</v>
      </c>
      <c r="R536" s="1" t="s">
        <v>700</v>
      </c>
      <c r="S536" t="s">
        <v>700</v>
      </c>
      <c r="T536">
        <v>1822</v>
      </c>
      <c r="U536" s="1" t="s">
        <v>700</v>
      </c>
      <c r="V536">
        <v>47209</v>
      </c>
      <c r="Y536">
        <v>4386</v>
      </c>
      <c r="AA536">
        <v>47505</v>
      </c>
      <c r="AD536">
        <v>296</v>
      </c>
      <c r="AF536">
        <v>48270</v>
      </c>
      <c r="AI536">
        <v>765</v>
      </c>
    </row>
    <row r="537" spans="1:36" x14ac:dyDescent="0.3">
      <c r="A537" t="s">
        <v>106</v>
      </c>
      <c r="B537">
        <v>180016</v>
      </c>
      <c r="C537" t="s">
        <v>641</v>
      </c>
      <c r="D537" t="s">
        <v>399</v>
      </c>
      <c r="E537">
        <v>18660</v>
      </c>
      <c r="F537" s="1">
        <v>0.72310000000000008</v>
      </c>
      <c r="G537">
        <v>24779</v>
      </c>
      <c r="H537" s="1">
        <v>0.7340000000000001</v>
      </c>
      <c r="I537">
        <v>1.0900000000000001</v>
      </c>
      <c r="J537">
        <v>6119</v>
      </c>
      <c r="K537" s="1">
        <v>0.76939999999999997</v>
      </c>
      <c r="L537">
        <v>29793</v>
      </c>
      <c r="M537" s="1">
        <v>0.73699443413729127</v>
      </c>
      <c r="N537">
        <v>1.39</v>
      </c>
      <c r="O537">
        <v>5014</v>
      </c>
      <c r="P537" s="1">
        <v>0.75206239688015597</v>
      </c>
      <c r="Q537">
        <v>31262</v>
      </c>
      <c r="R537" s="1">
        <v>0.74047229920178115</v>
      </c>
      <c r="S537">
        <v>1.74</v>
      </c>
      <c r="T537">
        <v>1469</v>
      </c>
      <c r="U537" s="1">
        <v>0.8188405797101449</v>
      </c>
      <c r="V537">
        <v>33862</v>
      </c>
      <c r="W537" s="1">
        <v>0.72801152366005206</v>
      </c>
      <c r="X537">
        <v>0.49</v>
      </c>
      <c r="Y537">
        <v>2600</v>
      </c>
      <c r="Z537" s="1">
        <v>0.60549604098742427</v>
      </c>
      <c r="AA537">
        <v>34021</v>
      </c>
      <c r="AB537" s="1">
        <v>0.72691337977009529</v>
      </c>
      <c r="AC537">
        <v>0.38</v>
      </c>
      <c r="AD537">
        <v>159</v>
      </c>
      <c r="AE537" s="1">
        <v>0.55017301038062283</v>
      </c>
      <c r="AF537">
        <v>34514</v>
      </c>
      <c r="AG537" s="1">
        <v>0.72601443025726242</v>
      </c>
      <c r="AH537">
        <v>0.28999999999999998</v>
      </c>
      <c r="AI537">
        <v>493</v>
      </c>
      <c r="AJ537" s="1">
        <v>0.66892808683853455</v>
      </c>
    </row>
    <row r="538" spans="1:36" x14ac:dyDescent="0.3">
      <c r="A538" t="s">
        <v>106</v>
      </c>
      <c r="B538">
        <v>180016</v>
      </c>
      <c r="C538" t="s">
        <v>642</v>
      </c>
      <c r="D538" t="s">
        <v>401</v>
      </c>
      <c r="E538">
        <v>7123</v>
      </c>
      <c r="F538" s="1">
        <v>0.27600000000000002</v>
      </c>
      <c r="G538">
        <v>8942</v>
      </c>
      <c r="H538" s="1">
        <v>0.26489999999999997</v>
      </c>
      <c r="I538">
        <v>-1.1100000000000001</v>
      </c>
      <c r="J538">
        <v>1819</v>
      </c>
      <c r="K538" s="1">
        <v>0.22870000000000001</v>
      </c>
      <c r="L538">
        <v>10590</v>
      </c>
      <c r="M538" s="1">
        <v>0.26196660482374767</v>
      </c>
      <c r="N538">
        <v>-1.4</v>
      </c>
      <c r="O538">
        <v>1648</v>
      </c>
      <c r="P538" s="1">
        <v>0.24718764061796911</v>
      </c>
      <c r="Q538">
        <v>10905</v>
      </c>
      <c r="R538" s="1">
        <v>0.25829602785475736</v>
      </c>
      <c r="S538">
        <v>-1.77</v>
      </c>
      <c r="T538">
        <v>315</v>
      </c>
      <c r="U538" s="1">
        <v>0.17558528428093645</v>
      </c>
      <c r="V538">
        <v>12592</v>
      </c>
      <c r="W538" s="1">
        <v>0.27072001375959409</v>
      </c>
      <c r="X538">
        <v>-0.53</v>
      </c>
      <c r="Y538">
        <v>1687</v>
      </c>
      <c r="Z538" s="1">
        <v>0.39287377736376339</v>
      </c>
      <c r="AA538">
        <v>12722</v>
      </c>
      <c r="AB538" s="1">
        <v>0.27182599034229304</v>
      </c>
      <c r="AC538">
        <v>-0.42</v>
      </c>
      <c r="AD538">
        <v>130</v>
      </c>
      <c r="AE538" s="1">
        <v>0.44982698961937717</v>
      </c>
      <c r="AF538">
        <v>12966</v>
      </c>
      <c r="AG538" s="1">
        <v>0.27274448347672436</v>
      </c>
      <c r="AH538">
        <v>-0.33</v>
      </c>
      <c r="AI538">
        <v>244</v>
      </c>
      <c r="AJ538" s="1">
        <v>0.33107191316146539</v>
      </c>
    </row>
    <row r="539" spans="1:36" x14ac:dyDescent="0.3">
      <c r="A539" t="s">
        <v>106</v>
      </c>
      <c r="B539">
        <v>180016</v>
      </c>
      <c r="C539" t="s">
        <v>402</v>
      </c>
      <c r="E539">
        <v>22</v>
      </c>
      <c r="F539" s="1">
        <v>8.9999999999999998E-4</v>
      </c>
      <c r="G539">
        <v>37</v>
      </c>
      <c r="H539" s="1">
        <v>1.1000000000000001E-3</v>
      </c>
      <c r="I539">
        <v>0.02</v>
      </c>
      <c r="J539">
        <v>15</v>
      </c>
      <c r="K539" s="1">
        <v>1.9E-3</v>
      </c>
      <c r="L539">
        <v>42</v>
      </c>
      <c r="M539" s="1">
        <v>1.038961038961039E-3</v>
      </c>
      <c r="N539">
        <v>0.01</v>
      </c>
      <c r="O539">
        <v>5</v>
      </c>
      <c r="P539" s="1">
        <v>7.4996250187490628E-4</v>
      </c>
      <c r="Q539">
        <v>52</v>
      </c>
      <c r="R539" s="1">
        <v>1.2316729434614746E-3</v>
      </c>
      <c r="S539">
        <v>0.03</v>
      </c>
      <c r="T539">
        <v>10</v>
      </c>
      <c r="U539" s="1">
        <v>5.5741360089186179E-3</v>
      </c>
      <c r="V539">
        <v>59</v>
      </c>
      <c r="W539" s="1">
        <v>1.2684625803538795E-3</v>
      </c>
      <c r="X539">
        <v>0.04</v>
      </c>
      <c r="Y539">
        <v>7</v>
      </c>
      <c r="Z539" s="1">
        <v>1.6301816488122963E-3</v>
      </c>
      <c r="AA539">
        <v>59</v>
      </c>
      <c r="AB539" s="1">
        <v>1.2606298876116405E-3</v>
      </c>
      <c r="AC539">
        <v>0.04</v>
      </c>
      <c r="AD539">
        <v>0</v>
      </c>
      <c r="AE539" s="1">
        <v>0</v>
      </c>
      <c r="AF539">
        <v>59</v>
      </c>
      <c r="AG539" s="1">
        <v>1.2410862660131681E-3</v>
      </c>
      <c r="AH539">
        <v>0.03</v>
      </c>
      <c r="AI539">
        <v>0</v>
      </c>
      <c r="AJ539" s="1">
        <v>0</v>
      </c>
    </row>
    <row r="540" spans="1:36" x14ac:dyDescent="0.3">
      <c r="A540" t="s">
        <v>106</v>
      </c>
      <c r="B540">
        <v>180016</v>
      </c>
      <c r="C540" t="s">
        <v>701</v>
      </c>
      <c r="E540">
        <v>15</v>
      </c>
      <c r="F540" s="1" t="s">
        <v>700</v>
      </c>
      <c r="G540">
        <v>21</v>
      </c>
      <c r="H540" s="1" t="s">
        <v>700</v>
      </c>
      <c r="I540" t="s">
        <v>700</v>
      </c>
      <c r="J540">
        <v>6</v>
      </c>
      <c r="K540" s="1" t="s">
        <v>700</v>
      </c>
      <c r="L540">
        <v>24</v>
      </c>
      <c r="M540" s="1" t="s">
        <v>700</v>
      </c>
      <c r="N540" t="s">
        <v>700</v>
      </c>
      <c r="O540">
        <v>3</v>
      </c>
      <c r="P540" s="1" t="s">
        <v>700</v>
      </c>
      <c r="Q540">
        <v>1</v>
      </c>
      <c r="R540" s="1" t="s">
        <v>700</v>
      </c>
      <c r="S540" t="s">
        <v>700</v>
      </c>
      <c r="T540">
        <v>-23</v>
      </c>
      <c r="U540" s="1" t="s">
        <v>700</v>
      </c>
      <c r="V540">
        <v>1</v>
      </c>
      <c r="Y540">
        <v>0</v>
      </c>
      <c r="AA540">
        <v>1</v>
      </c>
      <c r="AD540">
        <v>0</v>
      </c>
      <c r="AF540">
        <v>1</v>
      </c>
      <c r="AI540">
        <v>0</v>
      </c>
    </row>
    <row r="541" spans="1:36" x14ac:dyDescent="0.3">
      <c r="A541" t="s">
        <v>106</v>
      </c>
      <c r="B541">
        <v>180016</v>
      </c>
      <c r="C541" t="s">
        <v>702</v>
      </c>
      <c r="E541">
        <v>354</v>
      </c>
      <c r="F541" s="1" t="s">
        <v>700</v>
      </c>
      <c r="G541">
        <v>463</v>
      </c>
      <c r="H541" s="1" t="s">
        <v>700</v>
      </c>
      <c r="I541" t="s">
        <v>700</v>
      </c>
      <c r="J541">
        <v>109</v>
      </c>
      <c r="K541" s="1" t="s">
        <v>700</v>
      </c>
      <c r="L541">
        <v>552</v>
      </c>
      <c r="M541" s="1" t="s">
        <v>700</v>
      </c>
      <c r="N541" t="s">
        <v>700</v>
      </c>
      <c r="O541">
        <v>89</v>
      </c>
      <c r="P541" s="1" t="s">
        <v>700</v>
      </c>
      <c r="Q541">
        <v>603</v>
      </c>
      <c r="R541" s="1" t="s">
        <v>700</v>
      </c>
      <c r="S541" t="s">
        <v>700</v>
      </c>
      <c r="T541">
        <v>51</v>
      </c>
      <c r="U541" s="1" t="s">
        <v>700</v>
      </c>
      <c r="V541">
        <v>695</v>
      </c>
      <c r="Y541">
        <v>92</v>
      </c>
      <c r="AA541">
        <v>702</v>
      </c>
      <c r="AD541">
        <v>7</v>
      </c>
      <c r="AF541">
        <v>730</v>
      </c>
      <c r="AI541">
        <v>28</v>
      </c>
    </row>
    <row r="542" spans="1:36" x14ac:dyDescent="0.3">
      <c r="A542" t="s">
        <v>108</v>
      </c>
      <c r="B542">
        <v>170673</v>
      </c>
      <c r="C542" t="s">
        <v>699</v>
      </c>
      <c r="E542">
        <v>26174</v>
      </c>
      <c r="F542" s="1" t="s">
        <v>700</v>
      </c>
      <c r="G542">
        <v>34242</v>
      </c>
      <c r="H542" s="1" t="s">
        <v>700</v>
      </c>
      <c r="I542" t="s">
        <v>700</v>
      </c>
      <c r="J542">
        <v>8068</v>
      </c>
      <c r="K542" s="1" t="s">
        <v>700</v>
      </c>
      <c r="L542">
        <v>41001</v>
      </c>
      <c r="M542" s="1" t="s">
        <v>700</v>
      </c>
      <c r="N542" t="s">
        <v>700</v>
      </c>
      <c r="O542">
        <v>6759</v>
      </c>
      <c r="P542" s="1" t="s">
        <v>700</v>
      </c>
      <c r="Q542">
        <v>42823</v>
      </c>
      <c r="R542" s="1" t="s">
        <v>700</v>
      </c>
      <c r="S542" t="s">
        <v>700</v>
      </c>
      <c r="T542">
        <v>1822</v>
      </c>
      <c r="U542" s="1" t="s">
        <v>700</v>
      </c>
      <c r="V542">
        <v>47209</v>
      </c>
      <c r="Y542">
        <v>4386</v>
      </c>
      <c r="AA542">
        <v>47505</v>
      </c>
      <c r="AD542">
        <v>296</v>
      </c>
      <c r="AF542">
        <v>48270</v>
      </c>
      <c r="AI542">
        <v>765</v>
      </c>
    </row>
    <row r="543" spans="1:36" x14ac:dyDescent="0.3">
      <c r="A543" t="s">
        <v>108</v>
      </c>
      <c r="B543">
        <v>170673</v>
      </c>
      <c r="C543" t="s">
        <v>643</v>
      </c>
      <c r="D543" t="s">
        <v>400</v>
      </c>
      <c r="E543">
        <v>2495</v>
      </c>
      <c r="F543" s="1">
        <v>9.98E-2</v>
      </c>
      <c r="G543">
        <v>3272</v>
      </c>
      <c r="H543" s="1">
        <v>9.98E-2</v>
      </c>
      <c r="I543">
        <v>0</v>
      </c>
      <c r="J543">
        <v>777</v>
      </c>
      <c r="K543" s="1">
        <v>0.10009999999999999</v>
      </c>
      <c r="L543">
        <v>4017</v>
      </c>
      <c r="M543" s="1">
        <v>0.10237785763437572</v>
      </c>
      <c r="N543">
        <v>0.26</v>
      </c>
      <c r="O543">
        <v>745</v>
      </c>
      <c r="P543" s="1">
        <v>0.11520024740992732</v>
      </c>
      <c r="Q543">
        <v>4191</v>
      </c>
      <c r="R543" s="1">
        <v>0.10220455543091254</v>
      </c>
      <c r="S543">
        <v>0.24</v>
      </c>
      <c r="T543">
        <v>174</v>
      </c>
      <c r="U543" s="1">
        <v>9.8360655737704916E-2</v>
      </c>
      <c r="V543">
        <v>4792</v>
      </c>
      <c r="W543" s="1">
        <v>0.10627162246074692</v>
      </c>
      <c r="X543">
        <v>0.65</v>
      </c>
      <c r="Y543">
        <v>601</v>
      </c>
      <c r="Z543" s="1">
        <v>0.14708761625061184</v>
      </c>
      <c r="AA543">
        <v>4829</v>
      </c>
      <c r="AB543" s="1">
        <v>0.10646178266716638</v>
      </c>
      <c r="AC543">
        <v>0.67</v>
      </c>
      <c r="AD543">
        <v>37</v>
      </c>
      <c r="AE543" s="1">
        <v>0.13857677902621723</v>
      </c>
      <c r="AF543">
        <v>4903</v>
      </c>
      <c r="AG543" s="1">
        <v>0.10644580013460411</v>
      </c>
      <c r="AH543">
        <v>0.66</v>
      </c>
      <c r="AI543">
        <v>74</v>
      </c>
      <c r="AJ543" s="1">
        <v>0.10541310541310542</v>
      </c>
    </row>
    <row r="544" spans="1:36" x14ac:dyDescent="0.3">
      <c r="A544" t="s">
        <v>108</v>
      </c>
      <c r="B544">
        <v>170673</v>
      </c>
      <c r="C544" t="s">
        <v>644</v>
      </c>
      <c r="D544" t="s">
        <v>399</v>
      </c>
      <c r="E544">
        <v>17069</v>
      </c>
      <c r="F544" s="1">
        <v>0.6826000000000001</v>
      </c>
      <c r="G544">
        <v>22619</v>
      </c>
      <c r="H544" s="1">
        <v>0.69019999999999992</v>
      </c>
      <c r="I544">
        <v>0.76</v>
      </c>
      <c r="J544">
        <v>5550</v>
      </c>
      <c r="K544" s="1">
        <v>0.7147</v>
      </c>
      <c r="L544">
        <v>27037</v>
      </c>
      <c r="M544" s="1">
        <v>0.6890689910033897</v>
      </c>
      <c r="N544">
        <v>0.65</v>
      </c>
      <c r="O544">
        <v>4418</v>
      </c>
      <c r="P544" s="1">
        <v>0.68316066182155555</v>
      </c>
      <c r="Q544">
        <v>28333</v>
      </c>
      <c r="R544" s="1">
        <v>0.69094766619519099</v>
      </c>
      <c r="S544">
        <v>0.83</v>
      </c>
      <c r="T544">
        <v>1296</v>
      </c>
      <c r="U544" s="1">
        <v>0.73261729790842289</v>
      </c>
      <c r="V544">
        <v>30628</v>
      </c>
      <c r="W544" s="1">
        <v>0.67923356692983239</v>
      </c>
      <c r="X544">
        <v>-0.34</v>
      </c>
      <c r="Y544">
        <v>2295</v>
      </c>
      <c r="Z544" s="1">
        <v>0.56167400881057272</v>
      </c>
      <c r="AA544">
        <v>30773</v>
      </c>
      <c r="AB544" s="1">
        <v>0.67843206419894619</v>
      </c>
      <c r="AC544">
        <v>-0.42</v>
      </c>
      <c r="AD544">
        <v>145</v>
      </c>
      <c r="AE544" s="1">
        <v>0.54307116104868913</v>
      </c>
      <c r="AF544">
        <v>31216</v>
      </c>
      <c r="AG544" s="1">
        <v>0.67770999326979442</v>
      </c>
      <c r="AH544">
        <v>-0.49</v>
      </c>
      <c r="AI544">
        <v>443</v>
      </c>
      <c r="AJ544" s="1">
        <v>0.63105413105413111</v>
      </c>
    </row>
    <row r="545" spans="1:36" x14ac:dyDescent="0.3">
      <c r="A545" t="s">
        <v>108</v>
      </c>
      <c r="B545">
        <v>170673</v>
      </c>
      <c r="C545" t="s">
        <v>645</v>
      </c>
      <c r="D545" t="s">
        <v>405</v>
      </c>
      <c r="E545">
        <v>3274</v>
      </c>
      <c r="F545" s="1">
        <v>0.13089999999999999</v>
      </c>
      <c r="G545">
        <v>4168</v>
      </c>
      <c r="H545" s="1">
        <v>0.12720000000000001</v>
      </c>
      <c r="I545">
        <v>-0.37</v>
      </c>
      <c r="J545">
        <v>894</v>
      </c>
      <c r="K545" s="1">
        <v>0.11509999999999999</v>
      </c>
      <c r="L545">
        <v>4924</v>
      </c>
      <c r="M545" s="1">
        <v>0.12549379412289421</v>
      </c>
      <c r="N545">
        <v>-0.54</v>
      </c>
      <c r="O545">
        <v>756</v>
      </c>
      <c r="P545" s="1">
        <v>0.11690119066027524</v>
      </c>
      <c r="Q545">
        <v>5123</v>
      </c>
      <c r="R545" s="1">
        <v>0.12493293664341804</v>
      </c>
      <c r="S545">
        <v>-0.6</v>
      </c>
      <c r="T545">
        <v>199</v>
      </c>
      <c r="U545" s="1">
        <v>0.11249293386093838</v>
      </c>
      <c r="V545">
        <v>5827</v>
      </c>
      <c r="W545" s="1">
        <v>0.1292246961767054</v>
      </c>
      <c r="X545">
        <v>-0.17</v>
      </c>
      <c r="Y545">
        <v>704</v>
      </c>
      <c r="Z545" s="1">
        <v>0.17229564366128242</v>
      </c>
      <c r="AA545">
        <v>5869</v>
      </c>
      <c r="AB545" s="1">
        <v>0.12938997773319519</v>
      </c>
      <c r="AC545">
        <v>-0.15</v>
      </c>
      <c r="AD545">
        <v>42</v>
      </c>
      <c r="AE545" s="1">
        <v>0.15730337078651685</v>
      </c>
      <c r="AF545">
        <v>5988</v>
      </c>
      <c r="AG545" s="1">
        <v>0.13000151972384447</v>
      </c>
      <c r="AH545">
        <v>-0.09</v>
      </c>
      <c r="AI545">
        <v>119</v>
      </c>
      <c r="AJ545" s="1">
        <v>0.16951566951566951</v>
      </c>
    </row>
    <row r="546" spans="1:36" x14ac:dyDescent="0.3">
      <c r="A546" t="s">
        <v>108</v>
      </c>
      <c r="B546">
        <v>170673</v>
      </c>
      <c r="C546" t="s">
        <v>646</v>
      </c>
      <c r="D546" t="s">
        <v>400</v>
      </c>
      <c r="E546">
        <v>2109</v>
      </c>
      <c r="F546" s="1">
        <v>8.43E-2</v>
      </c>
      <c r="G546">
        <v>2631</v>
      </c>
      <c r="H546" s="1">
        <v>8.0299999999999996E-2</v>
      </c>
      <c r="I546">
        <v>-0.4</v>
      </c>
      <c r="J546">
        <v>522</v>
      </c>
      <c r="K546" s="1">
        <v>6.7199999999999996E-2</v>
      </c>
      <c r="L546">
        <v>3165</v>
      </c>
      <c r="M546" s="1">
        <v>8.066365930116981E-2</v>
      </c>
      <c r="N546">
        <v>-0.36</v>
      </c>
      <c r="O546">
        <v>534</v>
      </c>
      <c r="P546" s="1">
        <v>8.2573063244162678E-2</v>
      </c>
      <c r="Q546">
        <v>3254</v>
      </c>
      <c r="R546" s="1">
        <v>7.9354240842803486E-2</v>
      </c>
      <c r="S546">
        <v>-0.49</v>
      </c>
      <c r="T546">
        <v>89</v>
      </c>
      <c r="U546" s="1">
        <v>5.0310910118711138E-2</v>
      </c>
      <c r="V546">
        <v>3727</v>
      </c>
      <c r="W546" s="1">
        <v>8.2653242260267892E-2</v>
      </c>
      <c r="X546">
        <v>-0.16</v>
      </c>
      <c r="Y546">
        <v>473</v>
      </c>
      <c r="Z546" s="1">
        <v>0.11576113558492414</v>
      </c>
      <c r="AA546">
        <v>3767</v>
      </c>
      <c r="AB546" s="1">
        <v>8.3048568090125438E-2</v>
      </c>
      <c r="AC546">
        <v>-0.13</v>
      </c>
      <c r="AD546">
        <v>40</v>
      </c>
      <c r="AE546" s="1">
        <v>0.14981273408239701</v>
      </c>
      <c r="AF546">
        <v>3833</v>
      </c>
      <c r="AG546" s="1">
        <v>8.3215735654892431E-2</v>
      </c>
      <c r="AH546">
        <v>-0.11</v>
      </c>
      <c r="AI546">
        <v>66</v>
      </c>
      <c r="AJ546" s="1">
        <v>9.4017094017094016E-2</v>
      </c>
    </row>
    <row r="547" spans="1:36" x14ac:dyDescent="0.3">
      <c r="A547" t="s">
        <v>108</v>
      </c>
      <c r="B547">
        <v>170673</v>
      </c>
      <c r="C547" t="s">
        <v>402</v>
      </c>
      <c r="E547">
        <v>58</v>
      </c>
      <c r="F547" s="1">
        <v>2.3E-3</v>
      </c>
      <c r="G547">
        <v>80</v>
      </c>
      <c r="H547" s="1">
        <v>2.3999999999999998E-3</v>
      </c>
      <c r="I547">
        <v>0.01</v>
      </c>
      <c r="J547">
        <v>22</v>
      </c>
      <c r="K547" s="1">
        <v>2.8000000000000004E-3</v>
      </c>
      <c r="L547">
        <v>94</v>
      </c>
      <c r="M547" s="1">
        <v>2.3956979381706042E-3</v>
      </c>
      <c r="N547">
        <v>0.01</v>
      </c>
      <c r="O547">
        <v>14</v>
      </c>
      <c r="P547" s="1">
        <v>2.1648368640791713E-3</v>
      </c>
      <c r="Q547">
        <v>105</v>
      </c>
      <c r="R547" s="1">
        <v>2.5606008876749744E-3</v>
      </c>
      <c r="S547">
        <v>0.03</v>
      </c>
      <c r="T547">
        <v>11</v>
      </c>
      <c r="U547" s="1">
        <v>6.2182023742227248E-3</v>
      </c>
      <c r="V547">
        <v>118</v>
      </c>
      <c r="W547" s="1">
        <v>2.616872172447441E-3</v>
      </c>
      <c r="X547">
        <v>0.03</v>
      </c>
      <c r="Y547">
        <v>13</v>
      </c>
      <c r="Z547" s="1">
        <v>3.1815956926089083E-3</v>
      </c>
      <c r="AA547">
        <v>121</v>
      </c>
      <c r="AB547" s="1">
        <v>2.6676073105668116E-3</v>
      </c>
      <c r="AC547">
        <v>0.04</v>
      </c>
      <c r="AD547">
        <v>3</v>
      </c>
      <c r="AE547" s="1">
        <v>1.1235955056179775E-2</v>
      </c>
      <c r="AF547">
        <v>121</v>
      </c>
      <c r="AG547" s="1">
        <v>2.6269512168645925E-3</v>
      </c>
      <c r="AH547">
        <v>0.03</v>
      </c>
      <c r="AI547">
        <v>0</v>
      </c>
      <c r="AJ547" s="1">
        <v>0</v>
      </c>
    </row>
    <row r="548" spans="1:36" x14ac:dyDescent="0.3">
      <c r="A548" t="s">
        <v>108</v>
      </c>
      <c r="B548">
        <v>170673</v>
      </c>
      <c r="C548" t="s">
        <v>701</v>
      </c>
      <c r="E548">
        <v>31</v>
      </c>
      <c r="F548" s="1" t="s">
        <v>700</v>
      </c>
      <c r="G548">
        <v>52</v>
      </c>
      <c r="H548" s="1" t="s">
        <v>700</v>
      </c>
      <c r="I548" t="s">
        <v>700</v>
      </c>
      <c r="J548">
        <v>21</v>
      </c>
      <c r="K548" s="1" t="s">
        <v>700</v>
      </c>
      <c r="L548">
        <v>65</v>
      </c>
      <c r="M548" s="1" t="s">
        <v>700</v>
      </c>
      <c r="N548" t="s">
        <v>700</v>
      </c>
      <c r="O548">
        <v>13</v>
      </c>
      <c r="P548" s="1" t="s">
        <v>700</v>
      </c>
      <c r="Q548">
        <v>14</v>
      </c>
      <c r="R548" s="1" t="s">
        <v>700</v>
      </c>
      <c r="S548" t="s">
        <v>700</v>
      </c>
      <c r="T548">
        <v>-51</v>
      </c>
      <c r="U548" s="1" t="s">
        <v>700</v>
      </c>
      <c r="V548">
        <v>14</v>
      </c>
      <c r="Y548">
        <v>0</v>
      </c>
      <c r="AA548">
        <v>14</v>
      </c>
      <c r="AD548">
        <v>0</v>
      </c>
      <c r="AF548">
        <v>16</v>
      </c>
      <c r="AI548">
        <v>2</v>
      </c>
    </row>
    <row r="549" spans="1:36" x14ac:dyDescent="0.3">
      <c r="A549" t="s">
        <v>108</v>
      </c>
      <c r="B549">
        <v>170673</v>
      </c>
      <c r="C549" t="s">
        <v>702</v>
      </c>
      <c r="E549">
        <v>1138</v>
      </c>
      <c r="F549" s="1" t="s">
        <v>700</v>
      </c>
      <c r="G549">
        <v>1420</v>
      </c>
      <c r="H549" s="1" t="s">
        <v>700</v>
      </c>
      <c r="I549" t="s">
        <v>700</v>
      </c>
      <c r="J549">
        <v>282</v>
      </c>
      <c r="K549" s="1" t="s">
        <v>700</v>
      </c>
      <c r="L549">
        <v>1699</v>
      </c>
      <c r="M549" s="1" t="s">
        <v>700</v>
      </c>
      <c r="N549" t="s">
        <v>700</v>
      </c>
      <c r="O549">
        <v>279</v>
      </c>
      <c r="P549" s="1" t="s">
        <v>700</v>
      </c>
      <c r="Q549">
        <v>1803</v>
      </c>
      <c r="R549" s="1" t="s">
        <v>700</v>
      </c>
      <c r="S549" t="s">
        <v>700</v>
      </c>
      <c r="T549">
        <v>104</v>
      </c>
      <c r="U549" s="1" t="s">
        <v>700</v>
      </c>
      <c r="V549">
        <v>2103</v>
      </c>
      <c r="Y549">
        <v>300</v>
      </c>
      <c r="AA549">
        <v>2132</v>
      </c>
      <c r="AD549">
        <v>29</v>
      </c>
      <c r="AF549">
        <v>2193</v>
      </c>
      <c r="AI549">
        <v>61</v>
      </c>
    </row>
    <row r="550" spans="1:36" x14ac:dyDescent="0.3">
      <c r="A550" t="s">
        <v>187</v>
      </c>
      <c r="B550" t="s">
        <v>729</v>
      </c>
      <c r="C550" t="s">
        <v>699</v>
      </c>
      <c r="D550" t="s">
        <v>700</v>
      </c>
      <c r="E550">
        <v>20194</v>
      </c>
      <c r="F550" s="1" t="s">
        <v>700</v>
      </c>
      <c r="G550">
        <v>25370</v>
      </c>
      <c r="H550" s="1" t="s">
        <v>700</v>
      </c>
      <c r="I550" t="s">
        <v>700</v>
      </c>
      <c r="J550">
        <v>5176</v>
      </c>
      <c r="K550" s="1" t="s">
        <v>700</v>
      </c>
      <c r="L550">
        <v>29357</v>
      </c>
      <c r="M550" s="1" t="s">
        <v>700</v>
      </c>
      <c r="N550" t="s">
        <v>700</v>
      </c>
      <c r="O550">
        <v>3987</v>
      </c>
      <c r="P550" s="1" t="s">
        <v>700</v>
      </c>
      <c r="Q550">
        <v>35987</v>
      </c>
      <c r="R550" s="1" t="s">
        <v>700</v>
      </c>
      <c r="S550" t="s">
        <v>700</v>
      </c>
      <c r="T550">
        <v>6630</v>
      </c>
      <c r="U550" s="1" t="s">
        <v>700</v>
      </c>
      <c r="V550">
        <v>37263</v>
      </c>
      <c r="Y550">
        <v>1276</v>
      </c>
      <c r="AA550">
        <v>37342</v>
      </c>
      <c r="AD550">
        <v>79</v>
      </c>
      <c r="AF550">
        <v>37603</v>
      </c>
      <c r="AI550">
        <v>261</v>
      </c>
    </row>
    <row r="551" spans="1:36" x14ac:dyDescent="0.3">
      <c r="A551" t="s">
        <v>187</v>
      </c>
      <c r="B551" t="s">
        <v>729</v>
      </c>
      <c r="C551" t="s">
        <v>647</v>
      </c>
      <c r="D551" t="s">
        <v>700</v>
      </c>
      <c r="E551">
        <v>14214</v>
      </c>
      <c r="F551" s="1">
        <v>0.71620000000000006</v>
      </c>
      <c r="G551">
        <v>17828</v>
      </c>
      <c r="H551" s="1">
        <v>0.71560000000000001</v>
      </c>
      <c r="I551">
        <v>-0.06</v>
      </c>
      <c r="J551">
        <v>3614</v>
      </c>
      <c r="K551" s="1">
        <v>0.71340000000000003</v>
      </c>
      <c r="L551">
        <v>20729</v>
      </c>
      <c r="M551" s="1">
        <v>0.71918259723137767</v>
      </c>
      <c r="N551">
        <v>0.3</v>
      </c>
      <c r="O551">
        <v>2901</v>
      </c>
      <c r="P551" s="1">
        <v>0.7419437340153453</v>
      </c>
      <c r="Q551">
        <v>25474</v>
      </c>
      <c r="R551" s="1">
        <v>0.721929377090064</v>
      </c>
      <c r="S551">
        <v>0.56999999999999995</v>
      </c>
      <c r="T551">
        <v>4745</v>
      </c>
      <c r="U551" s="1">
        <v>0.73417917375831654</v>
      </c>
      <c r="V551">
        <v>26329</v>
      </c>
      <c r="W551" s="1">
        <v>0.72033596892013896</v>
      </c>
      <c r="X551">
        <v>0.41</v>
      </c>
      <c r="Y551">
        <v>855</v>
      </c>
      <c r="Z551" s="1">
        <v>0.67588932806324109</v>
      </c>
      <c r="AA551">
        <v>26383</v>
      </c>
      <c r="AB551" s="1">
        <v>0.71994214921137367</v>
      </c>
      <c r="AC551">
        <v>0.37</v>
      </c>
      <c r="AD551">
        <v>54</v>
      </c>
      <c r="AE551" s="1">
        <v>0.56842105263157894</v>
      </c>
      <c r="AF551">
        <v>26578</v>
      </c>
      <c r="AG551" s="1">
        <v>0.72044672142256916</v>
      </c>
      <c r="AH551">
        <v>0.42</v>
      </c>
      <c r="AI551">
        <v>195</v>
      </c>
      <c r="AJ551" s="1">
        <v>0.79591836734693877</v>
      </c>
    </row>
    <row r="552" spans="1:36" x14ac:dyDescent="0.3">
      <c r="A552" t="s">
        <v>187</v>
      </c>
      <c r="B552" t="s">
        <v>729</v>
      </c>
      <c r="C552" t="s">
        <v>648</v>
      </c>
      <c r="D552" t="s">
        <v>700</v>
      </c>
      <c r="E552">
        <v>5410</v>
      </c>
      <c r="F552" s="1">
        <v>0.27260000000000001</v>
      </c>
      <c r="G552">
        <v>6803</v>
      </c>
      <c r="H552" s="1">
        <v>0.27310000000000001</v>
      </c>
      <c r="I552">
        <v>0.05</v>
      </c>
      <c r="J552">
        <v>1393</v>
      </c>
      <c r="K552" s="1">
        <v>0.27500000000000002</v>
      </c>
      <c r="L552">
        <v>7762</v>
      </c>
      <c r="M552" s="1">
        <v>0.26929882385594839</v>
      </c>
      <c r="N552">
        <v>-0.33</v>
      </c>
      <c r="O552">
        <v>959</v>
      </c>
      <c r="P552" s="1">
        <v>0.24526854219948849</v>
      </c>
      <c r="Q552">
        <v>9391</v>
      </c>
      <c r="R552" s="1">
        <v>0.26613954542878193</v>
      </c>
      <c r="S552">
        <v>-0.65</v>
      </c>
      <c r="T552">
        <v>1629</v>
      </c>
      <c r="U552" s="1">
        <v>0.25205013151787098</v>
      </c>
      <c r="V552">
        <v>9786</v>
      </c>
      <c r="W552" s="1">
        <v>0.26773549287297199</v>
      </c>
      <c r="X552">
        <v>-0.49</v>
      </c>
      <c r="Y552">
        <v>395</v>
      </c>
      <c r="Z552" s="1">
        <v>0.31225296442687744</v>
      </c>
      <c r="AA552">
        <v>9824</v>
      </c>
      <c r="AB552" s="1">
        <v>0.26807837144572394</v>
      </c>
      <c r="AC552">
        <v>-0.45</v>
      </c>
      <c r="AD552">
        <v>38</v>
      </c>
      <c r="AE552" s="1">
        <v>0.4</v>
      </c>
      <c r="AF552">
        <v>9871</v>
      </c>
      <c r="AG552" s="1">
        <v>0.26757203654007755</v>
      </c>
      <c r="AH552">
        <v>-0.5</v>
      </c>
      <c r="AI552">
        <v>47</v>
      </c>
      <c r="AJ552" s="1">
        <v>0.19183673469387755</v>
      </c>
    </row>
    <row r="553" spans="1:36" x14ac:dyDescent="0.3">
      <c r="A553" t="s">
        <v>187</v>
      </c>
      <c r="B553" t="s">
        <v>729</v>
      </c>
      <c r="C553" t="s">
        <v>649</v>
      </c>
      <c r="D553" t="s">
        <v>700</v>
      </c>
      <c r="E553">
        <v>190</v>
      </c>
      <c r="F553" s="1">
        <v>9.5999999999999992E-3</v>
      </c>
      <c r="G553">
        <v>240</v>
      </c>
      <c r="H553" s="1">
        <v>9.5999999999999992E-3</v>
      </c>
      <c r="I553">
        <v>0</v>
      </c>
      <c r="J553">
        <v>50</v>
      </c>
      <c r="K553" s="1">
        <v>9.8999999999999991E-3</v>
      </c>
      <c r="L553">
        <v>287</v>
      </c>
      <c r="M553" s="1">
        <v>9.9573257467994308E-3</v>
      </c>
      <c r="N553">
        <v>0.04</v>
      </c>
      <c r="O553">
        <v>47</v>
      </c>
      <c r="P553" s="1">
        <v>1.2020460358056265E-2</v>
      </c>
      <c r="Q553">
        <v>362</v>
      </c>
      <c r="R553" s="1">
        <v>1.0259026242702488E-2</v>
      </c>
      <c r="S553">
        <v>7.0000000000000007E-2</v>
      </c>
      <c r="T553">
        <v>75</v>
      </c>
      <c r="U553" s="1">
        <v>1.1604518025684667E-2</v>
      </c>
      <c r="V553">
        <v>379</v>
      </c>
      <c r="W553" s="1">
        <v>1.036907334956636E-2</v>
      </c>
      <c r="X553">
        <v>0.08</v>
      </c>
      <c r="Y553">
        <v>17</v>
      </c>
      <c r="Z553" s="1">
        <v>1.3438735177865613E-2</v>
      </c>
      <c r="AA553">
        <v>382</v>
      </c>
      <c r="AB553" s="1">
        <v>1.0424057195874038E-2</v>
      </c>
      <c r="AC553">
        <v>0.08</v>
      </c>
      <c r="AD553">
        <v>3</v>
      </c>
      <c r="AE553" s="1">
        <v>3.1578947368421054E-2</v>
      </c>
      <c r="AF553">
        <v>385</v>
      </c>
      <c r="AG553" s="1">
        <v>1.0436149738418584E-2</v>
      </c>
      <c r="AH553">
        <v>0.08</v>
      </c>
      <c r="AI553">
        <v>3</v>
      </c>
      <c r="AJ553" s="1">
        <v>1.2244897959183673E-2</v>
      </c>
    </row>
    <row r="554" spans="1:36" x14ac:dyDescent="0.3">
      <c r="A554" t="s">
        <v>187</v>
      </c>
      <c r="B554" t="s">
        <v>729</v>
      </c>
      <c r="C554" t="s">
        <v>404</v>
      </c>
      <c r="D554" t="s">
        <v>700</v>
      </c>
      <c r="E554">
        <v>33</v>
      </c>
      <c r="F554" s="1">
        <v>1.7000000000000001E-3</v>
      </c>
      <c r="G554">
        <v>42</v>
      </c>
      <c r="H554" s="1">
        <v>1.7000000000000001E-3</v>
      </c>
      <c r="I554">
        <v>0</v>
      </c>
      <c r="J554">
        <v>9</v>
      </c>
      <c r="K554" s="1">
        <v>1.8E-3</v>
      </c>
      <c r="L554">
        <v>45</v>
      </c>
      <c r="M554" s="1">
        <v>1.5612531658744753E-3</v>
      </c>
      <c r="N554">
        <v>-0.01</v>
      </c>
      <c r="O554">
        <v>3</v>
      </c>
      <c r="P554" s="1">
        <v>7.6726342710997447E-4</v>
      </c>
      <c r="Q554">
        <v>59</v>
      </c>
      <c r="R554" s="1">
        <v>1.6720512384515104E-3</v>
      </c>
      <c r="S554">
        <v>0</v>
      </c>
      <c r="T554">
        <v>14</v>
      </c>
      <c r="U554" s="1">
        <v>2.1661766981278044E-3</v>
      </c>
      <c r="V554">
        <v>57</v>
      </c>
      <c r="W554" s="1">
        <v>1.5594648573226452E-3</v>
      </c>
      <c r="X554">
        <v>-0.01</v>
      </c>
      <c r="Y554">
        <v>-2</v>
      </c>
      <c r="Z554" s="1">
        <v>-1.5810276679841897E-3</v>
      </c>
      <c r="AA554">
        <v>57</v>
      </c>
      <c r="AB554" s="1">
        <v>1.5554221470283252E-3</v>
      </c>
      <c r="AC554">
        <v>-0.01</v>
      </c>
      <c r="AD554">
        <v>0</v>
      </c>
      <c r="AE554" s="1">
        <v>0</v>
      </c>
      <c r="AF554">
        <v>57</v>
      </c>
      <c r="AG554" s="1">
        <v>1.5450922989346996E-3</v>
      </c>
      <c r="AH554">
        <v>-0.02</v>
      </c>
      <c r="AI554">
        <v>0</v>
      </c>
      <c r="AJ554" s="1">
        <v>0</v>
      </c>
    </row>
    <row r="555" spans="1:36" x14ac:dyDescent="0.3">
      <c r="A555" t="s">
        <v>188</v>
      </c>
      <c r="B555" t="s">
        <v>730</v>
      </c>
      <c r="C555" t="s">
        <v>699</v>
      </c>
      <c r="D555" t="s">
        <v>700</v>
      </c>
      <c r="E555">
        <v>20194</v>
      </c>
      <c r="F555" s="1" t="s">
        <v>700</v>
      </c>
      <c r="G555">
        <v>25370</v>
      </c>
      <c r="H555" s="1" t="s">
        <v>700</v>
      </c>
      <c r="I555" t="s">
        <v>700</v>
      </c>
      <c r="J555">
        <v>5176</v>
      </c>
      <c r="K555" s="1" t="s">
        <v>700</v>
      </c>
      <c r="L555">
        <v>29357</v>
      </c>
      <c r="M555" s="1" t="s">
        <v>700</v>
      </c>
      <c r="N555" t="s">
        <v>700</v>
      </c>
      <c r="O555">
        <v>3987</v>
      </c>
      <c r="P555" s="1" t="s">
        <v>700</v>
      </c>
      <c r="Q555">
        <v>35987</v>
      </c>
      <c r="R555" s="1" t="s">
        <v>700</v>
      </c>
      <c r="S555" t="s">
        <v>700</v>
      </c>
      <c r="T555">
        <v>6630</v>
      </c>
      <c r="U555" s="1" t="s">
        <v>700</v>
      </c>
      <c r="V555">
        <v>37263</v>
      </c>
      <c r="Y555">
        <v>1276</v>
      </c>
      <c r="AA555">
        <v>37342</v>
      </c>
      <c r="AD555">
        <v>79</v>
      </c>
      <c r="AF555">
        <v>37603</v>
      </c>
      <c r="AI555">
        <v>261</v>
      </c>
    </row>
    <row r="556" spans="1:36" x14ac:dyDescent="0.3">
      <c r="A556" t="s">
        <v>188</v>
      </c>
      <c r="B556" t="s">
        <v>730</v>
      </c>
      <c r="C556" t="s">
        <v>652</v>
      </c>
      <c r="D556" t="s">
        <v>700</v>
      </c>
      <c r="E556">
        <v>12943</v>
      </c>
      <c r="F556" s="1">
        <v>0.66390000000000005</v>
      </c>
      <c r="G556">
        <v>16176</v>
      </c>
      <c r="H556" s="1">
        <v>0.66110000000000002</v>
      </c>
      <c r="I556">
        <v>-0.28000000000000003</v>
      </c>
      <c r="J556">
        <v>3233</v>
      </c>
      <c r="K556" s="1">
        <v>0.65040000000000009</v>
      </c>
      <c r="L556">
        <v>18824</v>
      </c>
      <c r="M556" s="1">
        <v>0.66464232751924301</v>
      </c>
      <c r="N556">
        <v>7.0000000000000007E-2</v>
      </c>
      <c r="O556">
        <v>2648</v>
      </c>
      <c r="P556" s="1">
        <v>0.68690012970168612</v>
      </c>
      <c r="Q556">
        <v>23042</v>
      </c>
      <c r="R556" s="1">
        <v>0.66420685480383956</v>
      </c>
      <c r="S556">
        <v>0.03</v>
      </c>
      <c r="T556">
        <v>4218</v>
      </c>
      <c r="U556" s="1">
        <v>0.66227037211493167</v>
      </c>
      <c r="V556">
        <v>23804</v>
      </c>
      <c r="W556" s="1">
        <v>0.66302712940783248</v>
      </c>
      <c r="X556">
        <v>-0.09</v>
      </c>
      <c r="Y556">
        <v>762</v>
      </c>
      <c r="Z556" s="1">
        <v>0.62923203963666396</v>
      </c>
      <c r="AA556">
        <v>23855</v>
      </c>
      <c r="AB556" s="1">
        <v>0.66274934711340783</v>
      </c>
      <c r="AC556">
        <v>-0.12</v>
      </c>
      <c r="AD556">
        <v>51</v>
      </c>
      <c r="AE556" s="1">
        <v>0.55434782608695654</v>
      </c>
      <c r="AF556">
        <v>24035</v>
      </c>
      <c r="AG556" s="1">
        <v>0.66319913909660333</v>
      </c>
      <c r="AH556">
        <v>-7.0000000000000007E-2</v>
      </c>
      <c r="AI556">
        <v>180</v>
      </c>
      <c r="AJ556" s="1">
        <v>0.72874493927125505</v>
      </c>
    </row>
    <row r="557" spans="1:36" x14ac:dyDescent="0.3">
      <c r="A557" t="s">
        <v>188</v>
      </c>
      <c r="B557" t="s">
        <v>730</v>
      </c>
      <c r="C557" t="s">
        <v>651</v>
      </c>
      <c r="D557" t="s">
        <v>700</v>
      </c>
      <c r="E557">
        <v>6470</v>
      </c>
      <c r="F557" s="1">
        <v>0.33189999999999997</v>
      </c>
      <c r="G557">
        <v>8196</v>
      </c>
      <c r="H557" s="1">
        <v>0.33500000000000002</v>
      </c>
      <c r="I557">
        <v>0.31</v>
      </c>
      <c r="J557">
        <v>1726</v>
      </c>
      <c r="K557" s="1">
        <v>0.34720000000000001</v>
      </c>
      <c r="L557">
        <v>9387</v>
      </c>
      <c r="M557" s="1">
        <v>0.33143845773603559</v>
      </c>
      <c r="N557">
        <v>-0.05</v>
      </c>
      <c r="O557">
        <v>1191</v>
      </c>
      <c r="P557" s="1">
        <v>0.30894941634241246</v>
      </c>
      <c r="Q557">
        <v>11524</v>
      </c>
      <c r="R557" s="1">
        <v>0.33218990516272234</v>
      </c>
      <c r="S557">
        <v>0.03</v>
      </c>
      <c r="T557">
        <v>2137</v>
      </c>
      <c r="U557" s="1">
        <v>0.33553148060920079</v>
      </c>
      <c r="V557">
        <v>11999</v>
      </c>
      <c r="W557" s="1">
        <v>0.33421536404657121</v>
      </c>
      <c r="X557">
        <v>0.23</v>
      </c>
      <c r="Y557">
        <v>475</v>
      </c>
      <c r="Z557" s="1">
        <v>0.39223781998348473</v>
      </c>
      <c r="AA557">
        <v>12040</v>
      </c>
      <c r="AB557" s="1">
        <v>0.33450019447685725</v>
      </c>
      <c r="AC557">
        <v>0.26</v>
      </c>
      <c r="AD557">
        <v>41</v>
      </c>
      <c r="AE557" s="1">
        <v>0.44565217391304346</v>
      </c>
      <c r="AF557">
        <v>12106</v>
      </c>
      <c r="AG557" s="1">
        <v>0.33404155514472561</v>
      </c>
      <c r="AH557">
        <v>0.21</v>
      </c>
      <c r="AI557">
        <v>66</v>
      </c>
      <c r="AJ557" s="1">
        <v>0.26720647773279355</v>
      </c>
    </row>
    <row r="558" spans="1:36" x14ac:dyDescent="0.3">
      <c r="A558" t="s">
        <v>188</v>
      </c>
      <c r="B558" t="s">
        <v>730</v>
      </c>
      <c r="C558" t="s">
        <v>404</v>
      </c>
      <c r="D558" t="s">
        <v>700</v>
      </c>
      <c r="E558">
        <v>83</v>
      </c>
      <c r="F558" s="1">
        <v>4.3E-3</v>
      </c>
      <c r="G558">
        <v>95</v>
      </c>
      <c r="H558" s="1">
        <v>3.9000000000000003E-3</v>
      </c>
      <c r="I558">
        <v>-0.04</v>
      </c>
      <c r="J558">
        <v>12</v>
      </c>
      <c r="K558" s="1">
        <v>2.3999999999999998E-3</v>
      </c>
      <c r="L558">
        <v>111</v>
      </c>
      <c r="M558" s="1">
        <v>3.9192147447214181E-3</v>
      </c>
      <c r="N558">
        <v>-0.04</v>
      </c>
      <c r="O558">
        <v>16</v>
      </c>
      <c r="P558" s="1">
        <v>4.1504539559014267E-3</v>
      </c>
      <c r="Q558">
        <v>125</v>
      </c>
      <c r="R558" s="1">
        <v>3.6032400334380676E-3</v>
      </c>
      <c r="S558">
        <v>-7.0000000000000007E-2</v>
      </c>
      <c r="T558">
        <v>14</v>
      </c>
      <c r="U558" s="1">
        <v>2.1981472758674831E-3</v>
      </c>
      <c r="V558">
        <v>99</v>
      </c>
      <c r="W558" s="1">
        <v>2.7575065455963457E-3</v>
      </c>
      <c r="X558">
        <v>-0.15</v>
      </c>
      <c r="Y558">
        <v>-26</v>
      </c>
      <c r="Z558" s="1">
        <v>-2.1469859620148638E-2</v>
      </c>
      <c r="AA558">
        <v>99</v>
      </c>
      <c r="AB558" s="1">
        <v>2.7504584097349559E-3</v>
      </c>
      <c r="AC558">
        <v>-0.15</v>
      </c>
      <c r="AD558">
        <v>0</v>
      </c>
      <c r="AE558" s="1">
        <v>0</v>
      </c>
      <c r="AF558">
        <v>100</v>
      </c>
      <c r="AG558" s="1">
        <v>2.7593057586711182E-3</v>
      </c>
      <c r="AH558">
        <v>-0.15</v>
      </c>
      <c r="AI558">
        <v>1</v>
      </c>
      <c r="AJ558" s="1">
        <v>4.048582995951417E-3</v>
      </c>
    </row>
    <row r="559" spans="1:36" x14ac:dyDescent="0.3">
      <c r="A559" t="s">
        <v>178</v>
      </c>
      <c r="B559" t="s">
        <v>731</v>
      </c>
      <c r="C559" t="s">
        <v>699</v>
      </c>
      <c r="D559" t="s">
        <v>700</v>
      </c>
      <c r="E559">
        <v>18334</v>
      </c>
      <c r="F559" s="1" t="s">
        <v>700</v>
      </c>
      <c r="G559">
        <v>22023</v>
      </c>
      <c r="H559" s="1" t="s">
        <v>700</v>
      </c>
      <c r="I559" t="s">
        <v>700</v>
      </c>
      <c r="J559">
        <v>3689</v>
      </c>
      <c r="K559" s="1" t="s">
        <v>700</v>
      </c>
      <c r="L559">
        <v>28827</v>
      </c>
      <c r="M559" s="1" t="s">
        <v>700</v>
      </c>
      <c r="N559" t="s">
        <v>700</v>
      </c>
      <c r="O559">
        <v>6804</v>
      </c>
      <c r="P559" s="1" t="s">
        <v>700</v>
      </c>
      <c r="Q559">
        <v>35547</v>
      </c>
      <c r="R559" s="1" t="s">
        <v>700</v>
      </c>
      <c r="S559" t="s">
        <v>700</v>
      </c>
      <c r="T559">
        <v>6720</v>
      </c>
      <c r="U559" s="1" t="s">
        <v>700</v>
      </c>
      <c r="V559">
        <v>38483</v>
      </c>
      <c r="Y559">
        <v>2936</v>
      </c>
      <c r="AA559">
        <v>38632</v>
      </c>
      <c r="AD559">
        <v>149</v>
      </c>
      <c r="AF559">
        <v>39205</v>
      </c>
      <c r="AI559">
        <v>573</v>
      </c>
    </row>
    <row r="560" spans="1:36" x14ac:dyDescent="0.3">
      <c r="A560" t="s">
        <v>178</v>
      </c>
      <c r="B560" t="s">
        <v>731</v>
      </c>
      <c r="C560" t="s">
        <v>31</v>
      </c>
      <c r="D560" t="s">
        <v>700</v>
      </c>
      <c r="E560">
        <v>12633</v>
      </c>
      <c r="F560" s="1">
        <v>0.71060000000000001</v>
      </c>
      <c r="G560">
        <v>15022</v>
      </c>
      <c r="H560" s="1">
        <v>0.70319999999999994</v>
      </c>
      <c r="I560">
        <v>-0.74</v>
      </c>
      <c r="J560">
        <v>2389</v>
      </c>
      <c r="K560" s="1">
        <v>0.66639999999999999</v>
      </c>
      <c r="L560">
        <v>19079</v>
      </c>
      <c r="M560" s="1">
        <v>0.68207493207493208</v>
      </c>
      <c r="N560">
        <v>-2.85</v>
      </c>
      <c r="O560">
        <v>4057</v>
      </c>
      <c r="P560" s="1">
        <v>0.61385988803147229</v>
      </c>
      <c r="Q560">
        <v>23157</v>
      </c>
      <c r="R560" s="1">
        <v>0.6709840055632823</v>
      </c>
      <c r="S560">
        <v>-3.96</v>
      </c>
      <c r="T560">
        <v>4078</v>
      </c>
      <c r="U560" s="1">
        <v>0.62354740061162084</v>
      </c>
      <c r="V560">
        <v>24946</v>
      </c>
      <c r="W560" s="1">
        <v>0.66805923783508747</v>
      </c>
      <c r="X560">
        <v>-4.25</v>
      </c>
      <c r="Y560">
        <v>1789</v>
      </c>
      <c r="Z560" s="1">
        <v>0.63237893248497701</v>
      </c>
      <c r="AA560">
        <v>25110</v>
      </c>
      <c r="AB560" s="1">
        <v>0.66757058542032222</v>
      </c>
      <c r="AC560">
        <v>-4.3</v>
      </c>
      <c r="AD560">
        <v>164</v>
      </c>
      <c r="AE560" s="1">
        <v>0.60073260073260071</v>
      </c>
      <c r="AF560">
        <v>25454</v>
      </c>
      <c r="AG560" s="1">
        <v>0.66673651675092338</v>
      </c>
      <c r="AH560">
        <v>-4.3899999999999997</v>
      </c>
      <c r="AI560">
        <v>344</v>
      </c>
      <c r="AJ560" s="1">
        <v>0.61101243339253997</v>
      </c>
    </row>
    <row r="561" spans="1:36" x14ac:dyDescent="0.3">
      <c r="A561" t="s">
        <v>178</v>
      </c>
      <c r="B561" t="s">
        <v>731</v>
      </c>
      <c r="C561" t="s">
        <v>32</v>
      </c>
      <c r="D561" t="s">
        <v>700</v>
      </c>
      <c r="E561">
        <v>3176</v>
      </c>
      <c r="F561" s="1">
        <v>0.17859999999999998</v>
      </c>
      <c r="G561">
        <v>4066</v>
      </c>
      <c r="H561" s="1">
        <v>0.19030000000000002</v>
      </c>
      <c r="I561">
        <v>1.17</v>
      </c>
      <c r="J561">
        <v>890</v>
      </c>
      <c r="K561" s="1">
        <v>0.24829999999999999</v>
      </c>
      <c r="L561">
        <v>6021</v>
      </c>
      <c r="M561" s="1">
        <v>0.21525096525096524</v>
      </c>
      <c r="N561">
        <v>3.67</v>
      </c>
      <c r="O561">
        <v>1955</v>
      </c>
      <c r="P561" s="1">
        <v>0.29580874564987136</v>
      </c>
      <c r="Q561">
        <v>8024</v>
      </c>
      <c r="R561" s="1">
        <v>0.23249884098284654</v>
      </c>
      <c r="S561">
        <v>5.39</v>
      </c>
      <c r="T561">
        <v>2003</v>
      </c>
      <c r="U561" s="1">
        <v>0.30626911314984712</v>
      </c>
      <c r="V561">
        <v>8735</v>
      </c>
      <c r="W561" s="1">
        <v>0.23392517607991217</v>
      </c>
      <c r="X561">
        <v>5.53</v>
      </c>
      <c r="Y561">
        <v>711</v>
      </c>
      <c r="Z561" s="1">
        <v>0.25132555673382823</v>
      </c>
      <c r="AA561">
        <v>8818</v>
      </c>
      <c r="AB561" s="1">
        <v>0.23443398734513746</v>
      </c>
      <c r="AC561">
        <v>5.58</v>
      </c>
      <c r="AD561">
        <v>83</v>
      </c>
      <c r="AE561" s="1">
        <v>0.304029304029304</v>
      </c>
      <c r="AF561">
        <v>8990</v>
      </c>
      <c r="AG561" s="1">
        <v>0.23548209655027896</v>
      </c>
      <c r="AH561">
        <v>5.69</v>
      </c>
      <c r="AI561">
        <v>172</v>
      </c>
      <c r="AJ561" s="1">
        <v>0.30550621669626998</v>
      </c>
    </row>
    <row r="562" spans="1:36" x14ac:dyDescent="0.3">
      <c r="A562" t="s">
        <v>178</v>
      </c>
      <c r="B562" t="s">
        <v>731</v>
      </c>
      <c r="C562" t="s">
        <v>389</v>
      </c>
      <c r="D562" t="s">
        <v>700</v>
      </c>
      <c r="E562">
        <v>1911</v>
      </c>
      <c r="F562" s="1">
        <v>0.1075</v>
      </c>
      <c r="G562">
        <v>2207</v>
      </c>
      <c r="H562" s="1">
        <v>0.1033</v>
      </c>
      <c r="I562">
        <v>-0.42</v>
      </c>
      <c r="J562">
        <v>296</v>
      </c>
      <c r="K562" s="1">
        <v>8.2599999999999993E-2</v>
      </c>
      <c r="L562">
        <v>2793</v>
      </c>
      <c r="M562" s="1">
        <v>9.9849849849849848E-2</v>
      </c>
      <c r="N562">
        <v>-0.77</v>
      </c>
      <c r="O562">
        <v>586</v>
      </c>
      <c r="P562" s="1">
        <v>8.8666969284309269E-2</v>
      </c>
      <c r="Q562">
        <v>3242</v>
      </c>
      <c r="R562" s="1">
        <v>9.3938340287436251E-2</v>
      </c>
      <c r="S562">
        <v>-1.36</v>
      </c>
      <c r="T562">
        <v>449</v>
      </c>
      <c r="U562" s="1">
        <v>6.8654434250764521E-2</v>
      </c>
      <c r="V562">
        <v>3571</v>
      </c>
      <c r="W562" s="1">
        <v>9.5632146969818699E-2</v>
      </c>
      <c r="X562">
        <v>-1.19</v>
      </c>
      <c r="Y562">
        <v>329</v>
      </c>
      <c r="Z562" s="1">
        <v>0.11629551078119477</v>
      </c>
      <c r="AA562">
        <v>3595</v>
      </c>
      <c r="AB562" s="1">
        <v>9.5576115276226933E-2</v>
      </c>
      <c r="AC562">
        <v>-1.19</v>
      </c>
      <c r="AD562">
        <v>24</v>
      </c>
      <c r="AE562" s="1">
        <v>8.7912087912087919E-2</v>
      </c>
      <c r="AF562">
        <v>3638</v>
      </c>
      <c r="AG562" s="1">
        <v>9.5292977447154051E-2</v>
      </c>
      <c r="AH562">
        <v>-1.22</v>
      </c>
      <c r="AI562">
        <v>43</v>
      </c>
      <c r="AJ562" s="1">
        <v>7.6376554174067496E-2</v>
      </c>
    </row>
    <row r="563" spans="1:36" x14ac:dyDescent="0.3">
      <c r="A563" t="s">
        <v>178</v>
      </c>
      <c r="B563" t="s">
        <v>731</v>
      </c>
      <c r="C563" t="s">
        <v>404</v>
      </c>
      <c r="D563" t="s">
        <v>700</v>
      </c>
      <c r="E563">
        <v>58</v>
      </c>
      <c r="F563" s="1">
        <v>3.3E-3</v>
      </c>
      <c r="G563">
        <v>68</v>
      </c>
      <c r="H563" s="1">
        <v>3.2000000000000002E-3</v>
      </c>
      <c r="I563">
        <v>-0.01</v>
      </c>
      <c r="J563">
        <v>10</v>
      </c>
      <c r="K563" s="1">
        <v>2.8000000000000004E-3</v>
      </c>
      <c r="L563">
        <v>79</v>
      </c>
      <c r="M563" s="1">
        <v>2.8242528242528242E-3</v>
      </c>
      <c r="N563">
        <v>-0.05</v>
      </c>
      <c r="O563">
        <v>11</v>
      </c>
      <c r="P563" s="1">
        <v>1.6643970343471024E-3</v>
      </c>
      <c r="Q563">
        <v>89</v>
      </c>
      <c r="R563" s="1">
        <v>2.5788131664348634E-3</v>
      </c>
      <c r="S563">
        <v>-7.0000000000000007E-2</v>
      </c>
      <c r="T563">
        <v>10</v>
      </c>
      <c r="U563" s="1">
        <v>1.5290519877675841E-3</v>
      </c>
      <c r="V563">
        <v>89</v>
      </c>
      <c r="W563" s="1">
        <v>2.3834391151817038E-3</v>
      </c>
      <c r="X563">
        <v>-0.09</v>
      </c>
      <c r="Y563">
        <v>0</v>
      </c>
      <c r="Z563" s="1">
        <v>0</v>
      </c>
      <c r="AA563">
        <v>91</v>
      </c>
      <c r="AB563" s="1">
        <v>2.4193119583133939E-3</v>
      </c>
      <c r="AC563">
        <v>-0.09</v>
      </c>
      <c r="AD563">
        <v>2</v>
      </c>
      <c r="AE563" s="1">
        <v>7.326007326007326E-3</v>
      </c>
      <c r="AF563">
        <v>95</v>
      </c>
      <c r="AG563" s="1">
        <v>2.4884092516436599E-3</v>
      </c>
      <c r="AH563">
        <v>-0.08</v>
      </c>
      <c r="AI563">
        <v>4</v>
      </c>
      <c r="AJ563" s="1">
        <v>7.104795737122558E-3</v>
      </c>
    </row>
    <row r="564" spans="1:36" x14ac:dyDescent="0.3">
      <c r="A564" t="s">
        <v>179</v>
      </c>
      <c r="B564" t="s">
        <v>732</v>
      </c>
      <c r="C564" t="s">
        <v>699</v>
      </c>
      <c r="D564" t="s">
        <v>700</v>
      </c>
      <c r="E564">
        <v>18334</v>
      </c>
      <c r="F564" s="1" t="s">
        <v>700</v>
      </c>
      <c r="G564">
        <v>22023</v>
      </c>
      <c r="H564" s="1" t="s">
        <v>700</v>
      </c>
      <c r="I564" t="s">
        <v>700</v>
      </c>
      <c r="J564">
        <v>3689</v>
      </c>
      <c r="K564" s="1" t="s">
        <v>700</v>
      </c>
      <c r="L564">
        <v>28827</v>
      </c>
      <c r="M564" s="1" t="s">
        <v>700</v>
      </c>
      <c r="N564" t="s">
        <v>700</v>
      </c>
      <c r="O564">
        <v>6804</v>
      </c>
      <c r="P564" s="1" t="s">
        <v>700</v>
      </c>
      <c r="Q564">
        <v>35547</v>
      </c>
      <c r="R564" s="1" t="s">
        <v>700</v>
      </c>
      <c r="S564" t="s">
        <v>700</v>
      </c>
      <c r="T564">
        <v>6720</v>
      </c>
      <c r="U564" s="1" t="s">
        <v>700</v>
      </c>
      <c r="V564">
        <v>38483</v>
      </c>
      <c r="Y564">
        <v>2936</v>
      </c>
      <c r="AA564">
        <v>38632</v>
      </c>
      <c r="AD564">
        <v>149</v>
      </c>
      <c r="AF564">
        <v>39205</v>
      </c>
      <c r="AI564">
        <v>573</v>
      </c>
    </row>
    <row r="565" spans="1:36" x14ac:dyDescent="0.3">
      <c r="A565" t="s">
        <v>179</v>
      </c>
      <c r="B565" t="s">
        <v>732</v>
      </c>
      <c r="C565" t="s">
        <v>657</v>
      </c>
      <c r="D565" t="s">
        <v>700</v>
      </c>
      <c r="E565">
        <v>15194</v>
      </c>
      <c r="F565" s="1">
        <v>0.90749999999999997</v>
      </c>
      <c r="G565">
        <v>18317</v>
      </c>
      <c r="H565" s="1">
        <v>0.90859999999999996</v>
      </c>
      <c r="I565">
        <v>0.11</v>
      </c>
      <c r="J565">
        <v>3123</v>
      </c>
      <c r="K565" s="1">
        <v>0.91370000000000007</v>
      </c>
      <c r="L565">
        <v>24128</v>
      </c>
      <c r="M565" s="1">
        <v>0.91128148959474264</v>
      </c>
      <c r="N565">
        <v>0.38</v>
      </c>
      <c r="O565">
        <v>5811</v>
      </c>
      <c r="P565" s="1">
        <v>0.91989868608516701</v>
      </c>
      <c r="Q565">
        <v>29946</v>
      </c>
      <c r="R565" s="1">
        <v>0.91575181187119659</v>
      </c>
      <c r="S565">
        <v>0.83</v>
      </c>
      <c r="T565">
        <v>5818</v>
      </c>
      <c r="U565" s="1">
        <v>0.93476863753213368</v>
      </c>
      <c r="V565">
        <v>32267</v>
      </c>
      <c r="W565" s="1">
        <v>0.91579156496565817</v>
      </c>
      <c r="X565">
        <v>0.83</v>
      </c>
      <c r="Y565">
        <v>2321</v>
      </c>
      <c r="Z565" s="1">
        <v>0.91630477694433476</v>
      </c>
      <c r="AA565">
        <v>32404</v>
      </c>
      <c r="AB565" s="1">
        <v>0.91547067465250309</v>
      </c>
      <c r="AC565">
        <v>0.8</v>
      </c>
      <c r="AD565">
        <v>137</v>
      </c>
      <c r="AE565" s="1">
        <v>0.84567901234567899</v>
      </c>
      <c r="AF565">
        <v>32872</v>
      </c>
      <c r="AG565" s="1">
        <v>0.91532314203770226</v>
      </c>
      <c r="AH565">
        <v>0.78</v>
      </c>
      <c r="AI565">
        <v>468</v>
      </c>
      <c r="AJ565" s="1">
        <v>0.90522243713733075</v>
      </c>
    </row>
    <row r="566" spans="1:36" x14ac:dyDescent="0.3">
      <c r="A566" t="s">
        <v>179</v>
      </c>
      <c r="B566" t="s">
        <v>732</v>
      </c>
      <c r="C566" t="s">
        <v>658</v>
      </c>
      <c r="D566" t="s">
        <v>700</v>
      </c>
      <c r="E566">
        <v>1310</v>
      </c>
      <c r="F566" s="1">
        <v>7.8200000000000006E-2</v>
      </c>
      <c r="G566">
        <v>1573</v>
      </c>
      <c r="H566" s="1">
        <v>7.8E-2</v>
      </c>
      <c r="I566">
        <v>-0.02</v>
      </c>
      <c r="J566">
        <v>263</v>
      </c>
      <c r="K566" s="1">
        <v>7.690000000000001E-2</v>
      </c>
      <c r="L566">
        <v>2006</v>
      </c>
      <c r="M566" s="1">
        <v>7.5763870529138494E-2</v>
      </c>
      <c r="N566">
        <v>-0.24</v>
      </c>
      <c r="O566">
        <v>433</v>
      </c>
      <c r="P566" s="1">
        <v>6.8545195504195036E-2</v>
      </c>
      <c r="Q566">
        <v>2365</v>
      </c>
      <c r="R566" s="1">
        <v>7.23219473410599E-2</v>
      </c>
      <c r="S566">
        <v>-0.59</v>
      </c>
      <c r="T566">
        <v>359</v>
      </c>
      <c r="U566" s="1">
        <v>5.7679948586118253E-2</v>
      </c>
      <c r="V566">
        <v>2588</v>
      </c>
      <c r="W566" s="1">
        <v>7.34517795311347E-2</v>
      </c>
      <c r="X566">
        <v>-0.47</v>
      </c>
      <c r="Y566">
        <v>223</v>
      </c>
      <c r="Z566" s="1">
        <v>8.8037899723647853E-2</v>
      </c>
      <c r="AA566">
        <v>2606</v>
      </c>
      <c r="AB566" s="1">
        <v>7.3624138320714211E-2</v>
      </c>
      <c r="AC566">
        <v>-0.46</v>
      </c>
      <c r="AD566">
        <v>18</v>
      </c>
      <c r="AE566" s="1">
        <v>0.1111111111111111</v>
      </c>
      <c r="AF566">
        <v>2647</v>
      </c>
      <c r="AG566" s="1">
        <v>7.3705900370339431E-2</v>
      </c>
      <c r="AH566">
        <v>-0.45</v>
      </c>
      <c r="AI566">
        <v>41</v>
      </c>
      <c r="AJ566" s="1">
        <v>7.9303675048355893E-2</v>
      </c>
    </row>
    <row r="567" spans="1:36" x14ac:dyDescent="0.3">
      <c r="A567" t="s">
        <v>179</v>
      </c>
      <c r="B567" t="s">
        <v>732</v>
      </c>
      <c r="C567" t="s">
        <v>404</v>
      </c>
      <c r="D567" t="s">
        <v>700</v>
      </c>
      <c r="E567">
        <v>238</v>
      </c>
      <c r="F567" s="1">
        <v>1.4199999999999999E-2</v>
      </c>
      <c r="G567">
        <v>270</v>
      </c>
      <c r="H567" s="1">
        <v>1.34E-2</v>
      </c>
      <c r="I567">
        <v>-0.08</v>
      </c>
      <c r="J567">
        <v>32</v>
      </c>
      <c r="K567" s="1">
        <v>9.3999999999999986E-3</v>
      </c>
      <c r="L567">
        <v>343</v>
      </c>
      <c r="M567" s="1">
        <v>1.2954639876118895E-2</v>
      </c>
      <c r="N567">
        <v>-0.12</v>
      </c>
      <c r="O567">
        <v>73</v>
      </c>
      <c r="P567" s="1">
        <v>1.1556118410637962E-2</v>
      </c>
      <c r="Q567">
        <v>390</v>
      </c>
      <c r="R567" s="1">
        <v>1.1926240787743495E-2</v>
      </c>
      <c r="S567">
        <v>-0.23</v>
      </c>
      <c r="T567">
        <v>47</v>
      </c>
      <c r="U567" s="1">
        <v>7.551413881748072E-3</v>
      </c>
      <c r="V567">
        <v>379</v>
      </c>
      <c r="W567" s="1">
        <v>1.0756655503207129E-2</v>
      </c>
      <c r="X567">
        <v>-0.34</v>
      </c>
      <c r="Y567">
        <v>-11</v>
      </c>
      <c r="Z567" s="1">
        <v>-4.3426766679826295E-3</v>
      </c>
      <c r="AA567">
        <v>386</v>
      </c>
      <c r="AB567" s="1">
        <v>1.0905187026782687E-2</v>
      </c>
      <c r="AC567">
        <v>-0.33</v>
      </c>
      <c r="AD567">
        <v>7</v>
      </c>
      <c r="AE567" s="1">
        <v>4.3209876543209874E-2</v>
      </c>
      <c r="AF567">
        <v>394</v>
      </c>
      <c r="AG567" s="1">
        <v>1.0970957591958343E-2</v>
      </c>
      <c r="AH567">
        <v>-0.32</v>
      </c>
      <c r="AI567">
        <v>8</v>
      </c>
      <c r="AJ567" s="1">
        <v>1.5473887814313346E-2</v>
      </c>
    </row>
    <row r="568" spans="1:36" x14ac:dyDescent="0.3">
      <c r="A568" t="s">
        <v>180</v>
      </c>
      <c r="B568" t="s">
        <v>733</v>
      </c>
      <c r="C568" t="s">
        <v>699</v>
      </c>
      <c r="D568" t="s">
        <v>700</v>
      </c>
      <c r="E568">
        <v>18334</v>
      </c>
      <c r="F568" s="1" t="s">
        <v>700</v>
      </c>
      <c r="G568">
        <v>22023</v>
      </c>
      <c r="H568" s="1" t="s">
        <v>700</v>
      </c>
      <c r="I568" t="s">
        <v>700</v>
      </c>
      <c r="J568">
        <v>3689</v>
      </c>
      <c r="K568" s="1" t="s">
        <v>700</v>
      </c>
      <c r="L568">
        <v>28827</v>
      </c>
      <c r="M568" s="1" t="s">
        <v>700</v>
      </c>
      <c r="N568" t="s">
        <v>700</v>
      </c>
      <c r="O568">
        <v>6804</v>
      </c>
      <c r="P568" s="1" t="s">
        <v>700</v>
      </c>
      <c r="Q568">
        <v>35547</v>
      </c>
      <c r="R568" s="1" t="s">
        <v>700</v>
      </c>
      <c r="S568" t="s">
        <v>700</v>
      </c>
      <c r="T568">
        <v>6720</v>
      </c>
      <c r="U568" s="1" t="s">
        <v>700</v>
      </c>
      <c r="V568">
        <v>38483</v>
      </c>
      <c r="Y568">
        <v>2936</v>
      </c>
      <c r="AA568">
        <v>38632</v>
      </c>
      <c r="AD568">
        <v>149</v>
      </c>
      <c r="AF568">
        <v>39205</v>
      </c>
      <c r="AI568">
        <v>573</v>
      </c>
    </row>
    <row r="569" spans="1:36" x14ac:dyDescent="0.3">
      <c r="A569" t="s">
        <v>180</v>
      </c>
      <c r="B569" t="s">
        <v>733</v>
      </c>
      <c r="C569" t="s">
        <v>659</v>
      </c>
      <c r="D569" t="s">
        <v>700</v>
      </c>
      <c r="E569">
        <v>13732</v>
      </c>
      <c r="F569" s="1">
        <v>0.96109999999999995</v>
      </c>
      <c r="G569">
        <v>16591</v>
      </c>
      <c r="H569" s="1">
        <v>0.96290000000000009</v>
      </c>
      <c r="I569">
        <v>0.18</v>
      </c>
      <c r="J569">
        <v>2859</v>
      </c>
      <c r="K569" s="1">
        <v>0.97150000000000003</v>
      </c>
      <c r="L569">
        <v>21742</v>
      </c>
      <c r="M569" s="1">
        <v>0.96382658037060021</v>
      </c>
      <c r="N569">
        <v>0.27</v>
      </c>
      <c r="O569">
        <v>5151</v>
      </c>
      <c r="P569" s="1">
        <v>0.96696076590951752</v>
      </c>
      <c r="Q569">
        <v>26894</v>
      </c>
      <c r="R569" s="1">
        <v>0.9658813388880908</v>
      </c>
      <c r="S569">
        <v>0.48</v>
      </c>
      <c r="T569">
        <v>5152</v>
      </c>
      <c r="U569" s="1">
        <v>0.97465001891789638</v>
      </c>
      <c r="V569">
        <v>28939</v>
      </c>
      <c r="W569" s="1">
        <v>0.96815094844602057</v>
      </c>
      <c r="X569">
        <v>0.71</v>
      </c>
      <c r="Y569">
        <v>2045</v>
      </c>
      <c r="Z569" s="1">
        <v>0.99902296042989736</v>
      </c>
      <c r="AA569">
        <v>29044</v>
      </c>
      <c r="AB569" s="1">
        <v>0.96790748825274098</v>
      </c>
      <c r="AC569">
        <v>0.68</v>
      </c>
      <c r="AD569">
        <v>105</v>
      </c>
      <c r="AE569" s="1">
        <v>0.90517241379310343</v>
      </c>
      <c r="AF569">
        <v>29474</v>
      </c>
      <c r="AG569" s="1">
        <v>0.96794745484400657</v>
      </c>
      <c r="AH569">
        <v>0.68</v>
      </c>
      <c r="AI569">
        <v>430</v>
      </c>
      <c r="AJ569" s="1">
        <v>0.97065462753950338</v>
      </c>
    </row>
    <row r="570" spans="1:36" x14ac:dyDescent="0.3">
      <c r="A570" t="s">
        <v>180</v>
      </c>
      <c r="B570" t="s">
        <v>733</v>
      </c>
      <c r="C570" t="s">
        <v>404</v>
      </c>
      <c r="D570" t="s">
        <v>700</v>
      </c>
      <c r="E570">
        <v>556</v>
      </c>
      <c r="F570" s="1">
        <v>3.8900000000000004E-2</v>
      </c>
      <c r="G570">
        <v>640</v>
      </c>
      <c r="H570" s="1">
        <v>3.7100000000000001E-2</v>
      </c>
      <c r="I570">
        <v>-0.18</v>
      </c>
      <c r="J570">
        <v>84</v>
      </c>
      <c r="K570" s="1">
        <v>2.8500000000000001E-2</v>
      </c>
      <c r="L570">
        <v>816</v>
      </c>
      <c r="M570" s="1">
        <v>3.6173419629399767E-2</v>
      </c>
      <c r="N570">
        <v>-0.27</v>
      </c>
      <c r="O570">
        <v>176</v>
      </c>
      <c r="P570" s="1">
        <v>3.3039234090482449E-2</v>
      </c>
      <c r="Q570">
        <v>950</v>
      </c>
      <c r="R570" s="1">
        <v>3.4118661111909206E-2</v>
      </c>
      <c r="S570">
        <v>-0.48</v>
      </c>
      <c r="T570">
        <v>134</v>
      </c>
      <c r="U570" s="1">
        <v>2.5349981082103672E-2</v>
      </c>
      <c r="V570">
        <v>952</v>
      </c>
      <c r="W570" s="1">
        <v>3.1849051553979456E-2</v>
      </c>
      <c r="X570">
        <v>-0.71</v>
      </c>
      <c r="Y570">
        <v>2</v>
      </c>
      <c r="Z570" s="1">
        <v>9.7703957010258913E-4</v>
      </c>
      <c r="AA570">
        <v>963</v>
      </c>
      <c r="AB570" s="1">
        <v>3.2092511747258974E-2</v>
      </c>
      <c r="AC570">
        <v>-0.68</v>
      </c>
      <c r="AD570">
        <v>11</v>
      </c>
      <c r="AE570" s="1">
        <v>9.4827586206896547E-2</v>
      </c>
      <c r="AF570">
        <v>976</v>
      </c>
      <c r="AG570" s="1">
        <v>3.2052545155993435E-2</v>
      </c>
      <c r="AH570">
        <v>-0.68</v>
      </c>
      <c r="AI570">
        <v>13</v>
      </c>
      <c r="AJ570" s="1">
        <v>2.9345372460496615E-2</v>
      </c>
    </row>
    <row r="571" spans="1:36" x14ac:dyDescent="0.3">
      <c r="A571" t="s">
        <v>184</v>
      </c>
      <c r="B571" t="s">
        <v>734</v>
      </c>
      <c r="C571" t="s">
        <v>699</v>
      </c>
      <c r="D571" t="s">
        <v>700</v>
      </c>
      <c r="E571">
        <v>20173</v>
      </c>
      <c r="F571" s="1" t="s">
        <v>700</v>
      </c>
      <c r="G571">
        <v>23708</v>
      </c>
      <c r="H571" s="1" t="s">
        <v>700</v>
      </c>
      <c r="I571" t="s">
        <v>700</v>
      </c>
      <c r="J571">
        <v>3535</v>
      </c>
      <c r="K571" s="1" t="s">
        <v>700</v>
      </c>
      <c r="L571">
        <v>30160</v>
      </c>
      <c r="M571" s="1" t="s">
        <v>700</v>
      </c>
      <c r="N571" t="s">
        <v>700</v>
      </c>
      <c r="O571">
        <v>6452</v>
      </c>
      <c r="P571" s="1" t="s">
        <v>700</v>
      </c>
      <c r="Q571">
        <v>35700</v>
      </c>
      <c r="R571" s="1" t="s">
        <v>700</v>
      </c>
      <c r="S571" t="s">
        <v>700</v>
      </c>
      <c r="T571">
        <v>5540</v>
      </c>
      <c r="U571" s="1" t="s">
        <v>700</v>
      </c>
      <c r="V571">
        <v>37518</v>
      </c>
      <c r="Y571">
        <v>1818</v>
      </c>
      <c r="AA571">
        <v>37564</v>
      </c>
      <c r="AD571">
        <v>46</v>
      </c>
      <c r="AF571">
        <v>37825</v>
      </c>
      <c r="AI571">
        <v>261</v>
      </c>
    </row>
    <row r="572" spans="1:36" x14ac:dyDescent="0.3">
      <c r="A572" t="s">
        <v>184</v>
      </c>
      <c r="B572" t="s">
        <v>734</v>
      </c>
      <c r="C572" t="s">
        <v>448</v>
      </c>
      <c r="D572" t="s">
        <v>700</v>
      </c>
      <c r="E572">
        <v>14279</v>
      </c>
      <c r="F572" s="1">
        <v>0.90780000000000005</v>
      </c>
      <c r="G572">
        <v>16708</v>
      </c>
      <c r="H572" s="1">
        <v>0.90500000000000003</v>
      </c>
      <c r="I572">
        <v>-0.28000000000000003</v>
      </c>
      <c r="J572">
        <v>2429</v>
      </c>
      <c r="K572" s="1">
        <v>0.88879999999999992</v>
      </c>
      <c r="L572">
        <v>21254</v>
      </c>
      <c r="M572" s="1">
        <v>0.90554301052362485</v>
      </c>
      <c r="N572">
        <v>-0.23</v>
      </c>
      <c r="O572">
        <v>4546</v>
      </c>
      <c r="P572" s="1">
        <v>0.90756638051507288</v>
      </c>
      <c r="Q572">
        <v>25137</v>
      </c>
      <c r="R572" s="1">
        <v>0.90420863309352517</v>
      </c>
      <c r="S572">
        <v>-0.36</v>
      </c>
      <c r="T572">
        <v>3883</v>
      </c>
      <c r="U572" s="1">
        <v>0.89697389697389696</v>
      </c>
      <c r="V572">
        <v>26342</v>
      </c>
      <c r="W572" s="1">
        <v>0.91774378984775107</v>
      </c>
      <c r="X572">
        <v>0.99</v>
      </c>
      <c r="Y572">
        <v>1205</v>
      </c>
      <c r="Z572" s="1">
        <v>1.3344407530454041</v>
      </c>
      <c r="AA572">
        <v>26366</v>
      </c>
      <c r="AB572" s="1">
        <v>0.91733351889221348</v>
      </c>
      <c r="AC572">
        <v>0.95</v>
      </c>
      <c r="AD572">
        <v>24</v>
      </c>
      <c r="AE572" s="1">
        <v>0.61538461538461542</v>
      </c>
      <c r="AF572">
        <v>26547</v>
      </c>
      <c r="AG572" s="1">
        <v>0.91693147278253662</v>
      </c>
      <c r="AH572">
        <v>0.91</v>
      </c>
      <c r="AI572">
        <v>181</v>
      </c>
      <c r="AJ572" s="1">
        <v>0.86190476190476195</v>
      </c>
    </row>
    <row r="573" spans="1:36" x14ac:dyDescent="0.3">
      <c r="A573" t="s">
        <v>184</v>
      </c>
      <c r="B573" t="s">
        <v>734</v>
      </c>
      <c r="C573" t="s">
        <v>404</v>
      </c>
      <c r="D573" t="s">
        <v>700</v>
      </c>
      <c r="E573">
        <v>1450</v>
      </c>
      <c r="F573" s="1">
        <v>9.2200000000000004E-2</v>
      </c>
      <c r="G573">
        <v>1754</v>
      </c>
      <c r="H573" s="1">
        <v>9.5000000000000001E-2</v>
      </c>
      <c r="I573">
        <v>0.28000000000000003</v>
      </c>
      <c r="J573">
        <v>304</v>
      </c>
      <c r="K573" s="1">
        <v>0.11119999999999999</v>
      </c>
      <c r="L573">
        <v>2217</v>
      </c>
      <c r="M573" s="1">
        <v>9.4456989476375097E-2</v>
      </c>
      <c r="N573">
        <v>0.23</v>
      </c>
      <c r="O573">
        <v>463</v>
      </c>
      <c r="P573" s="1">
        <v>9.2433619484927135E-2</v>
      </c>
      <c r="Q573">
        <v>2663</v>
      </c>
      <c r="R573" s="1">
        <v>9.5791366906474815E-2</v>
      </c>
      <c r="S573">
        <v>0.36</v>
      </c>
      <c r="T573">
        <v>446</v>
      </c>
      <c r="U573" s="1">
        <v>0.10302610302610303</v>
      </c>
      <c r="V573">
        <v>2361</v>
      </c>
      <c r="W573" s="1">
        <v>8.225621015224889E-2</v>
      </c>
      <c r="X573">
        <v>-0.99</v>
      </c>
      <c r="Y573">
        <v>-302</v>
      </c>
      <c r="Z573" s="1">
        <v>-0.33444075304540422</v>
      </c>
      <c r="AA573">
        <v>2376</v>
      </c>
      <c r="AB573" s="1">
        <v>8.2666481107786516E-2</v>
      </c>
      <c r="AC573">
        <v>-0.95</v>
      </c>
      <c r="AD573">
        <v>15</v>
      </c>
      <c r="AE573" s="1">
        <v>0.38461538461538464</v>
      </c>
      <c r="AF573">
        <v>2405</v>
      </c>
      <c r="AG573" s="1">
        <v>8.3068527217463384E-2</v>
      </c>
      <c r="AH573">
        <v>-0.91</v>
      </c>
      <c r="AI573">
        <v>29</v>
      </c>
      <c r="AJ573" s="1">
        <v>0.1380952380952381</v>
      </c>
    </row>
    <row r="574" spans="1:36" x14ac:dyDescent="0.3">
      <c r="A574" t="s">
        <v>185</v>
      </c>
      <c r="B574" t="s">
        <v>735</v>
      </c>
      <c r="C574" t="s">
        <v>699</v>
      </c>
      <c r="D574" t="s">
        <v>700</v>
      </c>
      <c r="E574">
        <v>20173</v>
      </c>
      <c r="F574" s="1" t="s">
        <v>700</v>
      </c>
      <c r="G574">
        <v>23708</v>
      </c>
      <c r="H574" s="1" t="s">
        <v>700</v>
      </c>
      <c r="I574" t="s">
        <v>700</v>
      </c>
      <c r="J574">
        <v>3535</v>
      </c>
      <c r="K574" s="1" t="s">
        <v>700</v>
      </c>
      <c r="L574">
        <v>30160</v>
      </c>
      <c r="M574" s="1" t="s">
        <v>700</v>
      </c>
      <c r="N574" t="s">
        <v>700</v>
      </c>
      <c r="O574">
        <v>6452</v>
      </c>
      <c r="P574" s="1" t="s">
        <v>700</v>
      </c>
      <c r="Q574">
        <v>35700</v>
      </c>
      <c r="R574" s="1" t="s">
        <v>700</v>
      </c>
      <c r="S574" t="s">
        <v>700</v>
      </c>
      <c r="T574">
        <v>5540</v>
      </c>
      <c r="U574" s="1" t="s">
        <v>700</v>
      </c>
      <c r="V574">
        <v>37518</v>
      </c>
      <c r="Y574">
        <v>1818</v>
      </c>
      <c r="AA574">
        <v>37564</v>
      </c>
      <c r="AD574">
        <v>46</v>
      </c>
      <c r="AF574">
        <v>37825</v>
      </c>
      <c r="AI574">
        <v>261</v>
      </c>
    </row>
    <row r="575" spans="1:36" x14ac:dyDescent="0.3">
      <c r="A575" t="s">
        <v>185</v>
      </c>
      <c r="B575" t="s">
        <v>735</v>
      </c>
      <c r="C575" t="s">
        <v>665</v>
      </c>
      <c r="D575" t="s">
        <v>700</v>
      </c>
      <c r="E575">
        <v>14337</v>
      </c>
      <c r="F575" s="1">
        <v>0.72370000000000001</v>
      </c>
      <c r="G575">
        <v>16848</v>
      </c>
      <c r="H575" s="1">
        <v>0.7238</v>
      </c>
      <c r="I575">
        <v>0.01</v>
      </c>
      <c r="J575">
        <v>2511</v>
      </c>
      <c r="K575" s="1">
        <v>0.72470000000000001</v>
      </c>
      <c r="L575">
        <v>21540</v>
      </c>
      <c r="M575" s="1">
        <v>0.72770270270270265</v>
      </c>
      <c r="N575">
        <v>0.4</v>
      </c>
      <c r="O575">
        <v>4692</v>
      </c>
      <c r="P575" s="1">
        <v>0.74205282302704412</v>
      </c>
      <c r="Q575">
        <v>25538</v>
      </c>
      <c r="R575" s="1">
        <v>0.72951124060902106</v>
      </c>
      <c r="S575">
        <v>0.57999999999999996</v>
      </c>
      <c r="T575">
        <v>3998</v>
      </c>
      <c r="U575" s="1">
        <v>0.73941187349731829</v>
      </c>
      <c r="V575">
        <v>26805</v>
      </c>
      <c r="W575" s="1">
        <v>0.72873338226898299</v>
      </c>
      <c r="X575">
        <v>0.5</v>
      </c>
      <c r="Y575">
        <v>1267</v>
      </c>
      <c r="Z575" s="1">
        <v>0.71340090090090091</v>
      </c>
      <c r="AA575">
        <v>26848</v>
      </c>
      <c r="AB575" s="1">
        <v>0.72869395288242322</v>
      </c>
      <c r="AC575">
        <v>0.5</v>
      </c>
      <c r="AD575">
        <v>43</v>
      </c>
      <c r="AE575" s="1">
        <v>0.70491803278688525</v>
      </c>
      <c r="AF575">
        <v>27038</v>
      </c>
      <c r="AG575" s="1">
        <v>0.72892459493705009</v>
      </c>
      <c r="AH575">
        <v>0.52</v>
      </c>
      <c r="AI575">
        <v>190</v>
      </c>
      <c r="AJ575" s="1">
        <v>0.76305220883534142</v>
      </c>
    </row>
    <row r="576" spans="1:36" x14ac:dyDescent="0.3">
      <c r="A576" t="s">
        <v>185</v>
      </c>
      <c r="B576" t="s">
        <v>735</v>
      </c>
      <c r="C576" t="s">
        <v>664</v>
      </c>
      <c r="D576" t="s">
        <v>700</v>
      </c>
      <c r="E576">
        <v>5426</v>
      </c>
      <c r="F576" s="1">
        <v>0.27390000000000003</v>
      </c>
      <c r="G576">
        <v>6367</v>
      </c>
      <c r="H576" s="1">
        <v>0.27350000000000002</v>
      </c>
      <c r="I576">
        <v>-0.04</v>
      </c>
      <c r="J576">
        <v>941</v>
      </c>
      <c r="K576" s="1">
        <v>0.27160000000000001</v>
      </c>
      <c r="L576">
        <v>7983</v>
      </c>
      <c r="M576" s="1">
        <v>0.26969594594594593</v>
      </c>
      <c r="N576">
        <v>-0.42</v>
      </c>
      <c r="O576">
        <v>1616</v>
      </c>
      <c r="P576" s="1">
        <v>0.25557488533923772</v>
      </c>
      <c r="Q576">
        <v>9377</v>
      </c>
      <c r="R576" s="1">
        <v>0.26786071357157137</v>
      </c>
      <c r="S576">
        <v>-0.6</v>
      </c>
      <c r="T576">
        <v>1394</v>
      </c>
      <c r="U576" s="1">
        <v>0.25781394488625853</v>
      </c>
      <c r="V576">
        <v>9893</v>
      </c>
      <c r="W576" s="1">
        <v>0.26895576761003726</v>
      </c>
      <c r="X576">
        <v>-0.49</v>
      </c>
      <c r="Y576">
        <v>516</v>
      </c>
      <c r="Z576" s="1">
        <v>0.29054054054054052</v>
      </c>
      <c r="AA576">
        <v>9910</v>
      </c>
      <c r="AB576" s="1">
        <v>0.26897188144609707</v>
      </c>
      <c r="AC576">
        <v>-0.49</v>
      </c>
      <c r="AD576">
        <v>17</v>
      </c>
      <c r="AE576" s="1">
        <v>0.27868852459016391</v>
      </c>
      <c r="AF576">
        <v>9967</v>
      </c>
      <c r="AG576" s="1">
        <v>0.26870298978243873</v>
      </c>
      <c r="AH576">
        <v>-0.52</v>
      </c>
      <c r="AI576">
        <v>57</v>
      </c>
      <c r="AJ576" s="1">
        <v>0.2289156626506024</v>
      </c>
    </row>
    <row r="577" spans="1:36" x14ac:dyDescent="0.3">
      <c r="A577" t="s">
        <v>185</v>
      </c>
      <c r="B577" t="s">
        <v>735</v>
      </c>
      <c r="C577" t="s">
        <v>404</v>
      </c>
      <c r="D577" t="s">
        <v>700</v>
      </c>
      <c r="E577">
        <v>49</v>
      </c>
      <c r="F577" s="1">
        <v>2.5000000000000001E-3</v>
      </c>
      <c r="G577">
        <v>62</v>
      </c>
      <c r="H577" s="1">
        <v>2.7000000000000001E-3</v>
      </c>
      <c r="I577">
        <v>0.02</v>
      </c>
      <c r="J577">
        <v>13</v>
      </c>
      <c r="K577" s="1">
        <v>3.8E-3</v>
      </c>
      <c r="L577">
        <v>77</v>
      </c>
      <c r="M577" s="1">
        <v>2.6013513513513512E-3</v>
      </c>
      <c r="N577">
        <v>0.01</v>
      </c>
      <c r="O577">
        <v>15</v>
      </c>
      <c r="P577" s="1">
        <v>2.3722916337181716E-3</v>
      </c>
      <c r="Q577">
        <v>92</v>
      </c>
      <c r="R577" s="1">
        <v>2.6280458194075469E-3</v>
      </c>
      <c r="S577">
        <v>0.01</v>
      </c>
      <c r="T577">
        <v>15</v>
      </c>
      <c r="U577" s="1">
        <v>2.7741816164231553E-3</v>
      </c>
      <c r="V577">
        <v>85</v>
      </c>
      <c r="W577" s="1">
        <v>2.3108501209798005E-3</v>
      </c>
      <c r="X577">
        <v>-0.02</v>
      </c>
      <c r="Y577">
        <v>-7</v>
      </c>
      <c r="Z577" s="1">
        <v>-3.9414414414414411E-3</v>
      </c>
      <c r="AA577">
        <v>86</v>
      </c>
      <c r="AB577" s="1">
        <v>2.3341656714797525E-3</v>
      </c>
      <c r="AC577">
        <v>-0.02</v>
      </c>
      <c r="AD577">
        <v>1</v>
      </c>
      <c r="AE577" s="1">
        <v>1.6393442622950821E-2</v>
      </c>
      <c r="AF577">
        <v>88</v>
      </c>
      <c r="AG577" s="1">
        <v>2.3724152805111478E-3</v>
      </c>
      <c r="AH577">
        <v>-0.01</v>
      </c>
      <c r="AI577">
        <v>2</v>
      </c>
      <c r="AJ577" s="1">
        <v>8.0321285140562242E-3</v>
      </c>
    </row>
    <row r="578" spans="1:36" x14ac:dyDescent="0.3">
      <c r="A578" t="s">
        <v>186</v>
      </c>
      <c r="B578" t="s">
        <v>736</v>
      </c>
      <c r="C578" t="s">
        <v>699</v>
      </c>
      <c r="D578" t="s">
        <v>700</v>
      </c>
      <c r="E578">
        <v>20173</v>
      </c>
      <c r="F578" s="1" t="s">
        <v>700</v>
      </c>
      <c r="G578">
        <v>23708</v>
      </c>
      <c r="H578" s="1" t="s">
        <v>700</v>
      </c>
      <c r="I578" t="s">
        <v>700</v>
      </c>
      <c r="J578">
        <v>3535</v>
      </c>
      <c r="K578" s="1" t="s">
        <v>700</v>
      </c>
      <c r="L578">
        <v>30160</v>
      </c>
      <c r="M578" s="1" t="s">
        <v>700</v>
      </c>
      <c r="N578" t="s">
        <v>700</v>
      </c>
      <c r="O578">
        <v>6452</v>
      </c>
      <c r="P578" s="1" t="s">
        <v>700</v>
      </c>
      <c r="Q578">
        <v>35700</v>
      </c>
      <c r="R578" s="1" t="s">
        <v>700</v>
      </c>
      <c r="S578" t="s">
        <v>700</v>
      </c>
      <c r="T578">
        <v>5540</v>
      </c>
      <c r="U578" s="1" t="s">
        <v>700</v>
      </c>
      <c r="V578">
        <v>37518</v>
      </c>
      <c r="Y578">
        <v>1818</v>
      </c>
      <c r="AA578">
        <v>37564</v>
      </c>
      <c r="AD578">
        <v>46</v>
      </c>
      <c r="AF578">
        <v>37825</v>
      </c>
      <c r="AI578">
        <v>261</v>
      </c>
    </row>
    <row r="579" spans="1:36" x14ac:dyDescent="0.3">
      <c r="A579" t="s">
        <v>186</v>
      </c>
      <c r="B579" t="s">
        <v>736</v>
      </c>
      <c r="C579" t="s">
        <v>666</v>
      </c>
      <c r="D579" t="s">
        <v>700</v>
      </c>
      <c r="E579">
        <v>12066</v>
      </c>
      <c r="F579" s="1">
        <v>0.62020000000000008</v>
      </c>
      <c r="G579">
        <v>14189</v>
      </c>
      <c r="H579" s="1">
        <v>0.62080000000000002</v>
      </c>
      <c r="I579">
        <v>0.06</v>
      </c>
      <c r="J579">
        <v>2123</v>
      </c>
      <c r="K579" s="1">
        <v>0.62419999999999998</v>
      </c>
      <c r="L579">
        <v>18197</v>
      </c>
      <c r="M579" s="1">
        <v>0.62554142316947403</v>
      </c>
      <c r="N579">
        <v>0.53</v>
      </c>
      <c r="O579">
        <v>4008</v>
      </c>
      <c r="P579" s="1">
        <v>0.64292589027911451</v>
      </c>
      <c r="Q579">
        <v>21632</v>
      </c>
      <c r="R579" s="1">
        <v>0.62838053740014521</v>
      </c>
      <c r="S579">
        <v>0.82</v>
      </c>
      <c r="T579">
        <v>3435</v>
      </c>
      <c r="U579" s="1">
        <v>0.64386129334582942</v>
      </c>
      <c r="V579">
        <v>22693</v>
      </c>
      <c r="W579" s="1">
        <v>0.62753719373928429</v>
      </c>
      <c r="X579">
        <v>0.73</v>
      </c>
      <c r="Y579">
        <v>1061</v>
      </c>
      <c r="Z579" s="1">
        <v>0.61082325849165231</v>
      </c>
      <c r="AA579">
        <v>22735</v>
      </c>
      <c r="AB579" s="1">
        <v>0.62732816423387872</v>
      </c>
      <c r="AC579">
        <v>0.71</v>
      </c>
      <c r="AD579">
        <v>42</v>
      </c>
      <c r="AE579" s="1">
        <v>0.53164556962025311</v>
      </c>
      <c r="AF579">
        <v>22890</v>
      </c>
      <c r="AG579" s="1">
        <v>0.62715765247410815</v>
      </c>
      <c r="AH579">
        <v>0.7</v>
      </c>
      <c r="AI579">
        <v>155</v>
      </c>
      <c r="AJ579" s="1">
        <v>0.60311284046692604</v>
      </c>
    </row>
    <row r="580" spans="1:36" x14ac:dyDescent="0.3">
      <c r="A580" t="s">
        <v>186</v>
      </c>
      <c r="B580" t="s">
        <v>736</v>
      </c>
      <c r="C580" t="s">
        <v>667</v>
      </c>
      <c r="D580" t="s">
        <v>700</v>
      </c>
      <c r="E580">
        <v>4129</v>
      </c>
      <c r="F580" s="1">
        <v>0.2122</v>
      </c>
      <c r="G580">
        <v>4858</v>
      </c>
      <c r="H580" s="1">
        <v>0.21249999999999999</v>
      </c>
      <c r="I580">
        <v>0.03</v>
      </c>
      <c r="J580">
        <v>729</v>
      </c>
      <c r="K580" s="1">
        <v>0.21429999999999999</v>
      </c>
      <c r="L580">
        <v>6066</v>
      </c>
      <c r="M580" s="1">
        <v>0.20852526641457544</v>
      </c>
      <c r="N580">
        <v>-0.37</v>
      </c>
      <c r="O580">
        <v>1208</v>
      </c>
      <c r="P580" s="1">
        <v>0.19377606673083092</v>
      </c>
      <c r="Q580">
        <v>7155</v>
      </c>
      <c r="R580" s="1">
        <v>0.20784313725490197</v>
      </c>
      <c r="S580">
        <v>-0.44</v>
      </c>
      <c r="T580">
        <v>1089</v>
      </c>
      <c r="U580" s="1">
        <v>0.20412371134020618</v>
      </c>
      <c r="V580">
        <v>7565</v>
      </c>
      <c r="W580" s="1">
        <v>0.20919750013826668</v>
      </c>
      <c r="X580">
        <v>-0.3</v>
      </c>
      <c r="Y580">
        <v>410</v>
      </c>
      <c r="Z580" s="1">
        <v>0.23603914795624639</v>
      </c>
      <c r="AA580">
        <v>7580</v>
      </c>
      <c r="AB580" s="1">
        <v>0.20915537650727076</v>
      </c>
      <c r="AC580">
        <v>-0.3</v>
      </c>
      <c r="AD580">
        <v>15</v>
      </c>
      <c r="AE580" s="1">
        <v>0.189873417721519</v>
      </c>
      <c r="AF580">
        <v>7630</v>
      </c>
      <c r="AG580" s="1">
        <v>0.20905255082470273</v>
      </c>
      <c r="AH580">
        <v>-0.31</v>
      </c>
      <c r="AI580">
        <v>50</v>
      </c>
      <c r="AJ580" s="1">
        <v>0.19455252918287938</v>
      </c>
    </row>
    <row r="581" spans="1:36" x14ac:dyDescent="0.3">
      <c r="A581" t="s">
        <v>186</v>
      </c>
      <c r="B581" t="s">
        <v>736</v>
      </c>
      <c r="C581" t="s">
        <v>668</v>
      </c>
      <c r="D581" t="s">
        <v>700</v>
      </c>
      <c r="E581">
        <v>3186</v>
      </c>
      <c r="F581" s="1">
        <v>0.1638</v>
      </c>
      <c r="G581">
        <v>3719</v>
      </c>
      <c r="H581" s="1">
        <v>0.16269999999999998</v>
      </c>
      <c r="I581">
        <v>-0.11</v>
      </c>
      <c r="J581">
        <v>533</v>
      </c>
      <c r="K581" s="1">
        <v>0.15670000000000001</v>
      </c>
      <c r="L581">
        <v>4707</v>
      </c>
      <c r="M581" s="1">
        <v>0.16180818150567206</v>
      </c>
      <c r="N581">
        <v>-0.2</v>
      </c>
      <c r="O581">
        <v>988</v>
      </c>
      <c r="P581" s="1">
        <v>0.15848572345203721</v>
      </c>
      <c r="Q581">
        <v>5504</v>
      </c>
      <c r="R581" s="1">
        <v>0.15988380537400146</v>
      </c>
      <c r="S581">
        <v>-0.39</v>
      </c>
      <c r="T581">
        <v>797</v>
      </c>
      <c r="U581" s="1">
        <v>0.1493908153701968</v>
      </c>
      <c r="V581">
        <v>5799</v>
      </c>
      <c r="W581" s="1">
        <v>0.16036170565787292</v>
      </c>
      <c r="X581">
        <v>-0.34</v>
      </c>
      <c r="Y581">
        <v>295</v>
      </c>
      <c r="Z581" s="1">
        <v>0.16983304548071387</v>
      </c>
      <c r="AA581">
        <v>5821</v>
      </c>
      <c r="AB581" s="1">
        <v>0.1606191882122458</v>
      </c>
      <c r="AC581">
        <v>-0.32</v>
      </c>
      <c r="AD581">
        <v>22</v>
      </c>
      <c r="AE581" s="1">
        <v>0.27848101265822783</v>
      </c>
      <c r="AF581">
        <v>5873</v>
      </c>
      <c r="AG581" s="1">
        <v>0.16091292673571156</v>
      </c>
      <c r="AH581">
        <v>-0.28999999999999998</v>
      </c>
      <c r="AI581">
        <v>52</v>
      </c>
      <c r="AJ581" s="1">
        <v>0.20233463035019456</v>
      </c>
    </row>
    <row r="582" spans="1:36" x14ac:dyDescent="0.3">
      <c r="A582" t="s">
        <v>186</v>
      </c>
      <c r="B582" t="s">
        <v>736</v>
      </c>
      <c r="C582" t="s">
        <v>404</v>
      </c>
      <c r="D582" t="s">
        <v>700</v>
      </c>
      <c r="E582">
        <v>74</v>
      </c>
      <c r="F582" s="1">
        <v>3.8E-3</v>
      </c>
      <c r="G582">
        <v>90</v>
      </c>
      <c r="H582" s="1">
        <v>3.9000000000000003E-3</v>
      </c>
      <c r="I582">
        <v>0.01</v>
      </c>
      <c r="J582">
        <v>16</v>
      </c>
      <c r="K582" s="1">
        <v>4.6999999999999993E-3</v>
      </c>
      <c r="L582">
        <v>120</v>
      </c>
      <c r="M582" s="1">
        <v>4.125128910278446E-3</v>
      </c>
      <c r="N582">
        <v>0.03</v>
      </c>
      <c r="O582">
        <v>30</v>
      </c>
      <c r="P582" s="1">
        <v>4.8123195380173241E-3</v>
      </c>
      <c r="Q582">
        <v>134</v>
      </c>
      <c r="R582" s="1">
        <v>3.8925199709513433E-3</v>
      </c>
      <c r="S582">
        <v>0.01</v>
      </c>
      <c r="T582">
        <v>14</v>
      </c>
      <c r="U582" s="1">
        <v>2.6241799437675727E-3</v>
      </c>
      <c r="V582">
        <v>105</v>
      </c>
      <c r="W582" s="1">
        <v>2.9036004645760743E-3</v>
      </c>
      <c r="X582">
        <v>-0.09</v>
      </c>
      <c r="Y582">
        <v>-29</v>
      </c>
      <c r="Z582" s="1">
        <v>-1.6695451928612551E-2</v>
      </c>
      <c r="AA582">
        <v>105</v>
      </c>
      <c r="AB582" s="1">
        <v>2.8972710466046744E-3</v>
      </c>
      <c r="AC582">
        <v>-0.09</v>
      </c>
      <c r="AD582">
        <v>0</v>
      </c>
      <c r="AE582" s="1">
        <v>0</v>
      </c>
      <c r="AF582">
        <v>105</v>
      </c>
      <c r="AG582" s="1">
        <v>2.8768699654775605E-3</v>
      </c>
      <c r="AH582">
        <v>-0.09</v>
      </c>
      <c r="AI582">
        <v>0</v>
      </c>
      <c r="AJ582" s="1">
        <v>0</v>
      </c>
    </row>
    <row r="583" spans="1:36" x14ac:dyDescent="0.3">
      <c r="A583" t="s">
        <v>118</v>
      </c>
      <c r="B583" t="s">
        <v>737</v>
      </c>
      <c r="C583" t="s">
        <v>699</v>
      </c>
      <c r="D583" t="s">
        <v>700</v>
      </c>
      <c r="E583">
        <v>20986</v>
      </c>
      <c r="F583" s="1" t="s">
        <v>700</v>
      </c>
      <c r="G583">
        <v>26444</v>
      </c>
      <c r="H583" s="1" t="s">
        <v>700</v>
      </c>
      <c r="I583" t="s">
        <v>700</v>
      </c>
      <c r="J583">
        <v>5458</v>
      </c>
      <c r="K583" s="1" t="s">
        <v>700</v>
      </c>
      <c r="L583">
        <v>33601</v>
      </c>
      <c r="M583" s="1" t="s">
        <v>700</v>
      </c>
      <c r="N583" t="s">
        <v>700</v>
      </c>
      <c r="O583">
        <v>7157</v>
      </c>
      <c r="P583" s="1" t="s">
        <v>700</v>
      </c>
      <c r="Q583">
        <v>44176</v>
      </c>
      <c r="R583" s="1" t="s">
        <v>700</v>
      </c>
      <c r="S583" t="s">
        <v>700</v>
      </c>
      <c r="T583">
        <v>10575</v>
      </c>
      <c r="U583" s="1" t="s">
        <v>700</v>
      </c>
      <c r="V583">
        <v>46132</v>
      </c>
      <c r="Y583">
        <v>1956</v>
      </c>
      <c r="AA583">
        <v>46269</v>
      </c>
      <c r="AD583">
        <v>137</v>
      </c>
      <c r="AF583">
        <v>46753</v>
      </c>
      <c r="AI583">
        <v>484</v>
      </c>
    </row>
    <row r="584" spans="1:36" x14ac:dyDescent="0.3">
      <c r="A584" t="s">
        <v>118</v>
      </c>
      <c r="B584" t="s">
        <v>737</v>
      </c>
      <c r="C584" t="s">
        <v>449</v>
      </c>
      <c r="D584" t="s">
        <v>700</v>
      </c>
      <c r="E584">
        <v>18180</v>
      </c>
      <c r="F584" s="1">
        <v>0.89329999999999998</v>
      </c>
      <c r="G584">
        <v>22978</v>
      </c>
      <c r="H584" s="1">
        <v>0.89569999999999994</v>
      </c>
      <c r="I584">
        <v>0.24</v>
      </c>
      <c r="J584">
        <v>4798</v>
      </c>
      <c r="K584" s="1">
        <v>0.90480000000000005</v>
      </c>
      <c r="L584">
        <v>29310</v>
      </c>
      <c r="M584" s="1">
        <v>0.89996315401621219</v>
      </c>
      <c r="N584">
        <v>0.67</v>
      </c>
      <c r="O584">
        <v>6332</v>
      </c>
      <c r="P584" s="1">
        <v>0.91582296789123518</v>
      </c>
      <c r="Q584">
        <v>38737</v>
      </c>
      <c r="R584" s="1">
        <v>0.90570493336450786</v>
      </c>
      <c r="S584">
        <v>1.24</v>
      </c>
      <c r="T584">
        <v>9427</v>
      </c>
      <c r="U584" s="1">
        <v>0.92403450303861989</v>
      </c>
      <c r="V584">
        <v>40414</v>
      </c>
      <c r="W584" s="1">
        <v>0.90531126094845549</v>
      </c>
      <c r="X584">
        <v>1.2</v>
      </c>
      <c r="Y584">
        <v>1677</v>
      </c>
      <c r="Z584" s="1">
        <v>0.89631213254943876</v>
      </c>
      <c r="AA584">
        <v>40542</v>
      </c>
      <c r="AB584" s="1">
        <v>0.90513719273961291</v>
      </c>
      <c r="AC584">
        <v>1.18</v>
      </c>
      <c r="AD584">
        <v>128</v>
      </c>
      <c r="AE584" s="1">
        <v>0.85333333333333339</v>
      </c>
      <c r="AF584">
        <v>40980</v>
      </c>
      <c r="AG584" s="1">
        <v>0.90563535911602211</v>
      </c>
      <c r="AH584">
        <v>1.23</v>
      </c>
      <c r="AI584">
        <v>438</v>
      </c>
      <c r="AJ584" s="1">
        <v>0.95424836601307195</v>
      </c>
    </row>
    <row r="585" spans="1:36" x14ac:dyDescent="0.3">
      <c r="A585" t="s">
        <v>118</v>
      </c>
      <c r="B585" t="s">
        <v>737</v>
      </c>
      <c r="C585" t="s">
        <v>450</v>
      </c>
      <c r="D585" t="s">
        <v>700</v>
      </c>
      <c r="E585">
        <v>2121</v>
      </c>
      <c r="F585" s="1">
        <v>0.1042</v>
      </c>
      <c r="G585">
        <v>2613</v>
      </c>
      <c r="H585" s="1">
        <v>0.10189999999999999</v>
      </c>
      <c r="I585">
        <v>-0.23</v>
      </c>
      <c r="J585">
        <v>492</v>
      </c>
      <c r="K585" s="1">
        <v>9.2799999999999994E-2</v>
      </c>
      <c r="L585">
        <v>3175</v>
      </c>
      <c r="M585" s="1">
        <v>9.7488332105133871E-2</v>
      </c>
      <c r="N585">
        <v>-0.67</v>
      </c>
      <c r="O585">
        <v>562</v>
      </c>
      <c r="P585" s="1">
        <v>8.128435059299971E-2</v>
      </c>
      <c r="Q585">
        <v>3925</v>
      </c>
      <c r="R585" s="1">
        <v>9.1769932195464116E-2</v>
      </c>
      <c r="S585">
        <v>-1.24</v>
      </c>
      <c r="T585">
        <v>750</v>
      </c>
      <c r="U585" s="1">
        <v>7.3514997059400122E-2</v>
      </c>
      <c r="V585">
        <v>4115</v>
      </c>
      <c r="W585" s="1">
        <v>9.217983468112273E-2</v>
      </c>
      <c r="X585">
        <v>-1.2</v>
      </c>
      <c r="Y585">
        <v>190</v>
      </c>
      <c r="Z585" s="1">
        <v>0.10154997327632283</v>
      </c>
      <c r="AA585">
        <v>4134</v>
      </c>
      <c r="AB585" s="1">
        <v>9.2295327186265097E-2</v>
      </c>
      <c r="AC585">
        <v>-1.19</v>
      </c>
      <c r="AD585">
        <v>19</v>
      </c>
      <c r="AE585" s="1">
        <v>0.12666666666666668</v>
      </c>
      <c r="AF585">
        <v>4153</v>
      </c>
      <c r="AG585" s="1">
        <v>9.1779005524861873E-2</v>
      </c>
      <c r="AH585">
        <v>-1.24</v>
      </c>
      <c r="AI585">
        <v>19</v>
      </c>
      <c r="AJ585" s="1">
        <v>4.1394335511982572E-2</v>
      </c>
    </row>
    <row r="586" spans="1:36" x14ac:dyDescent="0.3">
      <c r="A586" t="s">
        <v>118</v>
      </c>
      <c r="B586" t="s">
        <v>737</v>
      </c>
      <c r="C586" t="s">
        <v>404</v>
      </c>
      <c r="D586" t="s">
        <v>700</v>
      </c>
      <c r="E586">
        <v>50</v>
      </c>
      <c r="F586" s="1">
        <v>2.5000000000000001E-3</v>
      </c>
      <c r="G586">
        <v>63</v>
      </c>
      <c r="H586" s="1">
        <v>2.5000000000000001E-3</v>
      </c>
      <c r="I586">
        <v>0</v>
      </c>
      <c r="J586">
        <v>13</v>
      </c>
      <c r="K586" s="1">
        <v>2.5000000000000001E-3</v>
      </c>
      <c r="L586">
        <v>83</v>
      </c>
      <c r="M586" s="1">
        <v>2.5485138786538932E-3</v>
      </c>
      <c r="N586">
        <v>0</v>
      </c>
      <c r="O586">
        <v>20</v>
      </c>
      <c r="P586" s="1">
        <v>2.8926815157651145E-3</v>
      </c>
      <c r="Q586">
        <v>108</v>
      </c>
      <c r="R586" s="1">
        <v>2.525134440028057E-3</v>
      </c>
      <c r="S586">
        <v>0</v>
      </c>
      <c r="T586">
        <v>25</v>
      </c>
      <c r="U586" s="1">
        <v>2.4504999019800038E-3</v>
      </c>
      <c r="V586">
        <v>112</v>
      </c>
      <c r="W586" s="1">
        <v>2.5089043704218097E-3</v>
      </c>
      <c r="X586">
        <v>0</v>
      </c>
      <c r="Y586">
        <v>4</v>
      </c>
      <c r="Z586" s="1">
        <v>2.137894174238375E-3</v>
      </c>
      <c r="AA586">
        <v>115</v>
      </c>
      <c r="AB586" s="1">
        <v>2.5674800741220336E-3</v>
      </c>
      <c r="AC586">
        <v>0.01</v>
      </c>
      <c r="AD586">
        <v>3</v>
      </c>
      <c r="AE586" s="1">
        <v>0.02</v>
      </c>
      <c r="AF586">
        <v>117</v>
      </c>
      <c r="AG586" s="1">
        <v>2.5856353591160223E-3</v>
      </c>
      <c r="AH586">
        <v>0.01</v>
      </c>
      <c r="AI586">
        <v>2</v>
      </c>
      <c r="AJ586" s="1">
        <v>4.3572984749455342E-3</v>
      </c>
    </row>
    <row r="587" spans="1:36" x14ac:dyDescent="0.3">
      <c r="A587" t="s">
        <v>120</v>
      </c>
      <c r="B587" t="s">
        <v>738</v>
      </c>
      <c r="C587" t="s">
        <v>699</v>
      </c>
      <c r="D587" t="s">
        <v>700</v>
      </c>
      <c r="E587">
        <v>20986</v>
      </c>
      <c r="F587" s="1" t="s">
        <v>700</v>
      </c>
      <c r="G587">
        <v>26444</v>
      </c>
      <c r="H587" s="1" t="s">
        <v>700</v>
      </c>
      <c r="I587" t="s">
        <v>700</v>
      </c>
      <c r="J587">
        <v>5458</v>
      </c>
      <c r="K587" s="1" t="s">
        <v>700</v>
      </c>
      <c r="L587">
        <v>33601</v>
      </c>
      <c r="M587" s="1" t="s">
        <v>700</v>
      </c>
      <c r="N587" t="s">
        <v>700</v>
      </c>
      <c r="O587">
        <v>7157</v>
      </c>
      <c r="P587" s="1" t="s">
        <v>700</v>
      </c>
      <c r="Q587">
        <v>44176</v>
      </c>
      <c r="R587" s="1" t="s">
        <v>700</v>
      </c>
      <c r="S587" t="s">
        <v>700</v>
      </c>
      <c r="T587">
        <v>10575</v>
      </c>
      <c r="U587" s="1" t="s">
        <v>700</v>
      </c>
      <c r="V587">
        <v>46132</v>
      </c>
      <c r="Y587">
        <v>1956</v>
      </c>
      <c r="AA587">
        <v>46269</v>
      </c>
      <c r="AD587">
        <v>137</v>
      </c>
      <c r="AF587">
        <v>46753</v>
      </c>
      <c r="AI587">
        <v>484</v>
      </c>
    </row>
    <row r="588" spans="1:36" x14ac:dyDescent="0.3">
      <c r="A588" t="s">
        <v>120</v>
      </c>
      <c r="B588" t="s">
        <v>738</v>
      </c>
      <c r="C588" t="s">
        <v>391</v>
      </c>
      <c r="D588" t="s">
        <v>700</v>
      </c>
      <c r="E588">
        <v>10687</v>
      </c>
      <c r="F588" s="1">
        <v>0.54339999999999999</v>
      </c>
      <c r="G588">
        <v>13358</v>
      </c>
      <c r="H588" s="1">
        <v>0.53839999999999999</v>
      </c>
      <c r="I588">
        <v>-0.5</v>
      </c>
      <c r="J588">
        <v>2671</v>
      </c>
      <c r="K588" s="1">
        <v>0.51910000000000001</v>
      </c>
      <c r="L588">
        <v>16675</v>
      </c>
      <c r="M588" s="1">
        <v>0.52855965512869274</v>
      </c>
      <c r="N588">
        <v>-1.48</v>
      </c>
      <c r="O588">
        <v>3317</v>
      </c>
      <c r="P588" s="1">
        <v>0.49235564791450198</v>
      </c>
      <c r="Q588">
        <v>21619</v>
      </c>
      <c r="R588" s="1">
        <v>0.51979995672140611</v>
      </c>
      <c r="S588">
        <v>-2.36</v>
      </c>
      <c r="T588">
        <v>4944</v>
      </c>
      <c r="U588" s="1">
        <v>0.49228318231604101</v>
      </c>
      <c r="V588">
        <v>22500</v>
      </c>
      <c r="W588" s="1">
        <v>0.51769361741291242</v>
      </c>
      <c r="X588">
        <v>-2.57</v>
      </c>
      <c r="Y588">
        <v>881</v>
      </c>
      <c r="Z588" s="1">
        <v>0.47087119187600213</v>
      </c>
      <c r="AA588">
        <v>22591</v>
      </c>
      <c r="AB588" s="1">
        <v>0.51675549557380429</v>
      </c>
      <c r="AC588">
        <v>-2.66</v>
      </c>
      <c r="AD588">
        <v>91</v>
      </c>
      <c r="AE588" s="1">
        <v>0.35686274509803922</v>
      </c>
      <c r="AF588">
        <v>22807</v>
      </c>
      <c r="AG588" s="1">
        <v>0.51593711118651742</v>
      </c>
      <c r="AH588">
        <v>-2.75</v>
      </c>
      <c r="AI588">
        <v>216</v>
      </c>
      <c r="AJ588" s="1">
        <v>0.44262295081967212</v>
      </c>
    </row>
    <row r="589" spans="1:36" x14ac:dyDescent="0.3">
      <c r="A589" t="s">
        <v>120</v>
      </c>
      <c r="B589" t="s">
        <v>738</v>
      </c>
      <c r="C589" t="s">
        <v>392</v>
      </c>
      <c r="D589" t="s">
        <v>700</v>
      </c>
      <c r="E589">
        <v>6089</v>
      </c>
      <c r="F589" s="1">
        <v>0.30959999999999999</v>
      </c>
      <c r="G589">
        <v>7689</v>
      </c>
      <c r="H589" s="1">
        <v>0.30990000000000001</v>
      </c>
      <c r="I589">
        <v>0.03</v>
      </c>
      <c r="J589">
        <v>1600</v>
      </c>
      <c r="K589" s="1">
        <v>0.311</v>
      </c>
      <c r="L589">
        <v>9728</v>
      </c>
      <c r="M589" s="1">
        <v>0.30835552174464309</v>
      </c>
      <c r="N589">
        <v>-0.12</v>
      </c>
      <c r="O589">
        <v>2039</v>
      </c>
      <c r="P589" s="1">
        <v>0.30265696897728961</v>
      </c>
      <c r="Q589">
        <v>12765</v>
      </c>
      <c r="R589" s="1">
        <v>0.30691736192926355</v>
      </c>
      <c r="S589">
        <v>-0.27</v>
      </c>
      <c r="T589">
        <v>3037</v>
      </c>
      <c r="U589" s="1">
        <v>0.30239968137010853</v>
      </c>
      <c r="V589">
        <v>13360</v>
      </c>
      <c r="W589" s="1">
        <v>0.30739496571717823</v>
      </c>
      <c r="X589">
        <v>-0.22</v>
      </c>
      <c r="Y589">
        <v>595</v>
      </c>
      <c r="Z589" s="1">
        <v>0.31801175841795831</v>
      </c>
      <c r="AA589">
        <v>13446</v>
      </c>
      <c r="AB589" s="1">
        <v>0.30756913786398882</v>
      </c>
      <c r="AC589">
        <v>-0.2</v>
      </c>
      <c r="AD589">
        <v>86</v>
      </c>
      <c r="AE589" s="1">
        <v>0.33725490196078434</v>
      </c>
      <c r="AF589">
        <v>13592</v>
      </c>
      <c r="AG589" s="1">
        <v>0.30747652980432078</v>
      </c>
      <c r="AH589">
        <v>-0.21</v>
      </c>
      <c r="AI589">
        <v>146</v>
      </c>
      <c r="AJ589" s="1">
        <v>0.29918032786885246</v>
      </c>
    </row>
    <row r="590" spans="1:36" x14ac:dyDescent="0.3">
      <c r="A590" t="s">
        <v>120</v>
      </c>
      <c r="B590" t="s">
        <v>738</v>
      </c>
      <c r="C590" t="s">
        <v>393</v>
      </c>
      <c r="D590" t="s">
        <v>700</v>
      </c>
      <c r="E590">
        <v>2692</v>
      </c>
      <c r="F590" s="1">
        <v>0.13689999999999999</v>
      </c>
      <c r="G590">
        <v>3514</v>
      </c>
      <c r="H590" s="1">
        <v>0.1416</v>
      </c>
      <c r="I590">
        <v>0.47</v>
      </c>
      <c r="J590">
        <v>822</v>
      </c>
      <c r="K590" s="1">
        <v>0.1598</v>
      </c>
      <c r="L590">
        <v>4825</v>
      </c>
      <c r="M590" s="1">
        <v>0.15294154938506402</v>
      </c>
      <c r="N590">
        <v>1.6</v>
      </c>
      <c r="O590">
        <v>1311</v>
      </c>
      <c r="P590" s="1">
        <v>0.19459700163277424</v>
      </c>
      <c r="Q590">
        <v>6819</v>
      </c>
      <c r="R590" s="1">
        <v>0.16395373999182516</v>
      </c>
      <c r="S590">
        <v>2.71</v>
      </c>
      <c r="T590">
        <v>1994</v>
      </c>
      <c r="U590" s="1">
        <v>0.1985462511201832</v>
      </c>
      <c r="V590">
        <v>7247</v>
      </c>
      <c r="W590" s="1">
        <v>0.16674336201739451</v>
      </c>
      <c r="X590">
        <v>2.98</v>
      </c>
      <c r="Y590">
        <v>428</v>
      </c>
      <c r="Z590" s="1">
        <v>0.22875467664350616</v>
      </c>
      <c r="AA590">
        <v>7320</v>
      </c>
      <c r="AB590" s="1">
        <v>0.16744058375460347</v>
      </c>
      <c r="AC590">
        <v>3.05</v>
      </c>
      <c r="AD590">
        <v>73</v>
      </c>
      <c r="AE590" s="1">
        <v>0.28627450980392155</v>
      </c>
      <c r="AF590">
        <v>7441</v>
      </c>
      <c r="AG590" s="1">
        <v>0.16832937450514648</v>
      </c>
      <c r="AH590">
        <v>3.14</v>
      </c>
      <c r="AI590">
        <v>121</v>
      </c>
      <c r="AJ590" s="1">
        <v>0.24795081967213115</v>
      </c>
    </row>
    <row r="591" spans="1:36" x14ac:dyDescent="0.3">
      <c r="A591" t="s">
        <v>120</v>
      </c>
      <c r="B591" t="s">
        <v>738</v>
      </c>
      <c r="C591" t="s">
        <v>404</v>
      </c>
      <c r="D591" t="s">
        <v>700</v>
      </c>
      <c r="E591">
        <v>198</v>
      </c>
      <c r="F591" s="1">
        <v>1.01E-2</v>
      </c>
      <c r="G591">
        <v>250</v>
      </c>
      <c r="H591" s="1">
        <v>1.01E-2</v>
      </c>
      <c r="I591">
        <v>0</v>
      </c>
      <c r="J591">
        <v>52</v>
      </c>
      <c r="K591" s="1">
        <v>1.01E-2</v>
      </c>
      <c r="L591">
        <v>320</v>
      </c>
      <c r="M591" s="1">
        <v>1.0143273741600102E-2</v>
      </c>
      <c r="N591">
        <v>0</v>
      </c>
      <c r="O591">
        <v>70</v>
      </c>
      <c r="P591" s="1">
        <v>1.039038147543417E-2</v>
      </c>
      <c r="Q591">
        <v>388</v>
      </c>
      <c r="R591" s="1">
        <v>9.3289413575052289E-3</v>
      </c>
      <c r="S591">
        <v>-0.08</v>
      </c>
      <c r="T591">
        <v>68</v>
      </c>
      <c r="U591" s="1">
        <v>6.7708851936672306E-3</v>
      </c>
      <c r="V591">
        <v>355</v>
      </c>
      <c r="W591" s="1">
        <v>8.168054852514841E-3</v>
      </c>
      <c r="X591">
        <v>-0.19</v>
      </c>
      <c r="Y591">
        <v>-33</v>
      </c>
      <c r="Z591" s="1">
        <v>-1.7637626937466594E-2</v>
      </c>
      <c r="AA591">
        <v>360</v>
      </c>
      <c r="AB591" s="1">
        <v>8.2347828076034489E-3</v>
      </c>
      <c r="AC591">
        <v>-0.19</v>
      </c>
      <c r="AD591">
        <v>5</v>
      </c>
      <c r="AE591" s="1">
        <v>1.9607843137254902E-2</v>
      </c>
      <c r="AF591">
        <v>365</v>
      </c>
      <c r="AG591" s="1">
        <v>8.2569845040153834E-3</v>
      </c>
      <c r="AH591">
        <v>-0.18</v>
      </c>
      <c r="AI591">
        <v>5</v>
      </c>
      <c r="AJ591" s="1">
        <v>1.0245901639344262E-2</v>
      </c>
    </row>
    <row r="592" spans="1:36" x14ac:dyDescent="0.3">
      <c r="A592" t="s">
        <v>122</v>
      </c>
      <c r="B592" t="s">
        <v>739</v>
      </c>
      <c r="C592" t="s">
        <v>699</v>
      </c>
      <c r="D592" t="s">
        <v>700</v>
      </c>
      <c r="E592">
        <v>20986</v>
      </c>
      <c r="F592" s="1" t="s">
        <v>700</v>
      </c>
      <c r="G592">
        <v>26444</v>
      </c>
      <c r="H592" s="1" t="s">
        <v>700</v>
      </c>
      <c r="I592" t="s">
        <v>700</v>
      </c>
      <c r="J592">
        <v>5458</v>
      </c>
      <c r="K592" s="1" t="s">
        <v>700</v>
      </c>
      <c r="L592">
        <v>33601</v>
      </c>
      <c r="M592" s="1" t="s">
        <v>700</v>
      </c>
      <c r="N592" t="s">
        <v>700</v>
      </c>
      <c r="O592">
        <v>7157</v>
      </c>
      <c r="P592" s="1" t="s">
        <v>700</v>
      </c>
      <c r="Q592">
        <v>44176</v>
      </c>
      <c r="R592" s="1" t="s">
        <v>700</v>
      </c>
      <c r="S592" t="s">
        <v>700</v>
      </c>
      <c r="T592">
        <v>10575</v>
      </c>
      <c r="U592" s="1" t="s">
        <v>700</v>
      </c>
      <c r="V592">
        <v>46132</v>
      </c>
      <c r="Y592">
        <v>1956</v>
      </c>
      <c r="AA592">
        <v>46269</v>
      </c>
      <c r="AD592">
        <v>137</v>
      </c>
      <c r="AF592">
        <v>46753</v>
      </c>
      <c r="AI592">
        <v>484</v>
      </c>
    </row>
    <row r="593" spans="1:36" x14ac:dyDescent="0.3">
      <c r="A593" t="s">
        <v>122</v>
      </c>
      <c r="B593" t="s">
        <v>739</v>
      </c>
      <c r="C593" t="s">
        <v>669</v>
      </c>
      <c r="D593" t="s">
        <v>700</v>
      </c>
      <c r="E593">
        <v>17470</v>
      </c>
      <c r="F593" s="1">
        <v>0.8841</v>
      </c>
      <c r="G593">
        <v>22085</v>
      </c>
      <c r="H593" s="1">
        <v>0.88670000000000004</v>
      </c>
      <c r="I593">
        <v>0.26</v>
      </c>
      <c r="J593">
        <v>4615</v>
      </c>
      <c r="K593" s="1">
        <v>0.89700000000000002</v>
      </c>
      <c r="L593">
        <v>28163</v>
      </c>
      <c r="M593" s="1">
        <v>0.89086768101730296</v>
      </c>
      <c r="N593">
        <v>0.68</v>
      </c>
      <c r="O593">
        <v>6078</v>
      </c>
      <c r="P593" s="1">
        <v>0.9062173848218279</v>
      </c>
      <c r="Q593">
        <v>37237</v>
      </c>
      <c r="R593" s="1">
        <v>0.89395976376818553</v>
      </c>
      <c r="S593">
        <v>0.99</v>
      </c>
      <c r="T593">
        <v>9074</v>
      </c>
      <c r="U593" s="1">
        <v>0.90369485111044712</v>
      </c>
      <c r="V593">
        <v>38829</v>
      </c>
      <c r="W593" s="1">
        <v>0.89377129177792103</v>
      </c>
      <c r="X593">
        <v>0.97</v>
      </c>
      <c r="Y593">
        <v>1592</v>
      </c>
      <c r="Z593" s="1">
        <v>0.88938547486033515</v>
      </c>
      <c r="AA593">
        <v>38948</v>
      </c>
      <c r="AB593" s="1">
        <v>0.89356918347213621</v>
      </c>
      <c r="AC593">
        <v>0.95</v>
      </c>
      <c r="AD593">
        <v>119</v>
      </c>
      <c r="AE593" s="1">
        <v>0.83216783216783219</v>
      </c>
      <c r="AF593">
        <v>39373</v>
      </c>
      <c r="AG593" s="1">
        <v>0.89406875879921888</v>
      </c>
      <c r="AH593">
        <v>1</v>
      </c>
      <c r="AI593">
        <v>425</v>
      </c>
      <c r="AJ593" s="1">
        <v>0.94235033259423506</v>
      </c>
    </row>
    <row r="594" spans="1:36" x14ac:dyDescent="0.3">
      <c r="A594" t="s">
        <v>122</v>
      </c>
      <c r="B594" t="s">
        <v>739</v>
      </c>
      <c r="C594" t="s">
        <v>670</v>
      </c>
      <c r="D594" t="s">
        <v>700</v>
      </c>
      <c r="E594">
        <v>2127</v>
      </c>
      <c r="F594" s="1">
        <v>0.1076</v>
      </c>
      <c r="G594">
        <v>2626</v>
      </c>
      <c r="H594" s="1">
        <v>0.10539999999999999</v>
      </c>
      <c r="I594">
        <v>-0.22</v>
      </c>
      <c r="J594">
        <v>499</v>
      </c>
      <c r="K594" s="1">
        <v>9.6999999999999989E-2</v>
      </c>
      <c r="L594">
        <v>3214</v>
      </c>
      <c r="M594" s="1">
        <v>0.10166703571315598</v>
      </c>
      <c r="N594">
        <v>-0.59</v>
      </c>
      <c r="O594">
        <v>588</v>
      </c>
      <c r="P594" s="1">
        <v>8.7669598926494702E-2</v>
      </c>
      <c r="Q594">
        <v>4137</v>
      </c>
      <c r="R594" s="1">
        <v>9.9318192730590102E-2</v>
      </c>
      <c r="S594">
        <v>-0.83</v>
      </c>
      <c r="T594">
        <v>923</v>
      </c>
      <c r="U594" s="1">
        <v>9.1923115227566979E-2</v>
      </c>
      <c r="V594">
        <v>4341</v>
      </c>
      <c r="W594" s="1">
        <v>9.9921738329803889E-2</v>
      </c>
      <c r="X594">
        <v>-0.77</v>
      </c>
      <c r="Y594">
        <v>204</v>
      </c>
      <c r="Z594" s="1">
        <v>0.11396648044692738</v>
      </c>
      <c r="AA594">
        <v>4362</v>
      </c>
      <c r="AB594" s="1">
        <v>0.10007571064767018</v>
      </c>
      <c r="AC594">
        <v>-0.75</v>
      </c>
      <c r="AD594">
        <v>21</v>
      </c>
      <c r="AE594" s="1">
        <v>0.14685314685314685</v>
      </c>
      <c r="AF594">
        <v>4386</v>
      </c>
      <c r="AG594" s="1">
        <v>9.959580362414279E-2</v>
      </c>
      <c r="AH594">
        <v>-0.8</v>
      </c>
      <c r="AI594">
        <v>24</v>
      </c>
      <c r="AJ594" s="1">
        <v>5.3215077605321508E-2</v>
      </c>
    </row>
    <row r="595" spans="1:36" x14ac:dyDescent="0.3">
      <c r="A595" t="s">
        <v>122</v>
      </c>
      <c r="B595" t="s">
        <v>739</v>
      </c>
      <c r="C595" t="s">
        <v>404</v>
      </c>
      <c r="D595" t="s">
        <v>700</v>
      </c>
      <c r="E595">
        <v>164</v>
      </c>
      <c r="F595" s="1">
        <v>8.3000000000000001E-3</v>
      </c>
      <c r="G595">
        <v>195</v>
      </c>
      <c r="H595" s="1">
        <v>7.8000000000000005E-3</v>
      </c>
      <c r="I595">
        <v>-0.05</v>
      </c>
      <c r="J595">
        <v>31</v>
      </c>
      <c r="K595" s="1">
        <v>6.0000000000000001E-3</v>
      </c>
      <c r="L595">
        <v>236</v>
      </c>
      <c r="M595" s="1">
        <v>7.4652832695410115E-3</v>
      </c>
      <c r="N595">
        <v>-0.08</v>
      </c>
      <c r="O595">
        <v>41</v>
      </c>
      <c r="P595" s="1">
        <v>6.1130162516773523E-3</v>
      </c>
      <c r="Q595">
        <v>280</v>
      </c>
      <c r="R595" s="1">
        <v>6.7220435012243724E-3</v>
      </c>
      <c r="S595">
        <v>-0.16</v>
      </c>
      <c r="T595">
        <v>44</v>
      </c>
      <c r="U595" s="1">
        <v>4.3820336619858581E-3</v>
      </c>
      <c r="V595">
        <v>274</v>
      </c>
      <c r="W595" s="1">
        <v>6.3069698922751131E-3</v>
      </c>
      <c r="X595">
        <v>-0.2</v>
      </c>
      <c r="Y595">
        <v>-6</v>
      </c>
      <c r="Z595" s="1">
        <v>-3.3519553072625698E-3</v>
      </c>
      <c r="AA595">
        <v>277</v>
      </c>
      <c r="AB595" s="1">
        <v>6.3551058801936356E-3</v>
      </c>
      <c r="AC595">
        <v>-0.19</v>
      </c>
      <c r="AD595">
        <v>3</v>
      </c>
      <c r="AE595" s="1">
        <v>2.097902097902098E-2</v>
      </c>
      <c r="AF595">
        <v>279</v>
      </c>
      <c r="AG595" s="1">
        <v>6.3354375766383579E-3</v>
      </c>
      <c r="AH595">
        <v>-0.2</v>
      </c>
      <c r="AI595">
        <v>2</v>
      </c>
      <c r="AJ595" s="1">
        <v>4.434589800443459E-3</v>
      </c>
    </row>
    <row r="596" spans="1:36" x14ac:dyDescent="0.3">
      <c r="A596" t="s">
        <v>215</v>
      </c>
      <c r="B596" t="s">
        <v>740</v>
      </c>
      <c r="C596" t="s">
        <v>699</v>
      </c>
      <c r="D596" t="s">
        <v>700</v>
      </c>
      <c r="E596">
        <v>15327</v>
      </c>
      <c r="F596" s="1" t="s">
        <v>700</v>
      </c>
      <c r="G596">
        <v>19813</v>
      </c>
      <c r="H596" s="1" t="s">
        <v>700</v>
      </c>
      <c r="I596" t="s">
        <v>700</v>
      </c>
      <c r="J596">
        <v>4486</v>
      </c>
      <c r="K596" s="1" t="s">
        <v>700</v>
      </c>
      <c r="L596">
        <v>22096</v>
      </c>
      <c r="M596" s="1" t="s">
        <v>700</v>
      </c>
      <c r="N596" t="s">
        <v>700</v>
      </c>
      <c r="O596">
        <v>2283</v>
      </c>
      <c r="P596" s="1" t="s">
        <v>700</v>
      </c>
      <c r="Q596">
        <v>26447</v>
      </c>
      <c r="R596" s="1" t="s">
        <v>700</v>
      </c>
      <c r="S596" t="s">
        <v>700</v>
      </c>
      <c r="T596">
        <v>4351</v>
      </c>
      <c r="U596" s="1" t="s">
        <v>700</v>
      </c>
      <c r="V596">
        <v>29446</v>
      </c>
      <c r="Y596">
        <v>2999</v>
      </c>
      <c r="AA596">
        <v>29509</v>
      </c>
      <c r="AD596">
        <v>63</v>
      </c>
      <c r="AF596">
        <v>29652</v>
      </c>
      <c r="AI596">
        <v>143</v>
      </c>
    </row>
    <row r="597" spans="1:36" x14ac:dyDescent="0.3">
      <c r="A597" t="s">
        <v>215</v>
      </c>
      <c r="B597" t="s">
        <v>740</v>
      </c>
      <c r="C597" t="s">
        <v>451</v>
      </c>
      <c r="D597" t="s">
        <v>700</v>
      </c>
      <c r="E597">
        <v>8821</v>
      </c>
      <c r="F597" s="1">
        <v>0.58719999999999994</v>
      </c>
      <c r="G597">
        <v>11405</v>
      </c>
      <c r="H597" s="1">
        <v>0.58719999999999994</v>
      </c>
      <c r="I597">
        <v>0</v>
      </c>
      <c r="J597">
        <v>2584</v>
      </c>
      <c r="K597" s="1">
        <v>0.58709999999999996</v>
      </c>
      <c r="L597">
        <v>12651</v>
      </c>
      <c r="M597" s="1">
        <v>0.58382943375328811</v>
      </c>
      <c r="N597">
        <v>-0.34</v>
      </c>
      <c r="O597">
        <v>1246</v>
      </c>
      <c r="P597" s="1">
        <v>0.55451713395638624</v>
      </c>
      <c r="Q597">
        <v>15333</v>
      </c>
      <c r="R597" s="1">
        <v>0.59132279213266492</v>
      </c>
      <c r="S597">
        <v>0.41</v>
      </c>
      <c r="T597">
        <v>2682</v>
      </c>
      <c r="U597" s="1">
        <v>0.62942971133536729</v>
      </c>
      <c r="V597">
        <v>17119</v>
      </c>
      <c r="W597" s="1">
        <v>0.59259900304624757</v>
      </c>
      <c r="X597">
        <v>0.54</v>
      </c>
      <c r="Y597">
        <v>1786</v>
      </c>
      <c r="Z597" s="1">
        <v>0.60378634212305615</v>
      </c>
      <c r="AA597">
        <v>17152</v>
      </c>
      <c r="AB597" s="1">
        <v>0.5922651933701657</v>
      </c>
      <c r="AC597">
        <v>0.51</v>
      </c>
      <c r="AD597">
        <v>33</v>
      </c>
      <c r="AE597" s="1">
        <v>0.45833333333333331</v>
      </c>
      <c r="AF597">
        <v>17258</v>
      </c>
      <c r="AG597" s="1">
        <v>0.5930991820743694</v>
      </c>
      <c r="AH597">
        <v>0.59</v>
      </c>
      <c r="AI597">
        <v>106</v>
      </c>
      <c r="AJ597" s="1">
        <v>0.76811594202898548</v>
      </c>
    </row>
    <row r="598" spans="1:36" x14ac:dyDescent="0.3">
      <c r="A598" t="s">
        <v>215</v>
      </c>
      <c r="B598" t="s">
        <v>740</v>
      </c>
      <c r="C598" t="s">
        <v>452</v>
      </c>
      <c r="D598" t="s">
        <v>700</v>
      </c>
      <c r="E598">
        <v>6174</v>
      </c>
      <c r="F598" s="1">
        <v>0.41100000000000003</v>
      </c>
      <c r="G598">
        <v>7988</v>
      </c>
      <c r="H598" s="1">
        <v>0.4113</v>
      </c>
      <c r="I598">
        <v>0.03</v>
      </c>
      <c r="J598">
        <v>1814</v>
      </c>
      <c r="K598" s="1">
        <v>0.41220000000000001</v>
      </c>
      <c r="L598">
        <v>8986</v>
      </c>
      <c r="M598" s="1">
        <v>0.41469380220591628</v>
      </c>
      <c r="N598">
        <v>0.37</v>
      </c>
      <c r="O598">
        <v>998</v>
      </c>
      <c r="P598" s="1">
        <v>0.44414775255896749</v>
      </c>
      <c r="Q598">
        <v>10564</v>
      </c>
      <c r="R598" s="1">
        <v>0.40740455071345932</v>
      </c>
      <c r="S598">
        <v>-0.36</v>
      </c>
      <c r="T598">
        <v>1578</v>
      </c>
      <c r="U598" s="1">
        <v>0.37033560197136822</v>
      </c>
      <c r="V598">
        <v>11737</v>
      </c>
      <c r="W598" s="1">
        <v>0.40629327056217113</v>
      </c>
      <c r="X598">
        <v>-0.47</v>
      </c>
      <c r="Y598">
        <v>1173</v>
      </c>
      <c r="Z598" s="1">
        <v>0.39655172413793105</v>
      </c>
      <c r="AA598">
        <v>11775</v>
      </c>
      <c r="AB598" s="1">
        <v>0.40659530386740333</v>
      </c>
      <c r="AC598">
        <v>-0.44</v>
      </c>
      <c r="AD598">
        <v>38</v>
      </c>
      <c r="AE598" s="1">
        <v>0.52777777777777779</v>
      </c>
      <c r="AF598">
        <v>11807</v>
      </c>
      <c r="AG598" s="1">
        <v>0.40576671936215547</v>
      </c>
      <c r="AH598">
        <v>-0.52</v>
      </c>
      <c r="AI598">
        <v>32</v>
      </c>
      <c r="AJ598" s="1">
        <v>0.2318840579710145</v>
      </c>
    </row>
    <row r="599" spans="1:36" x14ac:dyDescent="0.3">
      <c r="A599" t="s">
        <v>215</v>
      </c>
      <c r="B599" t="s">
        <v>740</v>
      </c>
      <c r="C599" t="s">
        <v>404</v>
      </c>
      <c r="D599" t="s">
        <v>700</v>
      </c>
      <c r="E599">
        <v>26</v>
      </c>
      <c r="F599" s="1">
        <v>1.7000000000000001E-3</v>
      </c>
      <c r="G599">
        <v>29</v>
      </c>
      <c r="H599" s="1">
        <v>1.5E-3</v>
      </c>
      <c r="I599">
        <v>-0.02</v>
      </c>
      <c r="J599">
        <v>3</v>
      </c>
      <c r="K599" s="1">
        <v>7.000000000000001E-4</v>
      </c>
      <c r="L599">
        <v>32</v>
      </c>
      <c r="M599" s="1">
        <v>1.4767640407956067E-3</v>
      </c>
      <c r="N599">
        <v>-0.02</v>
      </c>
      <c r="O599">
        <v>3</v>
      </c>
      <c r="P599" s="1">
        <v>1.3351134846461949E-3</v>
      </c>
      <c r="Q599">
        <v>33</v>
      </c>
      <c r="R599" s="1">
        <v>1.2726571538758196E-3</v>
      </c>
      <c r="S599">
        <v>-0.04</v>
      </c>
      <c r="T599">
        <v>1</v>
      </c>
      <c r="U599" s="1">
        <v>2.3468669326449191E-4</v>
      </c>
      <c r="V599">
        <v>32</v>
      </c>
      <c r="W599" s="1">
        <v>1.1077263915812794E-3</v>
      </c>
      <c r="X599">
        <v>-0.06</v>
      </c>
      <c r="Y599">
        <v>-1</v>
      </c>
      <c r="Z599" s="1">
        <v>-3.3806626098715348E-4</v>
      </c>
      <c r="AA599">
        <v>33</v>
      </c>
      <c r="AB599" s="1">
        <v>1.1395027624309393E-3</v>
      </c>
      <c r="AC599">
        <v>-0.06</v>
      </c>
      <c r="AD599">
        <v>1</v>
      </c>
      <c r="AE599" s="1">
        <v>1.3888888888888888E-2</v>
      </c>
      <c r="AF599">
        <v>33</v>
      </c>
      <c r="AG599" s="1">
        <v>1.1340985634751529E-3</v>
      </c>
      <c r="AH599">
        <v>-0.06</v>
      </c>
      <c r="AI599">
        <v>0</v>
      </c>
      <c r="AJ599" s="1">
        <v>0</v>
      </c>
    </row>
    <row r="600" spans="1:36" x14ac:dyDescent="0.3">
      <c r="A600" t="s">
        <v>216</v>
      </c>
      <c r="B600" t="s">
        <v>741</v>
      </c>
      <c r="C600" t="s">
        <v>699</v>
      </c>
      <c r="D600" t="s">
        <v>700</v>
      </c>
      <c r="E600">
        <v>15327</v>
      </c>
      <c r="F600" s="1" t="s">
        <v>700</v>
      </c>
      <c r="G600">
        <v>19813</v>
      </c>
      <c r="H600" s="1" t="s">
        <v>700</v>
      </c>
      <c r="I600" t="s">
        <v>700</v>
      </c>
      <c r="J600">
        <v>4486</v>
      </c>
      <c r="K600" s="1" t="s">
        <v>700</v>
      </c>
      <c r="L600">
        <v>22096</v>
      </c>
      <c r="M600" s="1" t="s">
        <v>700</v>
      </c>
      <c r="N600" t="s">
        <v>700</v>
      </c>
      <c r="O600">
        <v>2283</v>
      </c>
      <c r="P600" s="1" t="s">
        <v>700</v>
      </c>
      <c r="Q600">
        <v>26447</v>
      </c>
      <c r="R600" s="1" t="s">
        <v>700</v>
      </c>
      <c r="S600" t="s">
        <v>700</v>
      </c>
      <c r="T600">
        <v>4351</v>
      </c>
      <c r="U600" s="1" t="s">
        <v>700</v>
      </c>
      <c r="V600">
        <v>29446</v>
      </c>
      <c r="Y600">
        <v>2999</v>
      </c>
      <c r="AA600">
        <v>29509</v>
      </c>
      <c r="AD600">
        <v>63</v>
      </c>
      <c r="AF600">
        <v>29652</v>
      </c>
      <c r="AI600">
        <v>143</v>
      </c>
    </row>
    <row r="601" spans="1:36" x14ac:dyDescent="0.3">
      <c r="A601" t="s">
        <v>216</v>
      </c>
      <c r="B601" t="s">
        <v>741</v>
      </c>
      <c r="C601" t="s">
        <v>395</v>
      </c>
      <c r="D601" t="s">
        <v>700</v>
      </c>
      <c r="E601">
        <v>5560</v>
      </c>
      <c r="F601" s="1">
        <v>0.38539999999999996</v>
      </c>
      <c r="G601">
        <v>7161</v>
      </c>
      <c r="H601" s="1">
        <v>0.38299999999999995</v>
      </c>
      <c r="I601">
        <v>-0.24</v>
      </c>
      <c r="J601">
        <v>1601</v>
      </c>
      <c r="K601" s="1">
        <v>0.375</v>
      </c>
      <c r="L601">
        <v>7926</v>
      </c>
      <c r="M601" s="1">
        <v>0.38007096959815861</v>
      </c>
      <c r="N601">
        <v>-0.53</v>
      </c>
      <c r="O601">
        <v>765</v>
      </c>
      <c r="P601" s="1">
        <v>0.35449490268767375</v>
      </c>
      <c r="Q601">
        <v>9447</v>
      </c>
      <c r="R601" s="1">
        <v>0.37836430631207946</v>
      </c>
      <c r="S601">
        <v>-0.7</v>
      </c>
      <c r="T601">
        <v>1521</v>
      </c>
      <c r="U601" s="1">
        <v>0.36971317452600877</v>
      </c>
      <c r="V601">
        <v>10526</v>
      </c>
      <c r="W601" s="1">
        <v>0.37927431268691675</v>
      </c>
      <c r="X601">
        <v>-0.61</v>
      </c>
      <c r="Y601">
        <v>1079</v>
      </c>
      <c r="Z601" s="1">
        <v>0.38743267504488332</v>
      </c>
      <c r="AA601">
        <v>10551</v>
      </c>
      <c r="AB601" s="1">
        <v>0.37897345641320357</v>
      </c>
      <c r="AC601">
        <v>-0.64</v>
      </c>
      <c r="AD601">
        <v>25</v>
      </c>
      <c r="AE601" s="1">
        <v>0.28409090909090912</v>
      </c>
      <c r="AF601">
        <v>10619</v>
      </c>
      <c r="AG601" s="1">
        <v>0.37941260540231525</v>
      </c>
      <c r="AH601">
        <v>-0.6</v>
      </c>
      <c r="AI601">
        <v>68</v>
      </c>
      <c r="AJ601" s="1">
        <v>0.46258503401360546</v>
      </c>
    </row>
    <row r="602" spans="1:36" x14ac:dyDescent="0.3">
      <c r="A602" t="s">
        <v>216</v>
      </c>
      <c r="B602" t="s">
        <v>741</v>
      </c>
      <c r="C602" t="s">
        <v>671</v>
      </c>
      <c r="D602" t="s">
        <v>700</v>
      </c>
      <c r="E602">
        <v>4346</v>
      </c>
      <c r="F602" s="1">
        <v>0.30120000000000002</v>
      </c>
      <c r="G602">
        <v>5643</v>
      </c>
      <c r="H602" s="1">
        <v>0.30180000000000001</v>
      </c>
      <c r="I602">
        <v>0.06</v>
      </c>
      <c r="J602">
        <v>1297</v>
      </c>
      <c r="K602" s="1">
        <v>0.30380000000000001</v>
      </c>
      <c r="L602">
        <v>6368</v>
      </c>
      <c r="M602" s="1">
        <v>0.30536108180684762</v>
      </c>
      <c r="N602">
        <v>0.42</v>
      </c>
      <c r="O602">
        <v>725</v>
      </c>
      <c r="P602" s="1">
        <v>0.33595922150139018</v>
      </c>
      <c r="Q602">
        <v>7504</v>
      </c>
      <c r="R602" s="1">
        <v>0.30054469721243193</v>
      </c>
      <c r="S602">
        <v>-7.0000000000000007E-2</v>
      </c>
      <c r="T602">
        <v>1136</v>
      </c>
      <c r="U602" s="1">
        <v>0.27613028682547397</v>
      </c>
      <c r="V602">
        <v>8308</v>
      </c>
      <c r="W602" s="1">
        <v>0.29935502468201636</v>
      </c>
      <c r="X602">
        <v>-0.18</v>
      </c>
      <c r="Y602">
        <v>804</v>
      </c>
      <c r="Z602" s="1">
        <v>0.28868940754039496</v>
      </c>
      <c r="AA602">
        <v>8338</v>
      </c>
      <c r="AB602" s="1">
        <v>0.29948636902410114</v>
      </c>
      <c r="AC602">
        <v>-0.17</v>
      </c>
      <c r="AD602">
        <v>30</v>
      </c>
      <c r="AE602" s="1">
        <v>0.34090909090909088</v>
      </c>
      <c r="AF602">
        <v>8361</v>
      </c>
      <c r="AG602" s="1">
        <v>0.29873517221666429</v>
      </c>
      <c r="AH602">
        <v>-0.25</v>
      </c>
      <c r="AI602">
        <v>23</v>
      </c>
      <c r="AJ602" s="1">
        <v>0.15646258503401361</v>
      </c>
    </row>
    <row r="603" spans="1:36" x14ac:dyDescent="0.3">
      <c r="A603" t="s">
        <v>216</v>
      </c>
      <c r="B603" t="s">
        <v>741</v>
      </c>
      <c r="C603" t="s">
        <v>397</v>
      </c>
      <c r="D603" t="s">
        <v>700</v>
      </c>
      <c r="E603">
        <v>2742</v>
      </c>
      <c r="F603" s="1">
        <v>0.19010000000000002</v>
      </c>
      <c r="G603">
        <v>3590</v>
      </c>
      <c r="H603" s="1">
        <v>0.192</v>
      </c>
      <c r="I603">
        <v>0.19</v>
      </c>
      <c r="J603">
        <v>848</v>
      </c>
      <c r="K603" s="1">
        <v>0.1986</v>
      </c>
      <c r="L603">
        <v>4010</v>
      </c>
      <c r="M603" s="1">
        <v>0.19228924906492759</v>
      </c>
      <c r="N603">
        <v>0.22</v>
      </c>
      <c r="O603">
        <v>420</v>
      </c>
      <c r="P603" s="1">
        <v>0.19462465245597776</v>
      </c>
      <c r="Q603">
        <v>4971</v>
      </c>
      <c r="R603" s="1">
        <v>0.19909484139698813</v>
      </c>
      <c r="S603">
        <v>0.9</v>
      </c>
      <c r="T603">
        <v>961</v>
      </c>
      <c r="U603" s="1">
        <v>0.23359261059795819</v>
      </c>
      <c r="V603">
        <v>5595</v>
      </c>
      <c r="W603" s="1">
        <v>0.20159982704572479</v>
      </c>
      <c r="X603">
        <v>1.1499999999999999</v>
      </c>
      <c r="Y603">
        <v>624</v>
      </c>
      <c r="Z603" s="1">
        <v>0.22405745062836624</v>
      </c>
      <c r="AA603">
        <v>5610</v>
      </c>
      <c r="AB603" s="1">
        <v>0.20150138285262742</v>
      </c>
      <c r="AC603">
        <v>1.1399999999999999</v>
      </c>
      <c r="AD603">
        <v>15</v>
      </c>
      <c r="AE603" s="1">
        <v>0.17045454545454544</v>
      </c>
      <c r="AF603">
        <v>5647</v>
      </c>
      <c r="AG603" s="1">
        <v>0.20176504216092611</v>
      </c>
      <c r="AH603">
        <v>1.17</v>
      </c>
      <c r="AI603">
        <v>37</v>
      </c>
      <c r="AJ603" s="1">
        <v>0.25170068027210885</v>
      </c>
    </row>
    <row r="604" spans="1:36" x14ac:dyDescent="0.3">
      <c r="A604" t="s">
        <v>216</v>
      </c>
      <c r="B604" t="s">
        <v>741</v>
      </c>
      <c r="C604" t="s">
        <v>398</v>
      </c>
      <c r="D604" t="s">
        <v>700</v>
      </c>
      <c r="E604">
        <v>1558</v>
      </c>
      <c r="F604" s="1">
        <v>0.10800000000000001</v>
      </c>
      <c r="G604">
        <v>2041</v>
      </c>
      <c r="H604" s="1">
        <v>0.10920000000000001</v>
      </c>
      <c r="I604">
        <v>0.12</v>
      </c>
      <c r="J604">
        <v>483</v>
      </c>
      <c r="K604" s="1">
        <v>0.11310000000000001</v>
      </c>
      <c r="L604">
        <v>2259</v>
      </c>
      <c r="M604" s="1">
        <v>0.10832454205428216</v>
      </c>
      <c r="N604">
        <v>0.03</v>
      </c>
      <c r="O604">
        <v>218</v>
      </c>
      <c r="P604" s="1">
        <v>0.1010194624652456</v>
      </c>
      <c r="Q604">
        <v>2719</v>
      </c>
      <c r="R604" s="1">
        <v>0.10889939122076257</v>
      </c>
      <c r="S604">
        <v>0.09</v>
      </c>
      <c r="T604">
        <v>460</v>
      </c>
      <c r="U604" s="1">
        <v>0.1118133203694701</v>
      </c>
      <c r="V604">
        <v>3015</v>
      </c>
      <c r="W604" s="1">
        <v>0.10863690411847368</v>
      </c>
      <c r="X604">
        <v>0.06</v>
      </c>
      <c r="Y604">
        <v>296</v>
      </c>
      <c r="Z604" s="1">
        <v>0.10628366247755835</v>
      </c>
      <c r="AA604">
        <v>3029</v>
      </c>
      <c r="AB604" s="1">
        <v>0.10879637944039366</v>
      </c>
      <c r="AC604">
        <v>0.08</v>
      </c>
      <c r="AD604">
        <v>14</v>
      </c>
      <c r="AE604" s="1">
        <v>0.15909090909090909</v>
      </c>
      <c r="AF604">
        <v>3047</v>
      </c>
      <c r="AG604" s="1">
        <v>0.10886808632270974</v>
      </c>
      <c r="AH604">
        <v>0.09</v>
      </c>
      <c r="AI604">
        <v>18</v>
      </c>
      <c r="AJ604" s="1">
        <v>0.12244897959183673</v>
      </c>
    </row>
    <row r="605" spans="1:36" x14ac:dyDescent="0.3">
      <c r="A605" t="s">
        <v>216</v>
      </c>
      <c r="B605" t="s">
        <v>741</v>
      </c>
      <c r="C605" t="s">
        <v>404</v>
      </c>
      <c r="D605" t="s">
        <v>700</v>
      </c>
      <c r="E605">
        <v>221</v>
      </c>
      <c r="F605" s="1">
        <v>1.5300000000000001E-2</v>
      </c>
      <c r="G605">
        <v>261</v>
      </c>
      <c r="H605" s="1">
        <v>1.3999999999999999E-2</v>
      </c>
      <c r="I605">
        <v>-0.13</v>
      </c>
      <c r="J605">
        <v>40</v>
      </c>
      <c r="K605" s="1">
        <v>9.3999999999999986E-3</v>
      </c>
      <c r="L605">
        <v>291</v>
      </c>
      <c r="M605" s="1">
        <v>1.3954157475784022E-2</v>
      </c>
      <c r="N605">
        <v>-0.13</v>
      </c>
      <c r="O605">
        <v>30</v>
      </c>
      <c r="P605" s="1">
        <v>1.3901760889712697E-2</v>
      </c>
      <c r="Q605">
        <v>327</v>
      </c>
      <c r="R605" s="1">
        <v>1.3096763857737904E-2</v>
      </c>
      <c r="S605">
        <v>-0.22</v>
      </c>
      <c r="T605">
        <v>36</v>
      </c>
      <c r="U605" s="1">
        <v>8.7506076810889653E-3</v>
      </c>
      <c r="V605">
        <v>309</v>
      </c>
      <c r="W605" s="1">
        <v>1.1133931466868446E-2</v>
      </c>
      <c r="X605">
        <v>-0.42</v>
      </c>
      <c r="Y605">
        <v>-18</v>
      </c>
      <c r="Z605" s="1">
        <v>-6.4631956912028724E-3</v>
      </c>
      <c r="AA605">
        <v>313</v>
      </c>
      <c r="AB605" s="1">
        <v>1.1242412269674221E-2</v>
      </c>
      <c r="AC605">
        <v>-0.41</v>
      </c>
      <c r="AD605">
        <v>4</v>
      </c>
      <c r="AE605" s="1">
        <v>4.5454545454545456E-2</v>
      </c>
      <c r="AF605">
        <v>314</v>
      </c>
      <c r="AG605" s="1">
        <v>1.1219093897384593E-2</v>
      </c>
      <c r="AH605">
        <v>-0.41</v>
      </c>
      <c r="AI605">
        <v>1</v>
      </c>
      <c r="AJ605" s="1">
        <v>6.8027210884353739E-3</v>
      </c>
    </row>
    <row r="606" spans="1:36" x14ac:dyDescent="0.3">
      <c r="A606" t="s">
        <v>217</v>
      </c>
      <c r="B606" t="s">
        <v>742</v>
      </c>
      <c r="C606" t="s">
        <v>699</v>
      </c>
      <c r="D606" t="s">
        <v>700</v>
      </c>
      <c r="E606">
        <v>15327</v>
      </c>
      <c r="F606" s="1" t="s">
        <v>700</v>
      </c>
      <c r="G606">
        <v>19813</v>
      </c>
      <c r="H606" s="1" t="s">
        <v>700</v>
      </c>
      <c r="I606" t="s">
        <v>700</v>
      </c>
      <c r="J606">
        <v>4486</v>
      </c>
      <c r="K606" s="1" t="s">
        <v>700</v>
      </c>
      <c r="L606">
        <v>22096</v>
      </c>
      <c r="M606" s="1" t="s">
        <v>700</v>
      </c>
      <c r="N606" t="s">
        <v>700</v>
      </c>
      <c r="O606">
        <v>2283</v>
      </c>
      <c r="P606" s="1" t="s">
        <v>700</v>
      </c>
      <c r="Q606">
        <v>26447</v>
      </c>
      <c r="R606" s="1" t="s">
        <v>700</v>
      </c>
      <c r="S606" t="s">
        <v>700</v>
      </c>
      <c r="T606">
        <v>4351</v>
      </c>
      <c r="U606" s="1" t="s">
        <v>700</v>
      </c>
      <c r="V606">
        <v>29446</v>
      </c>
      <c r="Y606">
        <v>2999</v>
      </c>
      <c r="AA606">
        <v>29509</v>
      </c>
      <c r="AD606">
        <v>63</v>
      </c>
      <c r="AF606">
        <v>29652</v>
      </c>
      <c r="AI606">
        <v>143</v>
      </c>
    </row>
    <row r="607" spans="1:36" x14ac:dyDescent="0.3">
      <c r="A607" t="s">
        <v>217</v>
      </c>
      <c r="B607" t="s">
        <v>742</v>
      </c>
      <c r="C607" t="s">
        <v>673</v>
      </c>
      <c r="D607" t="s">
        <v>700</v>
      </c>
      <c r="E607">
        <v>8944</v>
      </c>
      <c r="F607" s="1">
        <v>0.59609999999999996</v>
      </c>
      <c r="G607">
        <v>11558</v>
      </c>
      <c r="H607" s="1">
        <v>0.59560000000000002</v>
      </c>
      <c r="I607">
        <v>-0.05</v>
      </c>
      <c r="J607">
        <v>2614</v>
      </c>
      <c r="K607" s="1">
        <v>0.59379999999999999</v>
      </c>
      <c r="L607">
        <v>12827</v>
      </c>
      <c r="M607" s="1">
        <v>0.59247113163972287</v>
      </c>
      <c r="N607">
        <v>-0.36</v>
      </c>
      <c r="O607">
        <v>1269</v>
      </c>
      <c r="P607" s="1">
        <v>0.56525612472160358</v>
      </c>
      <c r="Q607">
        <v>15538</v>
      </c>
      <c r="R607" s="1">
        <v>0.59992277992277987</v>
      </c>
      <c r="S607">
        <v>0.38</v>
      </c>
      <c r="T607">
        <v>2711</v>
      </c>
      <c r="U607" s="1">
        <v>0.63788235294117646</v>
      </c>
      <c r="V607">
        <v>17321</v>
      </c>
      <c r="W607" s="1">
        <v>0.60094369080248411</v>
      </c>
      <c r="X607">
        <v>0.48</v>
      </c>
      <c r="Y607">
        <v>1783</v>
      </c>
      <c r="Z607" s="1">
        <v>0.60998973657201505</v>
      </c>
      <c r="AA607">
        <v>17353</v>
      </c>
      <c r="AB607" s="1">
        <v>0.60067845892900407</v>
      </c>
      <c r="AC607">
        <v>0.46</v>
      </c>
      <c r="AD607">
        <v>32</v>
      </c>
      <c r="AE607" s="1">
        <v>0.48484848484848486</v>
      </c>
      <c r="AF607">
        <v>17457</v>
      </c>
      <c r="AG607" s="1">
        <v>0.60146775082690185</v>
      </c>
      <c r="AH607">
        <v>0.54</v>
      </c>
      <c r="AI607">
        <v>104</v>
      </c>
      <c r="AJ607" s="1">
        <v>0.77037037037037037</v>
      </c>
    </row>
    <row r="608" spans="1:36" x14ac:dyDescent="0.3">
      <c r="A608" t="s">
        <v>217</v>
      </c>
      <c r="B608" t="s">
        <v>742</v>
      </c>
      <c r="C608" t="s">
        <v>674</v>
      </c>
      <c r="D608" t="s">
        <v>700</v>
      </c>
      <c r="E608">
        <v>6029</v>
      </c>
      <c r="F608" s="1">
        <v>0.40189999999999998</v>
      </c>
      <c r="G608">
        <v>7811</v>
      </c>
      <c r="H608" s="1">
        <v>0.40250000000000002</v>
      </c>
      <c r="I608">
        <v>0.06</v>
      </c>
      <c r="J608">
        <v>1782</v>
      </c>
      <c r="K608" s="1">
        <v>0.40479999999999999</v>
      </c>
      <c r="L608">
        <v>8787</v>
      </c>
      <c r="M608" s="1">
        <v>0.40586605080831406</v>
      </c>
      <c r="N608">
        <v>0.4</v>
      </c>
      <c r="O608">
        <v>976</v>
      </c>
      <c r="P608" s="1">
        <v>0.43474387527839642</v>
      </c>
      <c r="Q608">
        <v>10315</v>
      </c>
      <c r="R608" s="1">
        <v>0.39826254826254825</v>
      </c>
      <c r="S608">
        <v>-0.36</v>
      </c>
      <c r="T608">
        <v>1528</v>
      </c>
      <c r="U608" s="1">
        <v>0.35952941176470588</v>
      </c>
      <c r="V608">
        <v>11456</v>
      </c>
      <c r="W608" s="1">
        <v>0.39746036151684416</v>
      </c>
      <c r="X608">
        <v>-0.44</v>
      </c>
      <c r="Y608">
        <v>1141</v>
      </c>
      <c r="Z608" s="1">
        <v>0.39035237769414982</v>
      </c>
      <c r="AA608">
        <v>11490</v>
      </c>
      <c r="AB608" s="1">
        <v>0.39772923950292499</v>
      </c>
      <c r="AC608">
        <v>-0.42</v>
      </c>
      <c r="AD608">
        <v>34</v>
      </c>
      <c r="AE608" s="1">
        <v>0.51515151515151514</v>
      </c>
      <c r="AF608">
        <v>11521</v>
      </c>
      <c r="AG608" s="1">
        <v>0.39694735391400221</v>
      </c>
      <c r="AH608">
        <v>-0.5</v>
      </c>
      <c r="AI608">
        <v>31</v>
      </c>
      <c r="AJ608" s="1">
        <v>0.22962962962962963</v>
      </c>
    </row>
    <row r="609" spans="1:36" x14ac:dyDescent="0.3">
      <c r="A609" t="s">
        <v>217</v>
      </c>
      <c r="B609" t="s">
        <v>742</v>
      </c>
      <c r="C609" t="s">
        <v>404</v>
      </c>
      <c r="D609" t="s">
        <v>700</v>
      </c>
      <c r="E609">
        <v>30</v>
      </c>
      <c r="F609" s="1">
        <v>2E-3</v>
      </c>
      <c r="G609">
        <v>36</v>
      </c>
      <c r="H609" s="1">
        <v>1.9E-3</v>
      </c>
      <c r="I609">
        <v>-0.01</v>
      </c>
      <c r="J609">
        <v>6</v>
      </c>
      <c r="K609" s="1">
        <v>1.4000000000000002E-3</v>
      </c>
      <c r="L609">
        <v>36</v>
      </c>
      <c r="M609" s="1">
        <v>1.6628175519630484E-3</v>
      </c>
      <c r="N609">
        <v>-0.03</v>
      </c>
      <c r="O609">
        <v>0</v>
      </c>
      <c r="P609" s="1">
        <v>0</v>
      </c>
      <c r="Q609">
        <v>47</v>
      </c>
      <c r="R609" s="1">
        <v>1.8146718146718147E-3</v>
      </c>
      <c r="S609">
        <v>-0.02</v>
      </c>
      <c r="T609">
        <v>11</v>
      </c>
      <c r="U609" s="1">
        <v>2.5882352941176473E-3</v>
      </c>
      <c r="V609">
        <v>46</v>
      </c>
      <c r="W609" s="1">
        <v>1.5959476806716858E-3</v>
      </c>
      <c r="X609">
        <v>-0.04</v>
      </c>
      <c r="Y609">
        <v>-1</v>
      </c>
      <c r="Z609" s="1">
        <v>-3.4211426616489907E-4</v>
      </c>
      <c r="AA609">
        <v>46</v>
      </c>
      <c r="AB609" s="1">
        <v>1.5923015680708919E-3</v>
      </c>
      <c r="AC609">
        <v>-0.04</v>
      </c>
      <c r="AD609">
        <v>0</v>
      </c>
      <c r="AE609" s="1">
        <v>0</v>
      </c>
      <c r="AF609">
        <v>46</v>
      </c>
      <c r="AG609" s="1">
        <v>1.5848952590959205E-3</v>
      </c>
      <c r="AH609">
        <v>-0.04</v>
      </c>
      <c r="AI609">
        <v>0</v>
      </c>
      <c r="AJ609" s="1">
        <v>0</v>
      </c>
    </row>
    <row r="610" spans="1:36" x14ac:dyDescent="0.3">
      <c r="A610" t="s">
        <v>223</v>
      </c>
      <c r="B610" t="s">
        <v>743</v>
      </c>
      <c r="C610" t="s">
        <v>699</v>
      </c>
      <c r="D610" t="s">
        <v>700</v>
      </c>
      <c r="E610">
        <v>14867</v>
      </c>
      <c r="F610" s="1" t="s">
        <v>700</v>
      </c>
      <c r="G610">
        <v>18351</v>
      </c>
      <c r="H610" s="1" t="s">
        <v>700</v>
      </c>
      <c r="I610" t="s">
        <v>700</v>
      </c>
      <c r="J610">
        <v>3484</v>
      </c>
      <c r="K610" s="1" t="s">
        <v>700</v>
      </c>
      <c r="L610">
        <v>23435</v>
      </c>
      <c r="M610" s="1" t="s">
        <v>700</v>
      </c>
      <c r="N610" t="s">
        <v>700</v>
      </c>
      <c r="O610">
        <v>5084</v>
      </c>
      <c r="P610" s="1" t="s">
        <v>700</v>
      </c>
      <c r="Q610">
        <v>25537</v>
      </c>
      <c r="R610" s="1" t="s">
        <v>700</v>
      </c>
      <c r="S610" t="s">
        <v>700</v>
      </c>
      <c r="T610">
        <v>2102</v>
      </c>
      <c r="U610" s="1" t="s">
        <v>700</v>
      </c>
      <c r="V610">
        <v>26533</v>
      </c>
      <c r="Y610">
        <v>996</v>
      </c>
      <c r="AA610">
        <v>26579</v>
      </c>
      <c r="AD610">
        <v>46</v>
      </c>
      <c r="AF610">
        <v>26795</v>
      </c>
      <c r="AI610">
        <v>216</v>
      </c>
    </row>
    <row r="611" spans="1:36" x14ac:dyDescent="0.3">
      <c r="A611" t="s">
        <v>223</v>
      </c>
      <c r="B611" t="s">
        <v>743</v>
      </c>
      <c r="C611" t="s">
        <v>453</v>
      </c>
      <c r="D611" t="s">
        <v>700</v>
      </c>
      <c r="E611">
        <v>10870</v>
      </c>
      <c r="F611" s="1">
        <v>0.94269999999999998</v>
      </c>
      <c r="G611">
        <v>13445</v>
      </c>
      <c r="H611" s="1">
        <v>0.94430000000000003</v>
      </c>
      <c r="I611">
        <v>0.16</v>
      </c>
      <c r="J611">
        <v>2575</v>
      </c>
      <c r="K611" s="1">
        <v>0.95120000000000005</v>
      </c>
      <c r="L611">
        <v>17161</v>
      </c>
      <c r="M611" s="1">
        <v>0.94483290205362547</v>
      </c>
      <c r="N611">
        <v>0.21</v>
      </c>
      <c r="O611">
        <v>3716</v>
      </c>
      <c r="P611" s="1">
        <v>0.94675159235668793</v>
      </c>
      <c r="Q611">
        <v>18778</v>
      </c>
      <c r="R611" s="1">
        <v>0.94547102361411817</v>
      </c>
      <c r="S611">
        <v>0.28000000000000003</v>
      </c>
      <c r="T611">
        <v>1617</v>
      </c>
      <c r="U611" s="1">
        <v>0.95229681978798586</v>
      </c>
      <c r="V611">
        <v>19483</v>
      </c>
      <c r="W611" s="1">
        <v>0.95359992168763152</v>
      </c>
      <c r="X611">
        <v>1.0900000000000001</v>
      </c>
      <c r="Y611">
        <v>705</v>
      </c>
      <c r="Z611" s="1">
        <v>1.236842105263158</v>
      </c>
      <c r="AA611">
        <v>19513</v>
      </c>
      <c r="AB611" s="1">
        <v>0.95343496530831628</v>
      </c>
      <c r="AC611">
        <v>1.07</v>
      </c>
      <c r="AD611">
        <v>30</v>
      </c>
      <c r="AE611" s="1">
        <v>0.8571428571428571</v>
      </c>
      <c r="AF611">
        <v>19677</v>
      </c>
      <c r="AG611" s="1">
        <v>0.95338921459373027</v>
      </c>
      <c r="AH611">
        <v>1.07</v>
      </c>
      <c r="AI611">
        <v>164</v>
      </c>
      <c r="AJ611" s="1">
        <v>0.94797687861271673</v>
      </c>
    </row>
    <row r="612" spans="1:36" x14ac:dyDescent="0.3">
      <c r="A612" t="s">
        <v>223</v>
      </c>
      <c r="B612" t="s">
        <v>743</v>
      </c>
      <c r="C612" t="s">
        <v>404</v>
      </c>
      <c r="D612" t="s">
        <v>700</v>
      </c>
      <c r="E612">
        <v>661</v>
      </c>
      <c r="F612" s="1">
        <v>5.7300000000000004E-2</v>
      </c>
      <c r="G612">
        <v>793</v>
      </c>
      <c r="H612" s="1">
        <v>5.57E-2</v>
      </c>
      <c r="I612">
        <v>-0.16</v>
      </c>
      <c r="J612">
        <v>132</v>
      </c>
      <c r="K612" s="1">
        <v>4.8799999999999996E-2</v>
      </c>
      <c r="L612">
        <v>1002</v>
      </c>
      <c r="M612" s="1">
        <v>5.5167097946374498E-2</v>
      </c>
      <c r="N612">
        <v>-0.21</v>
      </c>
      <c r="O612">
        <v>209</v>
      </c>
      <c r="P612" s="1">
        <v>5.3248407643312103E-2</v>
      </c>
      <c r="Q612">
        <v>1083</v>
      </c>
      <c r="R612" s="1">
        <v>5.4528976385881882E-2</v>
      </c>
      <c r="S612">
        <v>-0.28000000000000003</v>
      </c>
      <c r="T612">
        <v>81</v>
      </c>
      <c r="U612" s="1">
        <v>4.7703180212014133E-2</v>
      </c>
      <c r="V612">
        <v>948</v>
      </c>
      <c r="W612" s="1">
        <v>4.6400078312368462E-2</v>
      </c>
      <c r="X612">
        <v>-1.0900000000000001</v>
      </c>
      <c r="Y612">
        <v>-135</v>
      </c>
      <c r="Z612" s="1">
        <v>-0.23684210526315788</v>
      </c>
      <c r="AA612">
        <v>953</v>
      </c>
      <c r="AB612" s="1">
        <v>4.6565034691683771E-2</v>
      </c>
      <c r="AC612">
        <v>-1.07</v>
      </c>
      <c r="AD612">
        <v>5</v>
      </c>
      <c r="AE612" s="1">
        <v>0.14285714285714285</v>
      </c>
      <c r="AF612">
        <v>962</v>
      </c>
      <c r="AG612" s="1">
        <v>4.6610785406269686E-2</v>
      </c>
      <c r="AH612">
        <v>-1.07</v>
      </c>
      <c r="AI612">
        <v>9</v>
      </c>
      <c r="AJ612" s="1">
        <v>5.2023121387283239E-2</v>
      </c>
    </row>
    <row r="613" spans="1:36" x14ac:dyDescent="0.3">
      <c r="A613" t="s">
        <v>224</v>
      </c>
      <c r="B613" t="s">
        <v>744</v>
      </c>
      <c r="C613" t="s">
        <v>699</v>
      </c>
      <c r="D613" t="s">
        <v>700</v>
      </c>
      <c r="E613">
        <v>14867</v>
      </c>
      <c r="F613" s="1" t="s">
        <v>700</v>
      </c>
      <c r="G613">
        <v>18351</v>
      </c>
      <c r="H613" s="1" t="s">
        <v>700</v>
      </c>
      <c r="I613" t="s">
        <v>700</v>
      </c>
      <c r="J613">
        <v>3484</v>
      </c>
      <c r="K613" s="1" t="s">
        <v>700</v>
      </c>
      <c r="L613">
        <v>23435</v>
      </c>
      <c r="M613" s="1" t="s">
        <v>700</v>
      </c>
      <c r="N613" t="s">
        <v>700</v>
      </c>
      <c r="O613">
        <v>5084</v>
      </c>
      <c r="P613" s="1" t="s">
        <v>700</v>
      </c>
      <c r="Q613">
        <v>25537</v>
      </c>
      <c r="R613" s="1" t="s">
        <v>700</v>
      </c>
      <c r="S613" t="s">
        <v>700</v>
      </c>
      <c r="T613">
        <v>2102</v>
      </c>
      <c r="U613" s="1" t="s">
        <v>700</v>
      </c>
      <c r="V613">
        <v>26533</v>
      </c>
      <c r="Y613">
        <v>996</v>
      </c>
      <c r="AA613">
        <v>26579</v>
      </c>
      <c r="AD613">
        <v>46</v>
      </c>
      <c r="AF613">
        <v>26795</v>
      </c>
      <c r="AI613">
        <v>216</v>
      </c>
    </row>
    <row r="614" spans="1:36" x14ac:dyDescent="0.3">
      <c r="A614" t="s">
        <v>224</v>
      </c>
      <c r="B614" t="s">
        <v>744</v>
      </c>
      <c r="C614" t="s">
        <v>675</v>
      </c>
      <c r="D614" t="s">
        <v>700</v>
      </c>
      <c r="E614">
        <v>10043</v>
      </c>
      <c r="F614" s="1">
        <v>0.69310000000000005</v>
      </c>
      <c r="G614">
        <v>12417</v>
      </c>
      <c r="H614" s="1">
        <v>0.69510000000000005</v>
      </c>
      <c r="I614">
        <v>0.2</v>
      </c>
      <c r="J614">
        <v>2374</v>
      </c>
      <c r="K614" s="1">
        <v>0.7036</v>
      </c>
      <c r="L614">
        <v>15944</v>
      </c>
      <c r="M614" s="1">
        <v>0.70009660138754726</v>
      </c>
      <c r="N614">
        <v>0.7</v>
      </c>
      <c r="O614">
        <v>3527</v>
      </c>
      <c r="P614" s="1">
        <v>0.71832993890020369</v>
      </c>
      <c r="Q614">
        <v>17516</v>
      </c>
      <c r="R614" s="1">
        <v>0.70549379732560014</v>
      </c>
      <c r="S614">
        <v>1.24</v>
      </c>
      <c r="T614">
        <v>1572</v>
      </c>
      <c r="U614" s="1">
        <v>0.7653359298928919</v>
      </c>
      <c r="V614">
        <v>18196</v>
      </c>
      <c r="W614" s="1">
        <v>0.70543537256726374</v>
      </c>
      <c r="X614">
        <v>1.23</v>
      </c>
      <c r="Y614">
        <v>680</v>
      </c>
      <c r="Z614" s="1">
        <v>0.70393374741200831</v>
      </c>
      <c r="AA614">
        <v>18229</v>
      </c>
      <c r="AB614" s="1">
        <v>0.70523831631073974</v>
      </c>
      <c r="AC614">
        <v>1.21</v>
      </c>
      <c r="AD614">
        <v>33</v>
      </c>
      <c r="AE614" s="1">
        <v>0.61111111111111116</v>
      </c>
      <c r="AF614">
        <v>18388</v>
      </c>
      <c r="AG614" s="1">
        <v>0.70595462049372293</v>
      </c>
      <c r="AH614">
        <v>1.29</v>
      </c>
      <c r="AI614">
        <v>159</v>
      </c>
      <c r="AJ614" s="1">
        <v>0.79899497487437188</v>
      </c>
    </row>
    <row r="615" spans="1:36" x14ac:dyDescent="0.3">
      <c r="A615" t="s">
        <v>224</v>
      </c>
      <c r="B615" t="s">
        <v>744</v>
      </c>
      <c r="C615" t="s">
        <v>676</v>
      </c>
      <c r="D615" t="s">
        <v>700</v>
      </c>
      <c r="E615">
        <v>4401</v>
      </c>
      <c r="F615" s="1">
        <v>0.30370000000000003</v>
      </c>
      <c r="G615">
        <v>5398</v>
      </c>
      <c r="H615" s="1">
        <v>0.30219999999999997</v>
      </c>
      <c r="I615">
        <v>-0.15</v>
      </c>
      <c r="J615">
        <v>997</v>
      </c>
      <c r="K615" s="1">
        <v>0.29549999999999998</v>
      </c>
      <c r="L615">
        <v>6768</v>
      </c>
      <c r="M615" s="1">
        <v>0.29718099587248614</v>
      </c>
      <c r="N615">
        <v>-0.65</v>
      </c>
      <c r="O615">
        <v>1370</v>
      </c>
      <c r="P615" s="1">
        <v>0.27902240325865579</v>
      </c>
      <c r="Q615">
        <v>7250</v>
      </c>
      <c r="R615" s="1">
        <v>0.29200902207185436</v>
      </c>
      <c r="S615">
        <v>-1.17</v>
      </c>
      <c r="T615">
        <v>482</v>
      </c>
      <c r="U615" s="1">
        <v>0.23466407010710807</v>
      </c>
      <c r="V615">
        <v>7542</v>
      </c>
      <c r="W615" s="1">
        <v>0.29239357990230286</v>
      </c>
      <c r="X615">
        <v>-1.1299999999999999</v>
      </c>
      <c r="Y615">
        <v>292</v>
      </c>
      <c r="Z615" s="1">
        <v>0.3022774327122153</v>
      </c>
      <c r="AA615">
        <v>7561</v>
      </c>
      <c r="AB615" s="1">
        <v>0.29251779634787989</v>
      </c>
      <c r="AC615">
        <v>-1.1200000000000001</v>
      </c>
      <c r="AD615">
        <v>19</v>
      </c>
      <c r="AE615" s="1">
        <v>0.35185185185185186</v>
      </c>
      <c r="AF615">
        <v>7599</v>
      </c>
      <c r="AG615" s="1">
        <v>0.29174185126886015</v>
      </c>
      <c r="AH615">
        <v>-1.2</v>
      </c>
      <c r="AI615">
        <v>38</v>
      </c>
      <c r="AJ615" s="1">
        <v>0.19095477386934673</v>
      </c>
    </row>
    <row r="616" spans="1:36" x14ac:dyDescent="0.3">
      <c r="A616" t="s">
        <v>224</v>
      </c>
      <c r="B616" t="s">
        <v>744</v>
      </c>
      <c r="C616" t="s">
        <v>404</v>
      </c>
      <c r="D616" t="s">
        <v>700</v>
      </c>
      <c r="E616">
        <v>46</v>
      </c>
      <c r="F616" s="1">
        <v>3.2000000000000002E-3</v>
      </c>
      <c r="G616">
        <v>49</v>
      </c>
      <c r="H616" s="1">
        <v>2.7000000000000001E-3</v>
      </c>
      <c r="I616">
        <v>-0.05</v>
      </c>
      <c r="J616">
        <v>3</v>
      </c>
      <c r="K616" s="1">
        <v>8.9999999999999998E-4</v>
      </c>
      <c r="L616">
        <v>62</v>
      </c>
      <c r="M616" s="1">
        <v>2.7224027399666284E-3</v>
      </c>
      <c r="N616">
        <v>-0.05</v>
      </c>
      <c r="O616">
        <v>13</v>
      </c>
      <c r="P616" s="1">
        <v>2.6476578411405295E-3</v>
      </c>
      <c r="Q616">
        <v>62</v>
      </c>
      <c r="R616" s="1">
        <v>2.4971806025455129E-3</v>
      </c>
      <c r="S616">
        <v>-7.0000000000000007E-2</v>
      </c>
      <c r="T616">
        <v>0</v>
      </c>
      <c r="U616" s="1">
        <v>0</v>
      </c>
      <c r="V616">
        <v>56</v>
      </c>
      <c r="W616" s="1">
        <v>2.1710475304334343E-3</v>
      </c>
      <c r="X616">
        <v>-0.1</v>
      </c>
      <c r="Y616">
        <v>-6</v>
      </c>
      <c r="Z616" s="1">
        <v>-6.2111801242236021E-3</v>
      </c>
      <c r="AA616">
        <v>58</v>
      </c>
      <c r="AB616" s="1">
        <v>2.2438873413803775E-3</v>
      </c>
      <c r="AC616">
        <v>-0.1</v>
      </c>
      <c r="AD616">
        <v>2</v>
      </c>
      <c r="AE616" s="1">
        <v>3.7037037037037035E-2</v>
      </c>
      <c r="AF616">
        <v>60</v>
      </c>
      <c r="AG616" s="1">
        <v>2.3035282374169771E-3</v>
      </c>
      <c r="AH616">
        <v>-0.09</v>
      </c>
      <c r="AI616">
        <v>2</v>
      </c>
      <c r="AJ616" s="1">
        <v>1.0050251256281407E-2</v>
      </c>
    </row>
    <row r="617" spans="1:36" x14ac:dyDescent="0.3">
      <c r="A617" t="s">
        <v>225</v>
      </c>
      <c r="B617" t="s">
        <v>745</v>
      </c>
      <c r="C617" t="s">
        <v>699</v>
      </c>
      <c r="D617" t="s">
        <v>700</v>
      </c>
      <c r="E617">
        <v>14867</v>
      </c>
      <c r="F617" s="1" t="s">
        <v>700</v>
      </c>
      <c r="G617">
        <v>18351</v>
      </c>
      <c r="H617" s="1" t="s">
        <v>700</v>
      </c>
      <c r="I617" t="s">
        <v>700</v>
      </c>
      <c r="J617">
        <v>3484</v>
      </c>
      <c r="K617" s="1" t="s">
        <v>700</v>
      </c>
      <c r="L617">
        <v>23435</v>
      </c>
      <c r="M617" s="1" t="s">
        <v>700</v>
      </c>
      <c r="N617" t="s">
        <v>700</v>
      </c>
      <c r="O617">
        <v>5084</v>
      </c>
      <c r="P617" s="1" t="s">
        <v>700</v>
      </c>
      <c r="Q617">
        <v>25537</v>
      </c>
      <c r="R617" s="1" t="s">
        <v>700</v>
      </c>
      <c r="S617" t="s">
        <v>700</v>
      </c>
      <c r="T617">
        <v>2102</v>
      </c>
      <c r="U617" s="1" t="s">
        <v>700</v>
      </c>
      <c r="V617">
        <v>26533</v>
      </c>
      <c r="Y617">
        <v>996</v>
      </c>
      <c r="AA617">
        <v>26579</v>
      </c>
      <c r="AD617">
        <v>46</v>
      </c>
      <c r="AF617">
        <v>26795</v>
      </c>
      <c r="AI617">
        <v>216</v>
      </c>
    </row>
    <row r="618" spans="1:36" x14ac:dyDescent="0.3">
      <c r="A618" t="s">
        <v>225</v>
      </c>
      <c r="B618" t="s">
        <v>745</v>
      </c>
      <c r="C618" t="s">
        <v>678</v>
      </c>
      <c r="D618" t="s">
        <v>700</v>
      </c>
      <c r="E618">
        <v>6715</v>
      </c>
      <c r="F618" s="1">
        <v>0.50990000000000002</v>
      </c>
      <c r="G618">
        <v>8290</v>
      </c>
      <c r="H618" s="1">
        <v>0.50890000000000002</v>
      </c>
      <c r="I618">
        <v>-0.1</v>
      </c>
      <c r="J618">
        <v>1575</v>
      </c>
      <c r="K618" s="1">
        <v>0.50479999999999992</v>
      </c>
      <c r="L618">
        <v>10400</v>
      </c>
      <c r="M618" s="1">
        <v>0.49734589450528432</v>
      </c>
      <c r="N618">
        <v>-1.26</v>
      </c>
      <c r="O618">
        <v>2110</v>
      </c>
      <c r="P618" s="1">
        <v>0.45661112313352087</v>
      </c>
      <c r="Q618">
        <v>11199</v>
      </c>
      <c r="R618" s="1">
        <v>0.49002362824888424</v>
      </c>
      <c r="S618">
        <v>-1.99</v>
      </c>
      <c r="T618">
        <v>799</v>
      </c>
      <c r="U618" s="1">
        <v>0.41121976325270199</v>
      </c>
      <c r="V618">
        <v>11597</v>
      </c>
      <c r="W618" s="1">
        <v>0.49038014292359083</v>
      </c>
      <c r="X618">
        <v>-1.95</v>
      </c>
      <c r="Y618">
        <v>398</v>
      </c>
      <c r="Z618" s="1">
        <v>0.50062893081761006</v>
      </c>
      <c r="AA618">
        <v>11623</v>
      </c>
      <c r="AB618" s="1">
        <v>0.48994646545546516</v>
      </c>
      <c r="AC618">
        <v>-2</v>
      </c>
      <c r="AD618">
        <v>26</v>
      </c>
      <c r="AE618" s="1">
        <v>0.35135135135135137</v>
      </c>
      <c r="AF618">
        <v>11691</v>
      </c>
      <c r="AG618" s="1">
        <v>0.48883592574009033</v>
      </c>
      <c r="AH618">
        <v>-2.11</v>
      </c>
      <c r="AI618">
        <v>68</v>
      </c>
      <c r="AJ618" s="1">
        <v>0.35233160621761656</v>
      </c>
    </row>
    <row r="619" spans="1:36" x14ac:dyDescent="0.3">
      <c r="A619" t="s">
        <v>225</v>
      </c>
      <c r="B619" t="s">
        <v>745</v>
      </c>
      <c r="C619" t="s">
        <v>677</v>
      </c>
      <c r="D619" t="s">
        <v>700</v>
      </c>
      <c r="E619">
        <v>6097</v>
      </c>
      <c r="F619" s="1">
        <v>0.46289999999999998</v>
      </c>
      <c r="G619">
        <v>7575</v>
      </c>
      <c r="H619" s="1">
        <v>0.46500000000000002</v>
      </c>
      <c r="I619">
        <v>0.21</v>
      </c>
      <c r="J619">
        <v>1478</v>
      </c>
      <c r="K619" s="1">
        <v>0.47369999999999995</v>
      </c>
      <c r="L619">
        <v>9957</v>
      </c>
      <c r="M619" s="1">
        <v>0.47616087226818421</v>
      </c>
      <c r="N619">
        <v>1.33</v>
      </c>
      <c r="O619">
        <v>2382</v>
      </c>
      <c r="P619" s="1">
        <v>0.51547284137632543</v>
      </c>
      <c r="Q619">
        <v>11066</v>
      </c>
      <c r="R619" s="1">
        <v>0.48420407806073335</v>
      </c>
      <c r="S619">
        <v>2.13</v>
      </c>
      <c r="T619">
        <v>1109</v>
      </c>
      <c r="U619" s="1">
        <v>0.57076685537828098</v>
      </c>
      <c r="V619">
        <v>11546</v>
      </c>
      <c r="W619" s="1">
        <v>0.48822360353503319</v>
      </c>
      <c r="X619">
        <v>2.5299999999999998</v>
      </c>
      <c r="Y619">
        <v>480</v>
      </c>
      <c r="Z619" s="1">
        <v>0.60377358490566035</v>
      </c>
      <c r="AA619">
        <v>11591</v>
      </c>
      <c r="AB619" s="1">
        <v>0.48859756354592587</v>
      </c>
      <c r="AC619">
        <v>2.57</v>
      </c>
      <c r="AD619">
        <v>45</v>
      </c>
      <c r="AE619" s="1">
        <v>0.60810810810810811</v>
      </c>
      <c r="AF619">
        <v>11708</v>
      </c>
      <c r="AG619" s="1">
        <v>0.4895467469476501</v>
      </c>
      <c r="AH619">
        <v>2.66</v>
      </c>
      <c r="AI619">
        <v>117</v>
      </c>
      <c r="AJ619" s="1">
        <v>0.60621761658031093</v>
      </c>
    </row>
    <row r="620" spans="1:36" x14ac:dyDescent="0.3">
      <c r="A620" t="s">
        <v>225</v>
      </c>
      <c r="B620" t="s">
        <v>745</v>
      </c>
      <c r="C620" t="s">
        <v>404</v>
      </c>
      <c r="D620" t="s">
        <v>700</v>
      </c>
      <c r="E620">
        <v>358</v>
      </c>
      <c r="F620" s="1">
        <v>2.7200000000000002E-2</v>
      </c>
      <c r="G620">
        <v>425</v>
      </c>
      <c r="H620" s="1">
        <v>2.6099999999999998E-2</v>
      </c>
      <c r="I620">
        <v>-0.11</v>
      </c>
      <c r="J620">
        <v>67</v>
      </c>
      <c r="K620" s="1">
        <v>2.1499999999999998E-2</v>
      </c>
      <c r="L620">
        <v>554</v>
      </c>
      <c r="M620" s="1">
        <v>2.6493233226531489E-2</v>
      </c>
      <c r="N620">
        <v>-7.0000000000000007E-2</v>
      </c>
      <c r="O620">
        <v>129</v>
      </c>
      <c r="P620" s="1">
        <v>2.7916035490153646E-2</v>
      </c>
      <c r="Q620">
        <v>589</v>
      </c>
      <c r="R620" s="1">
        <v>2.5772293690382427E-2</v>
      </c>
      <c r="S620">
        <v>-0.14000000000000001</v>
      </c>
      <c r="T620">
        <v>35</v>
      </c>
      <c r="U620" s="1">
        <v>1.8013381369016986E-2</v>
      </c>
      <c r="V620">
        <v>506</v>
      </c>
      <c r="W620" s="1">
        <v>2.1396253541375955E-2</v>
      </c>
      <c r="X620">
        <v>-0.57999999999999996</v>
      </c>
      <c r="Y620">
        <v>-83</v>
      </c>
      <c r="Z620" s="1">
        <v>-0.10440251572327044</v>
      </c>
      <c r="AA620">
        <v>509</v>
      </c>
      <c r="AB620" s="1">
        <v>2.1455970998608943E-2</v>
      </c>
      <c r="AC620">
        <v>-0.56999999999999995</v>
      </c>
      <c r="AD620">
        <v>3</v>
      </c>
      <c r="AE620" s="1">
        <v>4.0540540540540543E-2</v>
      </c>
      <c r="AF620">
        <v>517</v>
      </c>
      <c r="AG620" s="1">
        <v>2.1617327312259575E-2</v>
      </c>
      <c r="AH620">
        <v>-0.56000000000000005</v>
      </c>
      <c r="AI620">
        <v>8</v>
      </c>
      <c r="AJ620" s="1">
        <v>4.145077720207254E-2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75F2-DAE8-423E-9EFB-9926D94DB4FB}">
  <dimension ref="A2:B6"/>
  <sheetViews>
    <sheetView workbookViewId="0">
      <selection activeCell="B3" sqref="B3"/>
    </sheetView>
  </sheetViews>
  <sheetFormatPr defaultRowHeight="14.4" x14ac:dyDescent="0.3"/>
  <cols>
    <col min="1" max="1" width="35.5546875" customWidth="1"/>
  </cols>
  <sheetData>
    <row r="2" spans="1:2" x14ac:dyDescent="0.3">
      <c r="A2" t="s">
        <v>746</v>
      </c>
      <c r="B2" t="s">
        <v>747</v>
      </c>
    </row>
    <row r="3" spans="1:2" x14ac:dyDescent="0.3">
      <c r="A3" t="s">
        <v>748</v>
      </c>
      <c r="B3" t="s">
        <v>749</v>
      </c>
    </row>
    <row r="4" spans="1:2" x14ac:dyDescent="0.3">
      <c r="A4" t="s">
        <v>750</v>
      </c>
      <c r="B4" t="s">
        <v>751</v>
      </c>
    </row>
    <row r="5" spans="1:2" x14ac:dyDescent="0.3">
      <c r="A5" t="s">
        <v>752</v>
      </c>
      <c r="B5" t="s">
        <v>753</v>
      </c>
    </row>
    <row r="6" spans="1:2" x14ac:dyDescent="0.3">
      <c r="A6" t="s">
        <v>754</v>
      </c>
      <c r="B6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StatewideResultsTable</vt:lpstr>
      <vt:lpstr>KeyRacesTable</vt:lpstr>
      <vt:lpstr>StatewideResultsFinal</vt:lpstr>
      <vt:lpstr>LegislativeAnalysis</vt:lpstr>
      <vt:lpstr>CongressionalAnalysis</vt:lpstr>
      <vt:lpstr>KeyRaces</vt:lpstr>
      <vt:lpstr>StatewideResults_Aug13</vt:lpstr>
      <vt:lpstr>August2026Primary_Tracking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Gustafson</dc:creator>
  <cp:lastModifiedBy>Zane Gustafson</cp:lastModifiedBy>
  <dcterms:created xsi:type="dcterms:W3CDTF">2026-08-05T17:17:38Z</dcterms:created>
  <dcterms:modified xsi:type="dcterms:W3CDTF">2026-08-26T14:49:50Z</dcterms:modified>
</cp:coreProperties>
</file>